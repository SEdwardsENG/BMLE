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ersonrj\Desktop\Extraction Demonstration\"/>
    </mc:Choice>
  </mc:AlternateContent>
  <xr:revisionPtr revIDLastSave="0" documentId="13_ncr:1_{43C3D37D-4783-460F-9351-F4BF7DD02F46}" xr6:coauthVersionLast="36" xr6:coauthVersionMax="44" xr10:uidLastSave="{00000000-0000-0000-0000-000000000000}"/>
  <bookViews>
    <workbookView xWindow="0" yWindow="0" windowWidth="28800" windowHeight="11625" tabRatio="793" xr2:uid="{00000000-000D-0000-FFFF-FFFF00000000}"/>
  </bookViews>
  <sheets>
    <sheet name="MODEL INTRO" sheetId="1" r:id="rId1"/>
    <sheet name="ShtNames" sheetId="80" r:id="rId2"/>
    <sheet name="DC1" sheetId="3" r:id="rId3"/>
    <sheet name="DC2" sheetId="49" r:id="rId4"/>
    <sheet name="DW" sheetId="8" r:id="rId5"/>
    <sheet name="TUmax" sheetId="9" r:id="rId6"/>
    <sheet name="TUmin" sheetId="10" r:id="rId7"/>
    <sheet name="LLmax" sheetId="23" r:id="rId8"/>
    <sheet name="LLmin" sheetId="25" r:id="rId9"/>
    <sheet name="PERMITmax" sheetId="39" r:id="rId10"/>
    <sheet name="STRIKERmax" sheetId="41" r:id="rId11"/>
    <sheet name="PERMITmin" sheetId="40" r:id="rId12"/>
    <sheet name="STRIKERmin" sheetId="42" r:id="rId13"/>
    <sheet name="FTGmax" sheetId="88" r:id="rId14"/>
    <sheet name="FTGmin" sheetId="89" r:id="rId15"/>
    <sheet name="STR3 WSmax" sheetId="43" r:id="rId16"/>
    <sheet name="STR3 WSmin" sheetId="44" r:id="rId17"/>
    <sheet name="STR5 WS+WLmax" sheetId="45" r:id="rId18"/>
    <sheet name="SERV1 WS+WLmin" sheetId="48" r:id="rId19"/>
    <sheet name="STR5 WS+WLmin" sheetId="46" r:id="rId20"/>
    <sheet name="SERV1 WS+WLmax" sheetId="47" r:id="rId21"/>
    <sheet name="STR1 DLmax LLmax" sheetId="32" r:id="rId22"/>
    <sheet name="STR1 DLmin LLmax" sheetId="51" r:id="rId23"/>
    <sheet name="STR1 DLmax LLmin" sheetId="52" r:id="rId24"/>
    <sheet name="STR1 DLmin LLmin" sheetId="53" r:id="rId25"/>
    <sheet name="STR2 DLmax PERMITmax" sheetId="54" r:id="rId26"/>
    <sheet name="STR2 DLmin PERMITmax" sheetId="55" r:id="rId27"/>
    <sheet name="STR2 DLmax PERMITmin" sheetId="56" r:id="rId28"/>
    <sheet name="STR2 DLmin PERMITmin" sheetId="57" r:id="rId29"/>
    <sheet name="STR2 DLmax STRIKERmax" sheetId="58" r:id="rId30"/>
    <sheet name="STR2 DLmin STRIKERmax" sheetId="59" r:id="rId31"/>
    <sheet name="STR2 DLmax STRIKERmin" sheetId="60" r:id="rId32"/>
    <sheet name="STR2 DLmin STRIKERmin" sheetId="61" r:id="rId33"/>
    <sheet name="STR3 DLmax LLmax" sheetId="62" r:id="rId34"/>
    <sheet name="STR3 DLmin LLmax" sheetId="63" r:id="rId35"/>
    <sheet name="STR3 DLmax LLmin" sheetId="64" r:id="rId36"/>
    <sheet name="STR3 DLmin LLmin" sheetId="65" r:id="rId37"/>
    <sheet name="STR5 DLmax LLmax" sheetId="66" r:id="rId38"/>
    <sheet name="STR5 DLmin LLmax" sheetId="67" r:id="rId39"/>
    <sheet name="STR5 DLmax LLmin" sheetId="68" r:id="rId40"/>
    <sheet name="STR5 DLmin LLmin" sheetId="69" r:id="rId41"/>
    <sheet name="SERV1 DLmax LLmax" sheetId="70" r:id="rId42"/>
    <sheet name="SERV1 DLmin LLmax" sheetId="71" r:id="rId43"/>
    <sheet name="SERV1 DLmax LLmin" sheetId="72" r:id="rId44"/>
    <sheet name="SERV1 DLmin LLmin" sheetId="73" r:id="rId45"/>
    <sheet name="SERV2 DLmax LLmax" sheetId="74" r:id="rId46"/>
    <sheet name="SERV2 DLmin LLmax" sheetId="75" r:id="rId47"/>
    <sheet name="SERV2 DLmax LLmin" sheetId="76" r:id="rId48"/>
    <sheet name="SERV2 DLmin LLmin" sheetId="77" r:id="rId49"/>
    <sheet name="FTG1 LLmax" sheetId="78" r:id="rId50"/>
    <sheet name="FTG1 LLmin" sheetId="79" r:id="rId51"/>
    <sheet name="STR1 Forces" sheetId="81" r:id="rId52"/>
    <sheet name="STR2 Forces" sheetId="82" r:id="rId53"/>
    <sheet name="STR3 Forces" sheetId="83" r:id="rId54"/>
    <sheet name="STR5 Forces" sheetId="84" r:id="rId55"/>
    <sheet name="SERV1 Forces" sheetId="85" r:id="rId56"/>
    <sheet name="SERV2 Forces" sheetId="86" r:id="rId57"/>
    <sheet name="FTG1 Forces" sheetId="87" r:id="rId58"/>
    <sheet name="STR(all)" sheetId="92" r:id="rId59"/>
    <sheet name="SERV(all)" sheetId="93" r:id="rId60"/>
    <sheet name="Interface" sheetId="90" r:id="rId61"/>
    <sheet name="MemberID" sheetId="91" r:id="rId62"/>
  </sheets>
  <externalReferences>
    <externalReference r:id="rId63"/>
  </externalReferences>
  <definedNames>
    <definedName name="LC_Forces">OFFSET(ShtNames!$D$1,0,0,COUNTA(ShtNames!$D:$D),1)</definedName>
    <definedName name="MemberList">OFFSET(ShtNames!$B$1,0,0,COUNTA(ShtNames!$B:$B),1)</definedName>
    <definedName name="PileGroupList">OFFSET(ShtNames!$E$1,0,0,COUNTA(ShtNames!$E:$E),1)</definedName>
    <definedName name="StationList">OFFSET(ShtNames!$C$1,0,0,COUNTA(ShtNames!$C:$C),1)</definedName>
    <definedName name="γFtg1_LL_1.75">'MODEL INTRO'!$E$27</definedName>
    <definedName name="γServ1_DC_1">'MODEL INTRO'!$C$23</definedName>
    <definedName name="γServ1_DW_1">'MODEL INTRO'!$D$23</definedName>
    <definedName name="γServ1_FR_1">'MODEL INTRO'!$H$23</definedName>
    <definedName name="γServ1_LL_1">'MODEL INTRO'!$E$23</definedName>
    <definedName name="γServ1_TU_1">'MODEL INTRO'!$I$23</definedName>
    <definedName name="γServ1_TU_1.2">'MODEL INTRO'!$I$24</definedName>
    <definedName name="γServ1_WL_1">'MODEL INTRO'!$G$23</definedName>
    <definedName name="γServ1_WS_1">'MODEL INTRO'!$F$23</definedName>
    <definedName name="γServ2_DC_1">'MODEL INTRO'!$C$25</definedName>
    <definedName name="γServ2_DW_1">'MODEL INTRO'!$D$25</definedName>
    <definedName name="γServ2_FR_1">'MODEL INTRO'!$H$25</definedName>
    <definedName name="γServ2_LL_1.3">'MODEL INTRO'!$E$25</definedName>
    <definedName name="γServ2_TU_1">'MODEL INTRO'!$I$25</definedName>
    <definedName name="γServ2_TU_1.2">'MODEL INTRO'!$I$26</definedName>
    <definedName name="γSTR1_DC_0.9">'MODEL INTRO'!$C$11</definedName>
    <definedName name="γSTR1_DC_1.25">'MODEL INTRO'!$C$10</definedName>
    <definedName name="γSTR1_DW_0.65">'MODEL INTRO'!$D$11</definedName>
    <definedName name="γSTR1_DW_1.5">'MODEL INTRO'!$D$10</definedName>
    <definedName name="γSTR1_FR_1">'MODEL INTRO'!$H$10</definedName>
    <definedName name="γSTR1_LL_1.75">'MODEL INTRO'!$E$10</definedName>
    <definedName name="γSTR1_TU_1">'MODEL INTRO'!$I$10</definedName>
    <definedName name="γSTR1_TU_1.2">'MODEL INTRO'!$I$12</definedName>
    <definedName name="γSTR2_DC_0.9">'MODEL INTRO'!$C$14</definedName>
    <definedName name="γSTR2_DC_1.25">'MODEL INTRO'!$C$13</definedName>
    <definedName name="γSTR2_DW_0.65">'MODEL INTRO'!$D$14</definedName>
    <definedName name="γSTR2_DW_1.5">'MODEL INTRO'!$D$13</definedName>
    <definedName name="γSTR2_FR_1">'MODEL INTRO'!$H$13</definedName>
    <definedName name="γSTR2_LL_1.35">'MODEL INTRO'!$E$13</definedName>
    <definedName name="γSTR2_TU_1">'MODEL INTRO'!$I$13</definedName>
    <definedName name="γSTR2_TU_1.2">'MODEL INTRO'!$I$15</definedName>
    <definedName name="γSTR3_DC_0.9">'MODEL INTRO'!$C$17</definedName>
    <definedName name="γSTR3_DC_1.25">'MODEL INTRO'!$C$16</definedName>
    <definedName name="γSTR3_DW_0.65">'MODEL INTRO'!$D$17</definedName>
    <definedName name="γSTR3_DW_1.5">'MODEL INTRO'!$D$16</definedName>
    <definedName name="γSTR3_FR_1">'MODEL INTRO'!$H$16</definedName>
    <definedName name="γSTR3_LL_1.75">'[1]MODEL INTRO'!$E$323</definedName>
    <definedName name="γSTR3_TU_1">'MODEL INTRO'!$I$16</definedName>
    <definedName name="γSTR3_TU_1.2">'MODEL INTRO'!$I$18</definedName>
    <definedName name="γSTR3_WS_1">'MODEL INTRO'!$F$16</definedName>
    <definedName name="γSTR5_DC_0.9">'MODEL INTRO'!$C$20</definedName>
    <definedName name="γSTR5_DC_1.25">'MODEL INTRO'!$C$19</definedName>
    <definedName name="γSTR5_DW_0.65">'MODEL INTRO'!$D$20</definedName>
    <definedName name="γSTR5_DW_1.5">'MODEL INTRO'!$D$19</definedName>
    <definedName name="γSTR5_FR_1">'MODEL INTRO'!$H$19</definedName>
    <definedName name="γSTR5_LL_1.35">'MODEL INTRO'!$E$19</definedName>
    <definedName name="γSTR5_TU_1">'MODEL INTRO'!$I$19</definedName>
    <definedName name="γSTR5_TU_1.2">'MODEL INTRO'!$I$21</definedName>
    <definedName name="γSTR5_WL_1">'MODEL INTRO'!$G$19</definedName>
    <definedName name="γSTR5_WS_1">'MODEL INTRO'!$F$19</definedName>
    <definedName name="η">'MODEL INTRO'!$B$3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58" i="90" l="1"/>
  <c r="B159" i="90"/>
  <c r="B160" i="90"/>
  <c r="B161" i="90"/>
  <c r="B162" i="90"/>
  <c r="B163" i="90"/>
  <c r="B164" i="90"/>
  <c r="B165" i="90"/>
  <c r="B157" i="90"/>
  <c r="A156" i="90"/>
  <c r="L155" i="90"/>
  <c r="K155" i="90"/>
  <c r="J155" i="90"/>
  <c r="I155" i="90"/>
  <c r="H155" i="90"/>
  <c r="G155" i="90"/>
  <c r="F155" i="90"/>
  <c r="C155" i="90"/>
  <c r="B155" i="90"/>
  <c r="B144" i="90"/>
  <c r="B145" i="90"/>
  <c r="B146" i="90"/>
  <c r="B147" i="90"/>
  <c r="B148" i="90"/>
  <c r="B149" i="90"/>
  <c r="B150" i="90"/>
  <c r="B151" i="90"/>
  <c r="B143" i="90"/>
  <c r="A142" i="90"/>
  <c r="L141" i="90"/>
  <c r="K141" i="90"/>
  <c r="J141" i="90"/>
  <c r="I141" i="90"/>
  <c r="H141" i="90"/>
  <c r="G141" i="90"/>
  <c r="F141" i="90"/>
  <c r="C141" i="90"/>
  <c r="B141" i="90"/>
  <c r="B130" i="90"/>
  <c r="B131" i="90"/>
  <c r="B132" i="90"/>
  <c r="B133" i="90"/>
  <c r="B134" i="90"/>
  <c r="B135" i="90"/>
  <c r="B136" i="90"/>
  <c r="B137" i="90"/>
  <c r="B129" i="90"/>
  <c r="A128" i="90"/>
  <c r="L127" i="90"/>
  <c r="K127" i="90"/>
  <c r="J127" i="90"/>
  <c r="I127" i="90"/>
  <c r="H127" i="90"/>
  <c r="G127" i="90"/>
  <c r="F127" i="90"/>
  <c r="C127" i="90"/>
  <c r="B127" i="90"/>
  <c r="B116" i="90"/>
  <c r="B117" i="90"/>
  <c r="B118" i="90"/>
  <c r="B119" i="90"/>
  <c r="B120" i="90"/>
  <c r="B121" i="90"/>
  <c r="B122" i="90"/>
  <c r="B123" i="90"/>
  <c r="B115" i="90"/>
  <c r="A114" i="90"/>
  <c r="L113" i="90"/>
  <c r="K113" i="90"/>
  <c r="J113" i="90"/>
  <c r="I113" i="90"/>
  <c r="H113" i="90"/>
  <c r="G113" i="90"/>
  <c r="F113" i="90"/>
  <c r="C113" i="90"/>
  <c r="B113" i="90"/>
  <c r="B102" i="90"/>
  <c r="B103" i="90"/>
  <c r="B104" i="90"/>
  <c r="B105" i="90"/>
  <c r="B106" i="90"/>
  <c r="B107" i="90"/>
  <c r="B108" i="90"/>
  <c r="B109" i="90"/>
  <c r="B101" i="90"/>
  <c r="A100" i="90"/>
  <c r="L99" i="90"/>
  <c r="K99" i="90"/>
  <c r="J99" i="90"/>
  <c r="I99" i="90"/>
  <c r="H99" i="90"/>
  <c r="G99" i="90"/>
  <c r="F99" i="90"/>
  <c r="C99" i="90"/>
  <c r="B99" i="90"/>
  <c r="B88" i="90"/>
  <c r="B89" i="90"/>
  <c r="B90" i="90"/>
  <c r="B91" i="90"/>
  <c r="B92" i="90"/>
  <c r="B93" i="90"/>
  <c r="B94" i="90"/>
  <c r="B95" i="90"/>
  <c r="B87" i="90"/>
  <c r="A86" i="90"/>
  <c r="L85" i="90"/>
  <c r="K85" i="90"/>
  <c r="J85" i="90"/>
  <c r="I85" i="90"/>
  <c r="H85" i="90"/>
  <c r="G85" i="90"/>
  <c r="F85" i="90"/>
  <c r="C85" i="90"/>
  <c r="B85" i="90"/>
  <c r="B74" i="90"/>
  <c r="B75" i="90"/>
  <c r="B76" i="90"/>
  <c r="B77" i="90"/>
  <c r="B78" i="90"/>
  <c r="B79" i="90"/>
  <c r="B80" i="90"/>
  <c r="B81" i="90"/>
  <c r="B73" i="90"/>
  <c r="A72" i="90"/>
  <c r="L71" i="90"/>
  <c r="K71" i="90"/>
  <c r="J71" i="90"/>
  <c r="I71" i="90"/>
  <c r="H71" i="90"/>
  <c r="G71" i="90"/>
  <c r="F71" i="90"/>
  <c r="C71" i="90"/>
  <c r="B71" i="90"/>
  <c r="B60" i="90"/>
  <c r="B61" i="90"/>
  <c r="B62" i="90"/>
  <c r="B63" i="90"/>
  <c r="B64" i="90"/>
  <c r="B65" i="90"/>
  <c r="B66" i="90"/>
  <c r="B67" i="90"/>
  <c r="B59" i="90"/>
  <c r="A58" i="90"/>
  <c r="L57" i="90"/>
  <c r="K57" i="90"/>
  <c r="J57" i="90"/>
  <c r="I57" i="90"/>
  <c r="H57" i="90"/>
  <c r="G57" i="90"/>
  <c r="F57" i="90"/>
  <c r="C57" i="90"/>
  <c r="B57" i="90"/>
  <c r="B46" i="90"/>
  <c r="B47" i="90"/>
  <c r="B48" i="90"/>
  <c r="B49" i="90"/>
  <c r="B50" i="90"/>
  <c r="B51" i="90"/>
  <c r="B52" i="90"/>
  <c r="B53" i="90"/>
  <c r="B45" i="90"/>
  <c r="A44" i="90"/>
  <c r="L43" i="90"/>
  <c r="K43" i="90"/>
  <c r="J43" i="90"/>
  <c r="I43" i="90"/>
  <c r="H43" i="90"/>
  <c r="G43" i="90"/>
  <c r="F43" i="90"/>
  <c r="C43" i="90"/>
  <c r="B43" i="90"/>
  <c r="B32" i="90"/>
  <c r="B33" i="90"/>
  <c r="B34" i="90"/>
  <c r="B35" i="90"/>
  <c r="B36" i="90"/>
  <c r="B37" i="90"/>
  <c r="B38" i="90"/>
  <c r="B39" i="90"/>
  <c r="B31" i="90"/>
  <c r="A30" i="90"/>
  <c r="L29" i="90"/>
  <c r="K29" i="90"/>
  <c r="J29" i="90"/>
  <c r="I29" i="90"/>
  <c r="H29" i="90"/>
  <c r="G29" i="90"/>
  <c r="F29" i="90"/>
  <c r="C29" i="90"/>
  <c r="B29" i="90"/>
  <c r="B18" i="90"/>
  <c r="E18" i="90"/>
  <c r="E60" i="90" s="1"/>
  <c r="B19" i="90"/>
  <c r="E19" i="90"/>
  <c r="E131" i="90" s="1"/>
  <c r="B20" i="90"/>
  <c r="E20" i="90"/>
  <c r="E132" i="90" s="1"/>
  <c r="B21" i="90"/>
  <c r="E21" i="90"/>
  <c r="E35" i="90" s="1"/>
  <c r="B22" i="90"/>
  <c r="E22" i="90"/>
  <c r="B23" i="90"/>
  <c r="E23" i="90"/>
  <c r="E37" i="90" s="1"/>
  <c r="B24" i="90"/>
  <c r="E24" i="90"/>
  <c r="E150" i="90" s="1"/>
  <c r="B25" i="90"/>
  <c r="E25" i="90"/>
  <c r="E67" i="90" s="1"/>
  <c r="E52" i="90" l="1"/>
  <c r="E38" i="90"/>
  <c r="E160" i="90"/>
  <c r="E135" i="90"/>
  <c r="E90" i="90"/>
  <c r="E34" i="90"/>
  <c r="E117" i="90"/>
  <c r="E91" i="90"/>
  <c r="E77" i="90"/>
  <c r="E63" i="90"/>
  <c r="E49" i="90"/>
  <c r="E133" i="90"/>
  <c r="E119" i="90"/>
  <c r="E106" i="90"/>
  <c r="E92" i="90"/>
  <c r="E78" i="90"/>
  <c r="E64" i="90"/>
  <c r="E50" i="90"/>
  <c r="E148" i="90"/>
  <c r="E134" i="90"/>
  <c r="E162" i="90"/>
  <c r="E76" i="90"/>
  <c r="E62" i="90"/>
  <c r="E48" i="90"/>
  <c r="E118" i="90"/>
  <c r="E104" i="90"/>
  <c r="E36" i="90"/>
  <c r="E146" i="90"/>
  <c r="E46" i="90"/>
  <c r="E158" i="90"/>
  <c r="E144" i="90"/>
  <c r="E88" i="90"/>
  <c r="E74" i="90"/>
  <c r="E130" i="90"/>
  <c r="E33" i="90"/>
  <c r="E32" i="90"/>
  <c r="E116" i="90"/>
  <c r="E161" i="90"/>
  <c r="E75" i="90"/>
  <c r="E105" i="90"/>
  <c r="E147" i="90"/>
  <c r="E145" i="90"/>
  <c r="E151" i="90"/>
  <c r="E137" i="90"/>
  <c r="E123" i="90"/>
  <c r="E109" i="90"/>
  <c r="E95" i="90"/>
  <c r="E81" i="90"/>
  <c r="E53" i="90"/>
  <c r="E102" i="90"/>
  <c r="E136" i="90"/>
  <c r="E122" i="90"/>
  <c r="E108" i="90"/>
  <c r="E94" i="90"/>
  <c r="E80" i="90"/>
  <c r="E66" i="90"/>
  <c r="E164" i="90"/>
  <c r="E61" i="90"/>
  <c r="E47" i="90"/>
  <c r="E159" i="90"/>
  <c r="E103" i="90"/>
  <c r="E89" i="90"/>
  <c r="E121" i="90"/>
  <c r="E107" i="90"/>
  <c r="E93" i="90"/>
  <c r="E79" i="90"/>
  <c r="E65" i="90"/>
  <c r="E51" i="90"/>
  <c r="E163" i="90"/>
  <c r="E149" i="90"/>
  <c r="E39" i="90"/>
  <c r="E120" i="90"/>
  <c r="E165" i="90"/>
  <c r="A16" i="90"/>
  <c r="C14" i="91" l="1"/>
  <c r="A25" i="90" s="1"/>
  <c r="C13" i="91"/>
  <c r="A24" i="90" s="1"/>
  <c r="C12" i="91"/>
  <c r="A23" i="90" s="1"/>
  <c r="C11" i="91"/>
  <c r="A22" i="90" s="1"/>
  <c r="C10" i="91"/>
  <c r="A21" i="90" s="1"/>
  <c r="C9" i="91"/>
  <c r="A20" i="90" s="1"/>
  <c r="C8" i="91"/>
  <c r="A19" i="90" s="1"/>
  <c r="C7" i="91"/>
  <c r="A18" i="90" s="1"/>
  <c r="C6" i="91"/>
  <c r="A74" i="90" l="1"/>
  <c r="A46" i="90"/>
  <c r="A144" i="90"/>
  <c r="A130" i="90"/>
  <c r="A116" i="90"/>
  <c r="A32" i="90"/>
  <c r="A158" i="90"/>
  <c r="A102" i="90"/>
  <c r="A88" i="90"/>
  <c r="A60" i="90"/>
  <c r="A131" i="90"/>
  <c r="A75" i="90"/>
  <c r="A33" i="90"/>
  <c r="A61" i="90"/>
  <c r="A145" i="90"/>
  <c r="A117" i="90"/>
  <c r="A103" i="90"/>
  <c r="A47" i="90"/>
  <c r="A159" i="90"/>
  <c r="A89" i="90"/>
  <c r="A90" i="90"/>
  <c r="A104" i="90"/>
  <c r="A34" i="90"/>
  <c r="A132" i="90"/>
  <c r="A118" i="90"/>
  <c r="A160" i="90"/>
  <c r="A48" i="90"/>
  <c r="A76" i="90"/>
  <c r="A146" i="90"/>
  <c r="A62" i="90"/>
  <c r="A35" i="90"/>
  <c r="A91" i="90"/>
  <c r="A133" i="90"/>
  <c r="A63" i="90"/>
  <c r="A119" i="90"/>
  <c r="A161" i="90"/>
  <c r="A147" i="90"/>
  <c r="A77" i="90"/>
  <c r="A49" i="90"/>
  <c r="A105" i="90"/>
  <c r="A64" i="90"/>
  <c r="A134" i="90"/>
  <c r="A120" i="90"/>
  <c r="A106" i="90"/>
  <c r="A50" i="90"/>
  <c r="A162" i="90"/>
  <c r="A148" i="90"/>
  <c r="A92" i="90"/>
  <c r="A78" i="90"/>
  <c r="A36" i="90"/>
  <c r="A135" i="90"/>
  <c r="A51" i="90"/>
  <c r="A149" i="90"/>
  <c r="A163" i="90"/>
  <c r="A107" i="90"/>
  <c r="A93" i="90"/>
  <c r="A121" i="90"/>
  <c r="A79" i="90"/>
  <c r="A37" i="90"/>
  <c r="A65" i="90"/>
  <c r="A136" i="90"/>
  <c r="A38" i="90"/>
  <c r="A66" i="90"/>
  <c r="A164" i="90"/>
  <c r="A52" i="90"/>
  <c r="A122" i="90"/>
  <c r="A94" i="90"/>
  <c r="A108" i="90"/>
  <c r="A150" i="90"/>
  <c r="A80" i="90"/>
  <c r="A39" i="90"/>
  <c r="A151" i="90"/>
  <c r="A53" i="90"/>
  <c r="A109" i="90"/>
  <c r="A95" i="90"/>
  <c r="A81" i="90"/>
  <c r="A165" i="90"/>
  <c r="A67" i="90"/>
  <c r="A137" i="90"/>
  <c r="A123" i="90"/>
  <c r="A1" i="87"/>
  <c r="A2" i="87"/>
  <c r="AI16" i="87"/>
  <c r="AI17" i="87" s="1"/>
  <c r="AI18" i="87" s="1"/>
  <c r="AI19" i="87" s="1"/>
  <c r="AI20" i="87" s="1"/>
  <c r="AJ16" i="87"/>
  <c r="AJ17" i="87"/>
  <c r="AJ18" i="87" s="1"/>
  <c r="AJ19" i="87" s="1"/>
  <c r="AJ20" i="87" s="1"/>
  <c r="AI23" i="87"/>
  <c r="AI24" i="87" s="1"/>
  <c r="AI25" i="87" s="1"/>
  <c r="AI26" i="87" s="1"/>
  <c r="AI27" i="87" s="1"/>
  <c r="AJ23" i="87"/>
  <c r="AJ24" i="87"/>
  <c r="AJ25" i="87" s="1"/>
  <c r="AJ26" i="87" s="1"/>
  <c r="AJ27" i="87" s="1"/>
  <c r="AI30" i="87"/>
  <c r="AI31" i="87" s="1"/>
  <c r="AI32" i="87" s="1"/>
  <c r="AI33" i="87" s="1"/>
  <c r="AI34" i="87" s="1"/>
  <c r="AJ30" i="87"/>
  <c r="AJ31" i="87" s="1"/>
  <c r="AJ32" i="87" s="1"/>
  <c r="AJ33" i="87" s="1"/>
  <c r="AJ34" i="87" s="1"/>
  <c r="AI37" i="87"/>
  <c r="AI38" i="87" s="1"/>
  <c r="AI39" i="87" s="1"/>
  <c r="AI40" i="87" s="1"/>
  <c r="AI41" i="87" s="1"/>
  <c r="AJ37" i="87"/>
  <c r="AJ38" i="87"/>
  <c r="AJ39" i="87" s="1"/>
  <c r="AJ40" i="87" s="1"/>
  <c r="AJ41" i="87" s="1"/>
  <c r="AI44" i="87"/>
  <c r="AI45" i="87" s="1"/>
  <c r="AI46" i="87" s="1"/>
  <c r="AI47" i="87" s="1"/>
  <c r="AI48" i="87" s="1"/>
  <c r="AJ44" i="87"/>
  <c r="AJ45" i="87" s="1"/>
  <c r="AJ46" i="87" s="1"/>
  <c r="AJ47" i="87" s="1"/>
  <c r="AJ48" i="87" s="1"/>
  <c r="AI51" i="87"/>
  <c r="AI52" i="87" s="1"/>
  <c r="AI53" i="87" s="1"/>
  <c r="AI54" i="87" s="1"/>
  <c r="AI55" i="87" s="1"/>
  <c r="AJ51" i="87"/>
  <c r="AJ52" i="87" s="1"/>
  <c r="AJ53" i="87" s="1"/>
  <c r="AJ54" i="87" s="1"/>
  <c r="AJ55" i="87" s="1"/>
  <c r="C61" i="87"/>
  <c r="T52" i="87" a="1"/>
  <c r="T52" i="87" l="1"/>
  <c r="A17" i="90"/>
  <c r="AE40" i="87" a="1"/>
  <c r="T20" i="87" a="1"/>
  <c r="AA3" i="87"/>
  <c r="R3" i="87"/>
  <c r="N2" i="87"/>
  <c r="AC23" i="87" a="1"/>
  <c r="M2" i="87"/>
  <c r="J5" i="87"/>
  <c r="R5" i="87"/>
  <c r="R2" i="87"/>
  <c r="AD3" i="87"/>
  <c r="T37" i="87" a="1"/>
  <c r="Z6" i="87"/>
  <c r="U3" i="87"/>
  <c r="V2" i="87"/>
  <c r="AB2" i="87"/>
  <c r="AE39" i="87" a="1"/>
  <c r="T44" i="87" a="1"/>
  <c r="Z3" i="87"/>
  <c r="U6" i="87"/>
  <c r="T39" i="87" a="1"/>
  <c r="U2" i="87"/>
  <c r="W2" i="87"/>
  <c r="AC3" i="87"/>
  <c r="L5" i="87"/>
  <c r="T30" i="87" a="1"/>
  <c r="AF46" i="87" a="1"/>
  <c r="AE41" i="87" a="1"/>
  <c r="AB6" i="87"/>
  <c r="AA5" i="87"/>
  <c r="T55" i="87" a="1"/>
  <c r="T38" i="87" a="1"/>
  <c r="AG55" i="87" a="1"/>
  <c r="AB19" i="87" a="1"/>
  <c r="AD30" i="87" a="1"/>
  <c r="T19" i="87" a="1"/>
  <c r="O2" i="87"/>
  <c r="AC26" i="87" a="1"/>
  <c r="V3" i="87"/>
  <c r="AB17" i="87" a="1"/>
  <c r="T40" i="87" a="1"/>
  <c r="AG51" i="87" a="1"/>
  <c r="T29" i="87" a="1"/>
  <c r="AA2" i="87"/>
  <c r="AE5" i="87"/>
  <c r="AF43" i="87" a="1"/>
  <c r="W3" i="87"/>
  <c r="T36" i="87" a="1"/>
  <c r="J6" i="87"/>
  <c r="O6" i="87"/>
  <c r="O3" i="87"/>
  <c r="AD29" i="87" a="1"/>
  <c r="L3" i="87"/>
  <c r="AE38" i="87" a="1"/>
  <c r="AE36" i="87" a="1"/>
  <c r="O5" i="87"/>
  <c r="AA6" i="87"/>
  <c r="T32" i="87" a="1"/>
  <c r="J2" i="87"/>
  <c r="T53" i="87" a="1"/>
  <c r="AE2" i="87"/>
  <c r="T2" i="87"/>
  <c r="N6" i="87"/>
  <c r="AC5" i="87"/>
  <c r="N5" i="87"/>
  <c r="AD5" i="87"/>
  <c r="T15" i="87" a="1"/>
  <c r="T27" i="87" a="1"/>
  <c r="T23" i="87" a="1"/>
  <c r="Z5" i="87"/>
  <c r="V6" i="87"/>
  <c r="AE37" i="87" a="1"/>
  <c r="AD33" i="87" a="1"/>
  <c r="AD32" i="87" a="1"/>
  <c r="AC52" i="87"/>
  <c r="R6" i="87"/>
  <c r="T26" i="87" a="1"/>
  <c r="AG54" i="87" a="1"/>
  <c r="AB16" i="87" a="1"/>
  <c r="T33" i="87" a="1"/>
  <c r="T48" i="87" a="1"/>
  <c r="T54" i="87" a="1"/>
  <c r="T5" i="87"/>
  <c r="S3" i="87"/>
  <c r="Z2" i="87"/>
  <c r="AD31" i="87" a="1"/>
  <c r="AG50" i="87" a="1"/>
  <c r="T16" i="87" a="1"/>
  <c r="T50" i="87" a="1"/>
  <c r="K3" i="87"/>
  <c r="T17" i="87" a="1"/>
  <c r="M5" i="87"/>
  <c r="AB15" i="87" a="1"/>
  <c r="L2" i="87"/>
  <c r="K6" i="87"/>
  <c r="T51" i="87" a="1"/>
  <c r="T41" i="87" a="1"/>
  <c r="AG53" i="87" a="1"/>
  <c r="AE6" i="87"/>
  <c r="T18" i="87" a="1"/>
  <c r="N3" i="87"/>
  <c r="T3" i="87"/>
  <c r="AC6" i="87"/>
  <c r="AB5" i="87"/>
  <c r="T24" i="87" a="1"/>
  <c r="J3" i="87"/>
  <c r="AD2" i="87"/>
  <c r="W6" i="87"/>
  <c r="T43" i="87" a="1"/>
  <c r="M6" i="87"/>
  <c r="T25" i="87" a="1"/>
  <c r="U5" i="87"/>
  <c r="S5" i="87"/>
  <c r="AF45" i="87" a="1"/>
  <c r="T47" i="87" a="1"/>
  <c r="AC27" i="87" a="1"/>
  <c r="K5" i="87"/>
  <c r="AC24" i="87" a="1"/>
  <c r="L6" i="87"/>
  <c r="T22" i="87" a="1"/>
  <c r="T34" i="87" a="1"/>
  <c r="AD6" i="87"/>
  <c r="AG52" i="87" a="1"/>
  <c r="T45" i="87" a="1"/>
  <c r="T6" i="87"/>
  <c r="K2" i="87"/>
  <c r="AC25" i="87" a="1"/>
  <c r="AE3" i="87"/>
  <c r="W5" i="87"/>
  <c r="AB18" i="87" a="1"/>
  <c r="T31" i="87" a="1"/>
  <c r="S6" i="87"/>
  <c r="S2" i="87"/>
  <c r="AF48" i="87" a="1"/>
  <c r="AF44" i="87" a="1"/>
  <c r="AF47" i="87" a="1"/>
  <c r="T46" i="87" a="1"/>
  <c r="AD34" i="87" a="1"/>
  <c r="AC22" i="87" a="1"/>
  <c r="V5" i="87"/>
  <c r="AC2" i="87"/>
  <c r="AB3" i="87"/>
  <c r="AB20" i="87" a="1"/>
  <c r="M3" i="87"/>
  <c r="A73" i="90" l="1"/>
  <c r="A31" i="90"/>
  <c r="A129" i="90"/>
  <c r="A45" i="90"/>
  <c r="A87" i="90"/>
  <c r="A101" i="90"/>
  <c r="A143" i="90"/>
  <c r="A115" i="90"/>
  <c r="A157" i="90"/>
  <c r="A59" i="90"/>
  <c r="C29" i="87"/>
  <c r="T30" i="87"/>
  <c r="C17" i="87"/>
  <c r="C39" i="87"/>
  <c r="AG51" i="87"/>
  <c r="AC23" i="87"/>
  <c r="T39" i="87"/>
  <c r="T47" i="87"/>
  <c r="T44" i="87"/>
  <c r="AD33" i="87"/>
  <c r="AF43" i="87"/>
  <c r="AE39" i="87"/>
  <c r="AG55" i="87"/>
  <c r="C27" i="87"/>
  <c r="T38" i="87"/>
  <c r="T34" i="87"/>
  <c r="C54" i="87"/>
  <c r="C46" i="87"/>
  <c r="C52" i="87"/>
  <c r="T51" i="87"/>
  <c r="AE37" i="87"/>
  <c r="C33" i="87"/>
  <c r="T20" i="87"/>
  <c r="AB19" i="87"/>
  <c r="T32" i="87"/>
  <c r="T33" i="87"/>
  <c r="AC25" i="87"/>
  <c r="T29" i="87"/>
  <c r="T45" i="87"/>
  <c r="T37" i="87"/>
  <c r="AD30" i="87"/>
  <c r="C48" i="87"/>
  <c r="C41" i="87"/>
  <c r="C18" i="87"/>
  <c r="C31" i="87"/>
  <c r="C32" i="87"/>
  <c r="AB18" i="87"/>
  <c r="AE41" i="87"/>
  <c r="T31" i="87"/>
  <c r="T16" i="87"/>
  <c r="AB16" i="87"/>
  <c r="T25" i="87"/>
  <c r="C20" i="87"/>
  <c r="C25" i="87"/>
  <c r="T53" i="87"/>
  <c r="T24" i="87"/>
  <c r="C40" i="87"/>
  <c r="AE36" i="87"/>
  <c r="C16" i="87"/>
  <c r="C45" i="87"/>
  <c r="C38" i="87"/>
  <c r="AD31" i="87"/>
  <c r="AB17" i="87"/>
  <c r="AE38" i="87"/>
  <c r="T17" i="87"/>
  <c r="C30" i="87"/>
  <c r="AC22" i="87"/>
  <c r="AC27" i="87"/>
  <c r="C43" i="87"/>
  <c r="C36" i="87"/>
  <c r="C15" i="87"/>
  <c r="T43" i="87"/>
  <c r="C24" i="87"/>
  <c r="C47" i="87"/>
  <c r="AG50" i="87"/>
  <c r="C26" i="87"/>
  <c r="T22" i="87"/>
  <c r="AC24" i="87"/>
  <c r="C22" i="87"/>
  <c r="C51" i="87"/>
  <c r="AD29" i="87"/>
  <c r="C37" i="87"/>
  <c r="C23" i="87"/>
  <c r="T55" i="87"/>
  <c r="AG54" i="87"/>
  <c r="T40" i="87"/>
  <c r="AB20" i="87"/>
  <c r="T36" i="87"/>
  <c r="T48" i="87"/>
  <c r="AF47" i="87"/>
  <c r="T26" i="87"/>
  <c r="AF48" i="87"/>
  <c r="T50" i="87"/>
  <c r="AG53" i="87"/>
  <c r="T18" i="87"/>
  <c r="C44" i="87"/>
  <c r="C55" i="87"/>
  <c r="T15" i="87"/>
  <c r="T41" i="87"/>
  <c r="AE40" i="87"/>
  <c r="C34" i="87"/>
  <c r="C50" i="87"/>
  <c r="C19" i="87"/>
  <c r="AF46" i="87"/>
  <c r="AF45" i="87"/>
  <c r="AD34" i="87"/>
  <c r="C53" i="87"/>
  <c r="AF44" i="87"/>
  <c r="T23" i="87"/>
  <c r="AB15" i="87"/>
  <c r="T27" i="87"/>
  <c r="AC26" i="87"/>
  <c r="T46" i="87"/>
  <c r="T19" i="87"/>
  <c r="T54" i="87"/>
  <c r="AD32" i="87"/>
  <c r="AG52" i="87"/>
  <c r="J7" i="90"/>
  <c r="A1" i="92"/>
  <c r="A2" i="92"/>
  <c r="AI16" i="92"/>
  <c r="AI17" i="92" s="1"/>
  <c r="AI18" i="92" s="1"/>
  <c r="AI19" i="92" s="1"/>
  <c r="AI20" i="92" s="1"/>
  <c r="AJ16" i="92"/>
  <c r="AJ17" i="92" s="1"/>
  <c r="AJ18" i="92" s="1"/>
  <c r="AJ19" i="92" s="1"/>
  <c r="AJ20" i="92" s="1"/>
  <c r="AI23" i="92"/>
  <c r="AI24" i="92" s="1"/>
  <c r="AI25" i="92" s="1"/>
  <c r="AI26" i="92" s="1"/>
  <c r="AI27" i="92" s="1"/>
  <c r="AJ23" i="92"/>
  <c r="AJ24" i="92" s="1"/>
  <c r="AJ25" i="92" s="1"/>
  <c r="AJ26" i="92" s="1"/>
  <c r="AJ27" i="92" s="1"/>
  <c r="AI30" i="92"/>
  <c r="AI31" i="92" s="1"/>
  <c r="AI32" i="92" s="1"/>
  <c r="AI33" i="92" s="1"/>
  <c r="AI34" i="92" s="1"/>
  <c r="AJ30" i="92"/>
  <c r="AJ31" i="92" s="1"/>
  <c r="AJ32" i="92" s="1"/>
  <c r="AJ33" i="92" s="1"/>
  <c r="AJ34" i="92" s="1"/>
  <c r="AI37" i="92"/>
  <c r="AI38" i="92" s="1"/>
  <c r="AI39" i="92" s="1"/>
  <c r="AI40" i="92" s="1"/>
  <c r="AI41" i="92" s="1"/>
  <c r="AJ37" i="92"/>
  <c r="AJ38" i="92" s="1"/>
  <c r="AJ39" i="92" s="1"/>
  <c r="AJ40" i="92" s="1"/>
  <c r="AJ41" i="92" s="1"/>
  <c r="AI44" i="92"/>
  <c r="AI45" i="92" s="1"/>
  <c r="AI46" i="92" s="1"/>
  <c r="AI47" i="92" s="1"/>
  <c r="AI48" i="92" s="1"/>
  <c r="AJ44" i="92"/>
  <c r="AJ45" i="92" s="1"/>
  <c r="AJ46" i="92" s="1"/>
  <c r="AJ47" i="92" s="1"/>
  <c r="AJ48" i="92" s="1"/>
  <c r="AI51" i="92"/>
  <c r="AI52" i="92" s="1"/>
  <c r="AI53" i="92" s="1"/>
  <c r="AI54" i="92" s="1"/>
  <c r="AI55" i="92" s="1"/>
  <c r="AJ51" i="92"/>
  <c r="AJ52" i="92" s="1"/>
  <c r="AJ53" i="92" s="1"/>
  <c r="AJ54" i="92" s="1"/>
  <c r="AJ55" i="92" s="1"/>
  <c r="C61" i="92"/>
  <c r="X52" i="87"/>
  <c r="U52" i="87"/>
  <c r="Y52" i="87"/>
  <c r="AB52" i="87"/>
  <c r="Z52" i="87"/>
  <c r="AF52" i="87"/>
  <c r="W52" i="87"/>
  <c r="AD52" i="87"/>
  <c r="AA52" i="87"/>
  <c r="AE52" i="87"/>
  <c r="AG51" i="92" a="1"/>
  <c r="AG51" i="92" l="1"/>
  <c r="F15" i="90" l="1"/>
  <c r="C15" i="90"/>
  <c r="B15" i="90"/>
  <c r="E17" i="90" l="1"/>
  <c r="C61" i="93"/>
  <c r="AJ51" i="93"/>
  <c r="AJ52" i="93" s="1"/>
  <c r="AJ53" i="93" s="1"/>
  <c r="AJ54" i="93" s="1"/>
  <c r="AJ55" i="93" s="1"/>
  <c r="AI51" i="93"/>
  <c r="AI52" i="93" s="1"/>
  <c r="AI53" i="93" s="1"/>
  <c r="AI54" i="93" s="1"/>
  <c r="AI55" i="93" s="1"/>
  <c r="AJ44" i="93"/>
  <c r="AJ45" i="93" s="1"/>
  <c r="AJ46" i="93" s="1"/>
  <c r="AJ47" i="93" s="1"/>
  <c r="AJ48" i="93" s="1"/>
  <c r="AI44" i="93"/>
  <c r="AI45" i="93" s="1"/>
  <c r="AI46" i="93" s="1"/>
  <c r="AI47" i="93" s="1"/>
  <c r="AI48" i="93" s="1"/>
  <c r="AJ37" i="93"/>
  <c r="AJ38" i="93" s="1"/>
  <c r="AJ39" i="93" s="1"/>
  <c r="AJ40" i="93" s="1"/>
  <c r="AJ41" i="93" s="1"/>
  <c r="AI37" i="93"/>
  <c r="AI38" i="93" s="1"/>
  <c r="AI39" i="93" s="1"/>
  <c r="AI40" i="93" s="1"/>
  <c r="AI41" i="93" s="1"/>
  <c r="AJ30" i="93"/>
  <c r="AJ31" i="93" s="1"/>
  <c r="AJ32" i="93" s="1"/>
  <c r="AJ33" i="93" s="1"/>
  <c r="AJ34" i="93" s="1"/>
  <c r="AI30" i="93"/>
  <c r="AI31" i="93" s="1"/>
  <c r="AI32" i="93" s="1"/>
  <c r="AI33" i="93" s="1"/>
  <c r="AI34" i="93" s="1"/>
  <c r="AJ23" i="93"/>
  <c r="AJ24" i="93" s="1"/>
  <c r="AJ25" i="93" s="1"/>
  <c r="AJ26" i="93" s="1"/>
  <c r="AJ27" i="93" s="1"/>
  <c r="AI23" i="93"/>
  <c r="AI24" i="93" s="1"/>
  <c r="AI25" i="93" s="1"/>
  <c r="AI26" i="93" s="1"/>
  <c r="AI27" i="93" s="1"/>
  <c r="AJ16" i="93"/>
  <c r="AJ17" i="93" s="1"/>
  <c r="AJ18" i="93" s="1"/>
  <c r="AJ19" i="93" s="1"/>
  <c r="AJ20" i="93" s="1"/>
  <c r="AI16" i="93"/>
  <c r="AI17" i="93" s="1"/>
  <c r="AI18" i="93" s="1"/>
  <c r="AI19" i="93" s="1"/>
  <c r="AI20" i="93" s="1"/>
  <c r="A2" i="93"/>
  <c r="A1" i="93"/>
  <c r="O6" i="92"/>
  <c r="P23" i="87"/>
  <c r="J47" i="87"/>
  <c r="M25" i="87"/>
  <c r="I54" i="87"/>
  <c r="M17" i="87"/>
  <c r="O34" i="87"/>
  <c r="L51" i="87"/>
  <c r="AE18" i="87"/>
  <c r="Y41" i="87"/>
  <c r="AB55" i="87"/>
  <c r="W47" i="87"/>
  <c r="AE29" i="87"/>
  <c r="AD24" i="87"/>
  <c r="T16" i="92" a="1"/>
  <c r="H37" i="87"/>
  <c r="U20" i="87"/>
  <c r="AG48" i="87"/>
  <c r="D26" i="87"/>
  <c r="W33" i="87"/>
  <c r="L20" i="87"/>
  <c r="G15" i="87"/>
  <c r="X51" i="87"/>
  <c r="Z16" i="87"/>
  <c r="Z48" i="87"/>
  <c r="T36" i="92" a="1"/>
  <c r="O22" i="87"/>
  <c r="O50" i="87"/>
  <c r="AE2" i="92"/>
  <c r="AB45" i="87"/>
  <c r="S2" i="92"/>
  <c r="P24" i="87"/>
  <c r="N34" i="87"/>
  <c r="H54" i="87"/>
  <c r="N47" i="87"/>
  <c r="G31" i="87"/>
  <c r="AD22" i="87"/>
  <c r="M45" i="87"/>
  <c r="AB33" i="87"/>
  <c r="K37" i="87"/>
  <c r="AF46" i="92" a="1"/>
  <c r="P43" i="87"/>
  <c r="AA40" i="87"/>
  <c r="AC39" i="87"/>
  <c r="O40" i="87"/>
  <c r="AG25" i="87"/>
  <c r="AF17" i="87"/>
  <c r="T43" i="92" a="1"/>
  <c r="AD39" i="87"/>
  <c r="L19" i="87"/>
  <c r="Y31" i="87"/>
  <c r="W23" i="87"/>
  <c r="AB38" i="87"/>
  <c r="G29" i="87"/>
  <c r="N41" i="87"/>
  <c r="M6" i="92"/>
  <c r="O27" i="87"/>
  <c r="I31" i="87"/>
  <c r="F46" i="87"/>
  <c r="X23" i="87"/>
  <c r="K54" i="87"/>
  <c r="F37" i="87"/>
  <c r="D41" i="87"/>
  <c r="M22" i="87"/>
  <c r="W3" i="92"/>
  <c r="J20" i="87"/>
  <c r="L5" i="92"/>
  <c r="M16" i="87"/>
  <c r="AC2" i="92"/>
  <c r="AD5" i="92"/>
  <c r="X19" i="87"/>
  <c r="I16" i="87"/>
  <c r="AD41" i="87"/>
  <c r="Y33" i="87"/>
  <c r="AA47" i="87"/>
  <c r="F33" i="87"/>
  <c r="L3" i="92"/>
  <c r="H18" i="87"/>
  <c r="AE44" i="87"/>
  <c r="AF37" i="87"/>
  <c r="O45" i="87"/>
  <c r="F24" i="87"/>
  <c r="AC30" i="87"/>
  <c r="AF47" i="92" a="1"/>
  <c r="D36" i="87"/>
  <c r="W46" i="87"/>
  <c r="O55" i="87"/>
  <c r="R2" i="92"/>
  <c r="G50" i="87"/>
  <c r="K19" i="87"/>
  <c r="T25" i="92" a="1"/>
  <c r="AG39" i="87"/>
  <c r="I22" i="87"/>
  <c r="G16" i="87"/>
  <c r="AA39" i="87"/>
  <c r="G45" i="87"/>
  <c r="AC44" i="87"/>
  <c r="T52" i="92" a="1"/>
  <c r="W20" i="87"/>
  <c r="W16" i="87"/>
  <c r="AA41" i="87"/>
  <c r="J37" i="87"/>
  <c r="AA20" i="87"/>
  <c r="AB31" i="87"/>
  <c r="AA36" i="87"/>
  <c r="AG24" i="87"/>
  <c r="S3" i="92"/>
  <c r="X22" i="87"/>
  <c r="AC33" i="87"/>
  <c r="Y22" i="87"/>
  <c r="U26" i="87"/>
  <c r="J40" i="87"/>
  <c r="M34" i="87"/>
  <c r="N43" i="87"/>
  <c r="AF50" i="87"/>
  <c r="AD19" i="87"/>
  <c r="P36" i="87"/>
  <c r="AB27" i="87"/>
  <c r="AG47" i="87"/>
  <c r="AD23" i="87"/>
  <c r="Z33" i="87"/>
  <c r="J17" i="87"/>
  <c r="D20" i="87"/>
  <c r="K45" i="87"/>
  <c r="AC46" i="87"/>
  <c r="T55" i="92" a="1"/>
  <c r="K20" i="87"/>
  <c r="I48" i="87"/>
  <c r="L40" i="87"/>
  <c r="F34" i="87"/>
  <c r="M55" i="87"/>
  <c r="T26" i="92" a="1"/>
  <c r="N6" i="92"/>
  <c r="P15" i="87"/>
  <c r="U30" i="87"/>
  <c r="AG54" i="92" a="1"/>
  <c r="L16" i="87"/>
  <c r="O33" i="87"/>
  <c r="G25" i="87"/>
  <c r="F19" i="87"/>
  <c r="F44" i="87"/>
  <c r="Y47" i="87"/>
  <c r="L37" i="87"/>
  <c r="I37" i="87"/>
  <c r="AA30" i="87"/>
  <c r="I25" i="87"/>
  <c r="H15" i="87"/>
  <c r="N31" i="87"/>
  <c r="AF15" i="87"/>
  <c r="J30" i="87"/>
  <c r="O23" i="87"/>
  <c r="K53" i="87"/>
  <c r="X37" i="87"/>
  <c r="K22" i="87"/>
  <c r="K40" i="87"/>
  <c r="U55" i="87"/>
  <c r="D55" i="87"/>
  <c r="P19" i="87"/>
  <c r="W18" i="87"/>
  <c r="AB2" i="92"/>
  <c r="O39" i="87"/>
  <c r="AB37" i="87"/>
  <c r="AC6" i="92"/>
  <c r="D54" i="87"/>
  <c r="M54" i="87"/>
  <c r="T45" i="92" a="1"/>
  <c r="H23" i="87"/>
  <c r="AF27" i="87"/>
  <c r="AC24" i="92" a="1"/>
  <c r="U38" i="87"/>
  <c r="V6" i="92"/>
  <c r="G54" i="87"/>
  <c r="U44" i="87"/>
  <c r="H55" i="87"/>
  <c r="Z45" i="87"/>
  <c r="AC23" i="92" a="1"/>
  <c r="X20" i="87"/>
  <c r="M33" i="87"/>
  <c r="P41" i="87"/>
  <c r="P27" i="87"/>
  <c r="AB20" i="92" a="1"/>
  <c r="AE25" i="87"/>
  <c r="AG19" i="87"/>
  <c r="X15" i="87"/>
  <c r="Z38" i="87"/>
  <c r="D15" i="87"/>
  <c r="O24" i="87"/>
  <c r="I24" i="87"/>
  <c r="N3" i="92"/>
  <c r="G33" i="87"/>
  <c r="G40" i="87"/>
  <c r="T15" i="92" a="1"/>
  <c r="M24" i="87"/>
  <c r="G32" i="87"/>
  <c r="AA6" i="92"/>
  <c r="O18" i="87"/>
  <c r="W15" i="87"/>
  <c r="AB6" i="92"/>
  <c r="AE23" i="87"/>
  <c r="X27" i="87"/>
  <c r="O2" i="92"/>
  <c r="K29" i="87"/>
  <c r="I30" i="87"/>
  <c r="AE15" i="87"/>
  <c r="AA31" i="87"/>
  <c r="M2" i="92"/>
  <c r="G53" i="87"/>
  <c r="G41" i="87"/>
  <c r="F16" i="87"/>
  <c r="P16" i="87"/>
  <c r="G52" i="87"/>
  <c r="T53" i="92" a="1"/>
  <c r="O37" i="87"/>
  <c r="P29" i="87"/>
  <c r="L46" i="87"/>
  <c r="T30" i="92" a="1"/>
  <c r="D38" i="87"/>
  <c r="W19" i="87"/>
  <c r="K50" i="87"/>
  <c r="J41" i="87"/>
  <c r="M44" i="87"/>
  <c r="P20" i="87"/>
  <c r="H19" i="87"/>
  <c r="N19" i="87"/>
  <c r="D16" i="87"/>
  <c r="K25" i="87"/>
  <c r="AG44" i="87"/>
  <c r="U53" i="87"/>
  <c r="M31" i="87"/>
  <c r="Y55" i="87"/>
  <c r="AG30" i="87"/>
  <c r="AF19" i="87"/>
  <c r="F52" i="87"/>
  <c r="U45" i="87"/>
  <c r="L31" i="87"/>
  <c r="X40" i="87"/>
  <c r="U48" i="87"/>
  <c r="J32" i="87"/>
  <c r="J46" i="87"/>
  <c r="D53" i="87"/>
  <c r="Y50" i="87"/>
  <c r="AD47" i="87"/>
  <c r="AD51" i="87"/>
  <c r="W6" i="92"/>
  <c r="Y32" i="87"/>
  <c r="H17" i="87"/>
  <c r="H44" i="87"/>
  <c r="L50" i="87"/>
  <c r="M15" i="87"/>
  <c r="M29" i="87"/>
  <c r="N37" i="87"/>
  <c r="Z54" i="87"/>
  <c r="H26" i="87"/>
  <c r="L47" i="87"/>
  <c r="K36" i="87"/>
  <c r="Y29" i="87"/>
  <c r="M38" i="87"/>
  <c r="N30" i="87"/>
  <c r="AG38" i="87"/>
  <c r="AA18" i="87"/>
  <c r="Z27" i="87"/>
  <c r="D25" i="87"/>
  <c r="AA44" i="87"/>
  <c r="AC31" i="87"/>
  <c r="N20" i="87"/>
  <c r="I15" i="87"/>
  <c r="AB17" i="92" a="1"/>
  <c r="L6" i="92"/>
  <c r="AG27" i="87"/>
  <c r="O53" i="87"/>
  <c r="F36" i="87"/>
  <c r="F29" i="87"/>
  <c r="H22" i="87"/>
  <c r="F53" i="87"/>
  <c r="U2" i="92"/>
  <c r="T18" i="92" a="1"/>
  <c r="AB54" i="87"/>
  <c r="P18" i="87"/>
  <c r="AF22" i="87"/>
  <c r="I55" i="87"/>
  <c r="X46" i="87"/>
  <c r="AB24" i="87"/>
  <c r="AE16" i="87"/>
  <c r="AA53" i="87"/>
  <c r="U25" i="87"/>
  <c r="X48" i="87"/>
  <c r="S6" i="92"/>
  <c r="J29" i="87"/>
  <c r="P47" i="87"/>
  <c r="U34" i="87"/>
  <c r="AE55" i="87"/>
  <c r="G23" i="87"/>
  <c r="H46" i="87"/>
  <c r="W32" i="87"/>
  <c r="D31" i="87"/>
  <c r="Z5" i="92"/>
  <c r="P44" i="87"/>
  <c r="AB36" i="87"/>
  <c r="N18" i="87"/>
  <c r="Z23" i="87"/>
  <c r="X16" i="87"/>
  <c r="F48" i="87"/>
  <c r="Z39" i="87"/>
  <c r="AG20" i="87"/>
  <c r="Z18" i="87"/>
  <c r="AE26" i="87"/>
  <c r="H36" i="87"/>
  <c r="AF24" i="87"/>
  <c r="G43" i="87"/>
  <c r="F25" i="87"/>
  <c r="AF55" i="87"/>
  <c r="AF39" i="87"/>
  <c r="K47" i="87"/>
  <c r="Y25" i="87"/>
  <c r="K23" i="87"/>
  <c r="W36" i="87"/>
  <c r="AE43" i="87"/>
  <c r="K18" i="87"/>
  <c r="X39" i="87"/>
  <c r="AE31" i="87"/>
  <c r="H20" i="87"/>
  <c r="T41" i="92" a="1"/>
  <c r="W37" i="87"/>
  <c r="M23" i="87"/>
  <c r="N54" i="87"/>
  <c r="O47" i="87"/>
  <c r="AC54" i="87"/>
  <c r="K44" i="87"/>
  <c r="I27" i="87"/>
  <c r="AA38" i="87"/>
  <c r="G51" i="87"/>
  <c r="W50" i="87"/>
  <c r="AG15" i="87"/>
  <c r="Y19" i="87"/>
  <c r="AC53" i="87"/>
  <c r="U3" i="92"/>
  <c r="AD36" i="87"/>
  <c r="I18" i="87"/>
  <c r="Z2" i="92"/>
  <c r="AC27" i="92" a="1"/>
  <c r="AE6" i="92"/>
  <c r="AE19" i="87"/>
  <c r="AC40" i="87"/>
  <c r="AD25" i="87"/>
  <c r="AE24" i="87"/>
  <c r="AD53" i="87"/>
  <c r="Z43" i="87"/>
  <c r="J34" i="87"/>
  <c r="Z51" i="87"/>
  <c r="N23" i="87"/>
  <c r="Y40" i="87"/>
  <c r="O31" i="87"/>
  <c r="H50" i="87"/>
  <c r="J38" i="87"/>
  <c r="M46" i="87"/>
  <c r="K46" i="87"/>
  <c r="F27" i="87"/>
  <c r="AC5" i="92"/>
  <c r="AE41" i="92" a="1"/>
  <c r="T29" i="92" a="1"/>
  <c r="D47" i="87"/>
  <c r="W40" i="87"/>
  <c r="AE48" i="87"/>
  <c r="U33" i="87"/>
  <c r="Z47" i="87"/>
  <c r="AB48" i="87"/>
  <c r="AE51" i="87"/>
  <c r="D52" i="87"/>
  <c r="AG33" i="87"/>
  <c r="L44" i="87"/>
  <c r="Y39" i="87"/>
  <c r="R6" i="92"/>
  <c r="O30" i="87"/>
  <c r="AB22" i="87"/>
  <c r="I43" i="87"/>
  <c r="Y23" i="87"/>
  <c r="I44" i="87"/>
  <c r="J55" i="87"/>
  <c r="H34" i="87"/>
  <c r="I45" i="87"/>
  <c r="T40" i="92" a="1"/>
  <c r="I52" i="87"/>
  <c r="AF26" i="87"/>
  <c r="O36" i="87"/>
  <c r="K52" i="87"/>
  <c r="Z30" i="87"/>
  <c r="J33" i="87"/>
  <c r="AD48" i="87"/>
  <c r="AF54" i="87"/>
  <c r="P26" i="87"/>
  <c r="U27" i="87"/>
  <c r="AA3" i="92"/>
  <c r="G20" i="87"/>
  <c r="M30" i="87"/>
  <c r="H27" i="87"/>
  <c r="AD27" i="87"/>
  <c r="L39" i="87"/>
  <c r="O15" i="87"/>
  <c r="I47" i="87"/>
  <c r="I38" i="87"/>
  <c r="J3" i="92"/>
  <c r="AC20" i="87"/>
  <c r="AG55" i="92" a="1"/>
  <c r="AA46" i="87"/>
  <c r="D37" i="87"/>
  <c r="D48" i="87"/>
  <c r="AA48" i="87"/>
  <c r="M48" i="87"/>
  <c r="Y24" i="87"/>
  <c r="K16" i="87"/>
  <c r="F32" i="87"/>
  <c r="M53" i="87"/>
  <c r="W22" i="87"/>
  <c r="T19" i="92" a="1"/>
  <c r="D39" i="87"/>
  <c r="U50" i="87"/>
  <c r="K15" i="87"/>
  <c r="M50" i="87"/>
  <c r="R3" i="92"/>
  <c r="D22" i="87"/>
  <c r="H45" i="87"/>
  <c r="X24" i="87"/>
  <c r="AF32" i="87"/>
  <c r="W51" i="87"/>
  <c r="P17" i="87"/>
  <c r="P30" i="87"/>
  <c r="S5" i="92"/>
  <c r="AD20" i="87"/>
  <c r="I40" i="87"/>
  <c r="H38" i="87"/>
  <c r="AC22" i="92" a="1"/>
  <c r="W41" i="87"/>
  <c r="J18" i="87"/>
  <c r="G17" i="87"/>
  <c r="AB44" i="87"/>
  <c r="AA33" i="87"/>
  <c r="J53" i="87"/>
  <c r="L24" i="87"/>
  <c r="U29" i="87"/>
  <c r="O44" i="87"/>
  <c r="X17" i="87"/>
  <c r="AD2" i="92"/>
  <c r="I26" i="87"/>
  <c r="W17" i="87"/>
  <c r="T48" i="92" a="1"/>
  <c r="W24" i="87"/>
  <c r="J45" i="87"/>
  <c r="Y43" i="87"/>
  <c r="I17" i="87"/>
  <c r="AG18" i="87"/>
  <c r="I32" i="87"/>
  <c r="AE30" i="87"/>
  <c r="L17" i="87"/>
  <c r="AB41" i="87"/>
  <c r="I51" i="87"/>
  <c r="AD33" i="92" a="1"/>
  <c r="AF20" i="87"/>
  <c r="Z32" i="87"/>
  <c r="AE17" i="87"/>
  <c r="H48" i="87"/>
  <c r="AE32" i="87"/>
  <c r="J43" i="87"/>
  <c r="AE20" i="87"/>
  <c r="K48" i="87"/>
  <c r="H40" i="87"/>
  <c r="T17" i="92" a="1"/>
  <c r="X30" i="87"/>
  <c r="AD44" i="87"/>
  <c r="AA17" i="87"/>
  <c r="AF48" i="92" a="1"/>
  <c r="AD6" i="92"/>
  <c r="H24" i="87"/>
  <c r="K55" i="87"/>
  <c r="AC17" i="87"/>
  <c r="AD55" i="87"/>
  <c r="D40" i="87"/>
  <c r="AB34" i="87"/>
  <c r="X50" i="87"/>
  <c r="H33" i="87"/>
  <c r="P39" i="87"/>
  <c r="D24" i="87"/>
  <c r="AC51" i="87"/>
  <c r="X41" i="87"/>
  <c r="AG53" i="92" a="1"/>
  <c r="X25" i="87"/>
  <c r="D27" i="87"/>
  <c r="U24" i="87"/>
  <c r="P32" i="87"/>
  <c r="F26" i="87"/>
  <c r="W45" i="87"/>
  <c r="AC48" i="87"/>
  <c r="T47" i="92" a="1"/>
  <c r="AA43" i="87"/>
  <c r="Y54" i="87"/>
  <c r="F30" i="87"/>
  <c r="G39" i="87"/>
  <c r="AD18" i="87"/>
  <c r="N27" i="87"/>
  <c r="O41" i="87"/>
  <c r="D23" i="87"/>
  <c r="G38" i="87"/>
  <c r="AC15" i="87"/>
  <c r="AG34" i="87"/>
  <c r="X32" i="87"/>
  <c r="AD37" i="87"/>
  <c r="N53" i="87"/>
  <c r="P38" i="87"/>
  <c r="AE54" i="87"/>
  <c r="AF23" i="87"/>
  <c r="U31" i="87"/>
  <c r="AE46" i="87"/>
  <c r="T38" i="92" a="1"/>
  <c r="M51" i="87"/>
  <c r="F31" i="87"/>
  <c r="AC26" i="92" a="1"/>
  <c r="AF16" i="87"/>
  <c r="J25" i="87"/>
  <c r="N50" i="87"/>
  <c r="W38" i="87"/>
  <c r="H30" i="87"/>
  <c r="Z24" i="87"/>
  <c r="U15" i="87"/>
  <c r="G34" i="87"/>
  <c r="J54" i="87"/>
  <c r="AB43" i="87"/>
  <c r="O16" i="87"/>
  <c r="AE5" i="92"/>
  <c r="AB32" i="87"/>
  <c r="L41" i="87"/>
  <c r="I53" i="87"/>
  <c r="O3" i="92"/>
  <c r="L48" i="87"/>
  <c r="P52" i="87"/>
  <c r="AD46" i="87"/>
  <c r="M3" i="92"/>
  <c r="N44" i="87"/>
  <c r="AC37" i="87"/>
  <c r="T2" i="92"/>
  <c r="Z37" i="87"/>
  <c r="W27" i="87"/>
  <c r="AG40" i="87"/>
  <c r="J2" i="92"/>
  <c r="AC32" i="87"/>
  <c r="AA15" i="87"/>
  <c r="K41" i="87"/>
  <c r="Z17" i="87"/>
  <c r="P22" i="87"/>
  <c r="O25" i="87"/>
  <c r="AB25" i="87"/>
  <c r="P34" i="87"/>
  <c r="AB40" i="87"/>
  <c r="W34" i="87"/>
  <c r="K31" i="87"/>
  <c r="F47" i="87"/>
  <c r="G24" i="87"/>
  <c r="N33" i="87"/>
  <c r="AB23" i="87"/>
  <c r="Y45" i="87"/>
  <c r="W29" i="87"/>
  <c r="Z25" i="87"/>
  <c r="AE38" i="92" a="1"/>
  <c r="X45" i="87"/>
  <c r="J19" i="87"/>
  <c r="D50" i="87"/>
  <c r="Z29" i="87"/>
  <c r="J16" i="87"/>
  <c r="AA29" i="87"/>
  <c r="F18" i="87"/>
  <c r="AE22" i="87"/>
  <c r="X38" i="87"/>
  <c r="AB19" i="92" a="1"/>
  <c r="N45" i="87"/>
  <c r="U39" i="87"/>
  <c r="T20" i="92" a="1"/>
  <c r="AD31" i="92" a="1"/>
  <c r="Y38" i="87"/>
  <c r="Z22" i="87"/>
  <c r="L22" i="87"/>
  <c r="G26" i="87"/>
  <c r="AE45" i="87"/>
  <c r="AG46" i="87"/>
  <c r="X44" i="87"/>
  <c r="H25" i="87"/>
  <c r="V3" i="92"/>
  <c r="D45" i="87"/>
  <c r="L26" i="87"/>
  <c r="I20" i="87"/>
  <c r="AB3" i="92"/>
  <c r="U17" i="87"/>
  <c r="K38" i="87"/>
  <c r="H29" i="87"/>
  <c r="AF51" i="87"/>
  <c r="R5" i="92"/>
  <c r="AC41" i="87"/>
  <c r="Z50" i="87"/>
  <c r="P37" i="87"/>
  <c r="I41" i="87"/>
  <c r="X36" i="87"/>
  <c r="V2" i="92"/>
  <c r="X54" i="87"/>
  <c r="N55" i="87"/>
  <c r="M36" i="87"/>
  <c r="AF45" i="92" a="1"/>
  <c r="O51" i="87"/>
  <c r="AE47" i="87"/>
  <c r="N48" i="87"/>
  <c r="AE34" i="87"/>
  <c r="AE3" i="92"/>
  <c r="K43" i="87"/>
  <c r="AB53" i="87"/>
  <c r="O29" i="87"/>
  <c r="AG36" i="87"/>
  <c r="D18" i="87"/>
  <c r="AD40" i="87"/>
  <c r="G30" i="87"/>
  <c r="F38" i="87"/>
  <c r="O5" i="92"/>
  <c r="AF40" i="87"/>
  <c r="AA24" i="87"/>
  <c r="K30" i="87"/>
  <c r="Y30" i="87"/>
  <c r="K24" i="87"/>
  <c r="AG41" i="87"/>
  <c r="AC18" i="87"/>
  <c r="AG17" i="87"/>
  <c r="AD32" i="92" a="1"/>
  <c r="W48" i="87"/>
  <c r="AF44" i="92" a="1"/>
  <c r="F45" i="87"/>
  <c r="N39" i="87"/>
  <c r="N15" i="87"/>
  <c r="AG52" i="92" a="1"/>
  <c r="M18" i="87"/>
  <c r="F17" i="87"/>
  <c r="L55" i="87"/>
  <c r="H52" i="87"/>
  <c r="K26" i="87"/>
  <c r="I23" i="87"/>
  <c r="T22" i="92" a="1"/>
  <c r="AF53" i="87"/>
  <c r="Y48" i="87"/>
  <c r="AG29" i="87"/>
  <c r="L45" i="87"/>
  <c r="G44" i="87"/>
  <c r="D30" i="87"/>
  <c r="G48" i="87"/>
  <c r="P25" i="87"/>
  <c r="P33" i="87"/>
  <c r="U47" i="87"/>
  <c r="D44" i="87"/>
  <c r="L53" i="87"/>
  <c r="AE37" i="92" a="1"/>
  <c r="T44" i="92" a="1"/>
  <c r="U32" i="87"/>
  <c r="AD43" i="87"/>
  <c r="L18" i="87"/>
  <c r="AG23" i="87"/>
  <c r="AD38" i="87"/>
  <c r="Y37" i="87"/>
  <c r="AC34" i="87"/>
  <c r="Z31" i="87"/>
  <c r="N26" i="87"/>
  <c r="O19" i="87"/>
  <c r="AC29" i="87"/>
  <c r="N29" i="87"/>
  <c r="Z19" i="87"/>
  <c r="AA16" i="87"/>
  <c r="K33" i="87"/>
  <c r="AB30" i="87"/>
  <c r="N46" i="87"/>
  <c r="D19" i="87"/>
  <c r="AF18" i="87"/>
  <c r="T32" i="92" a="1"/>
  <c r="AB15" i="92" a="1"/>
  <c r="AC16" i="87"/>
  <c r="N22" i="87"/>
  <c r="Y18" i="87"/>
  <c r="J23" i="87"/>
  <c r="T23" i="92" a="1"/>
  <c r="U54" i="87"/>
  <c r="I46" i="87"/>
  <c r="U22" i="87"/>
  <c r="N16" i="87"/>
  <c r="P55" i="87"/>
  <c r="O48" i="87"/>
  <c r="H47" i="87"/>
  <c r="N5" i="92"/>
  <c r="M27" i="87"/>
  <c r="Y20" i="87"/>
  <c r="I36" i="87"/>
  <c r="T54" i="92" a="1"/>
  <c r="I19" i="87"/>
  <c r="X29" i="87"/>
  <c r="N2" i="92"/>
  <c r="X33" i="87"/>
  <c r="U40" i="87"/>
  <c r="L32" i="87"/>
  <c r="AE40" i="92" a="1"/>
  <c r="M40" i="87"/>
  <c r="P54" i="87"/>
  <c r="J50" i="87"/>
  <c r="AF34" i="87"/>
  <c r="AG16" i="87"/>
  <c r="T50" i="92" a="1"/>
  <c r="M39" i="87"/>
  <c r="AB16" i="92" a="1"/>
  <c r="K5" i="92"/>
  <c r="P40" i="87"/>
  <c r="Y16" i="87"/>
  <c r="Y15" i="87"/>
  <c r="H39" i="87"/>
  <c r="G22" i="87"/>
  <c r="T24" i="92" a="1"/>
  <c r="AA26" i="87"/>
  <c r="T5" i="92"/>
  <c r="W53" i="87"/>
  <c r="K32" i="87"/>
  <c r="AA22" i="87"/>
  <c r="L25" i="87"/>
  <c r="F20" i="87"/>
  <c r="AE53" i="87"/>
  <c r="L27" i="87"/>
  <c r="W55" i="87"/>
  <c r="D51" i="87"/>
  <c r="D17" i="87"/>
  <c r="AE33" i="87"/>
  <c r="AC3" i="92"/>
  <c r="H53" i="87"/>
  <c r="L36" i="87"/>
  <c r="M32" i="87"/>
  <c r="J39" i="87"/>
  <c r="AC19" i="87"/>
  <c r="N38" i="87"/>
  <c r="M41" i="87"/>
  <c r="F54" i="87"/>
  <c r="M37" i="87"/>
  <c r="F39" i="87"/>
  <c r="AB47" i="87"/>
  <c r="P48" i="87"/>
  <c r="AF38" i="87"/>
  <c r="T45" i="93" a="1"/>
  <c r="G55" i="87"/>
  <c r="AF31" i="87"/>
  <c r="Z40" i="87"/>
  <c r="V5" i="92"/>
  <c r="M20" i="87"/>
  <c r="K6" i="92"/>
  <c r="AD17" i="87"/>
  <c r="AG43" i="87"/>
  <c r="I33" i="87"/>
  <c r="T6" i="92"/>
  <c r="K51" i="87"/>
  <c r="W31" i="87"/>
  <c r="Y26" i="87"/>
  <c r="AF30" i="87"/>
  <c r="K34" i="87"/>
  <c r="F23" i="87"/>
  <c r="AB5" i="92"/>
  <c r="J6" i="92"/>
  <c r="J15" i="87"/>
  <c r="O20" i="87"/>
  <c r="M43" i="87"/>
  <c r="W2" i="92"/>
  <c r="AA2" i="92"/>
  <c r="Y34" i="87"/>
  <c r="F43" i="87"/>
  <c r="AC38" i="87"/>
  <c r="AF36" i="87"/>
  <c r="G19" i="87"/>
  <c r="M52" i="87"/>
  <c r="AB46" i="87"/>
  <c r="Z41" i="87"/>
  <c r="T33" i="92" a="1"/>
  <c r="H51" i="87"/>
  <c r="O32" i="87"/>
  <c r="J22" i="87"/>
  <c r="T27" i="92" a="1"/>
  <c r="L54" i="87"/>
  <c r="AB51" i="87"/>
  <c r="AD15" i="87"/>
  <c r="G47" i="87"/>
  <c r="AB18" i="92" a="1"/>
  <c r="U5" i="92"/>
  <c r="AA51" i="87"/>
  <c r="L38" i="87"/>
  <c r="Y17" i="87"/>
  <c r="K17" i="87"/>
  <c r="X55" i="87"/>
  <c r="N52" i="87"/>
  <c r="AD34" i="92" a="1"/>
  <c r="AC36" i="87"/>
  <c r="I39" i="87"/>
  <c r="AE39" i="92" a="1"/>
  <c r="AF33" i="87"/>
  <c r="P50" i="87"/>
  <c r="L43" i="87"/>
  <c r="Y36" i="87"/>
  <c r="G36" i="87"/>
  <c r="L15" i="87"/>
  <c r="Z6" i="92"/>
  <c r="AE50" i="87"/>
  <c r="J27" i="87"/>
  <c r="M26" i="87"/>
  <c r="U19" i="87"/>
  <c r="J36" i="87"/>
  <c r="U18" i="87"/>
  <c r="W30" i="87"/>
  <c r="M47" i="87"/>
  <c r="T46" i="92" a="1"/>
  <c r="F40" i="87"/>
  <c r="AF25" i="87"/>
  <c r="T31" i="92" a="1"/>
  <c r="K3" i="92"/>
  <c r="W54" i="87"/>
  <c r="Z36" i="87"/>
  <c r="AC45" i="87"/>
  <c r="O52" i="87"/>
  <c r="J48" i="87"/>
  <c r="O38" i="87"/>
  <c r="T37" i="92" a="1"/>
  <c r="U16" i="87"/>
  <c r="L33" i="87"/>
  <c r="D34" i="87"/>
  <c r="AD3" i="92"/>
  <c r="Z3" i="92"/>
  <c r="D32" i="87"/>
  <c r="U37" i="87"/>
  <c r="N17" i="87"/>
  <c r="T3" i="92"/>
  <c r="X47" i="87"/>
  <c r="AD26" i="87"/>
  <c r="D46" i="87"/>
  <c r="AG26" i="87"/>
  <c r="T39" i="92" a="1"/>
  <c r="AE36" i="92" a="1"/>
  <c r="G37" i="87"/>
  <c r="H41" i="87"/>
  <c r="O17" i="87"/>
  <c r="AA34" i="87"/>
  <c r="P46" i="87"/>
  <c r="M19" i="87"/>
  <c r="F22" i="87"/>
  <c r="AC25" i="92" a="1"/>
  <c r="AA37" i="87"/>
  <c r="AB29" i="87"/>
  <c r="D29" i="87"/>
  <c r="G46" i="87"/>
  <c r="L30" i="87"/>
  <c r="H16" i="87"/>
  <c r="U6" i="92"/>
  <c r="F51" i="87"/>
  <c r="J44" i="87"/>
  <c r="AA32" i="87"/>
  <c r="AF29" i="87"/>
  <c r="Z55" i="87"/>
  <c r="J52" i="87"/>
  <c r="K39" i="87"/>
  <c r="N24" i="87"/>
  <c r="U41" i="87"/>
  <c r="I29" i="87"/>
  <c r="L29" i="87"/>
  <c r="AA19" i="87"/>
  <c r="N25" i="87"/>
  <c r="W39" i="87"/>
  <c r="H43" i="87"/>
  <c r="AG32" i="87"/>
  <c r="N40" i="87"/>
  <c r="AB50" i="87"/>
  <c r="AA23" i="87"/>
  <c r="W43" i="87"/>
  <c r="J26" i="87"/>
  <c r="I34" i="87"/>
  <c r="P53" i="87"/>
  <c r="L2" i="92"/>
  <c r="AD29" i="92" a="1"/>
  <c r="P45" i="87"/>
  <c r="AC47" i="87"/>
  <c r="O54" i="87"/>
  <c r="AG31" i="87"/>
  <c r="AF43" i="92" a="1"/>
  <c r="Z15" i="87"/>
  <c r="G27" i="87"/>
  <c r="U43" i="87"/>
  <c r="N32" i="87"/>
  <c r="Z34" i="87"/>
  <c r="U51" i="87"/>
  <c r="H32" i="87"/>
  <c r="AD30" i="92" a="1"/>
  <c r="P31" i="87"/>
  <c r="D43" i="87"/>
  <c r="N36" i="87"/>
  <c r="J31" i="87"/>
  <c r="AC55" i="87"/>
  <c r="W44" i="87"/>
  <c r="T34" i="92" a="1"/>
  <c r="AG22" i="87"/>
  <c r="N51" i="87"/>
  <c r="AE27" i="87"/>
  <c r="AF41" i="87"/>
  <c r="Y27" i="87"/>
  <c r="Z46" i="87"/>
  <c r="Z44" i="87"/>
  <c r="L23" i="87"/>
  <c r="O26" i="87"/>
  <c r="Y46" i="87"/>
  <c r="H31" i="87"/>
  <c r="L52" i="87"/>
  <c r="F41" i="87"/>
  <c r="W5" i="92"/>
  <c r="J24" i="87"/>
  <c r="AA45" i="87"/>
  <c r="AA5" i="92"/>
  <c r="AA27" i="87"/>
  <c r="X53" i="87"/>
  <c r="AG37" i="87"/>
  <c r="X43" i="87"/>
  <c r="J51" i="87"/>
  <c r="Y44" i="87"/>
  <c r="AC50" i="87"/>
  <c r="K27" i="87"/>
  <c r="AB26" i="87"/>
  <c r="M5" i="92"/>
  <c r="Y53" i="87"/>
  <c r="T51" i="92" a="1"/>
  <c r="AD45" i="87"/>
  <c r="I50" i="87"/>
  <c r="AD50" i="87"/>
  <c r="O43" i="87"/>
  <c r="W25" i="87"/>
  <c r="AD54" i="87"/>
  <c r="U36" i="87"/>
  <c r="AA55" i="87"/>
  <c r="AD16" i="87"/>
  <c r="AG50" i="92" a="1"/>
  <c r="O46" i="87"/>
  <c r="AC43" i="87"/>
  <c r="Z26" i="87"/>
  <c r="X31" i="87"/>
  <c r="AG45" i="87"/>
  <c r="U46" i="87"/>
  <c r="Z20" i="87"/>
  <c r="P51" i="87"/>
  <c r="G18" i="87"/>
  <c r="X26" i="87"/>
  <c r="D33" i="87"/>
  <c r="Z53" i="87"/>
  <c r="AA50" i="87"/>
  <c r="K2" i="92"/>
  <c r="J5" i="92"/>
  <c r="X18" i="87"/>
  <c r="AA54" i="87"/>
  <c r="X34" i="87"/>
  <c r="F50" i="87"/>
  <c r="U23" i="87"/>
  <c r="Y51" i="87"/>
  <c r="F15" i="87"/>
  <c r="W26" i="87"/>
  <c r="L34" i="87"/>
  <c r="AB39" i="87"/>
  <c r="F55" i="87"/>
  <c r="AA25" i="87"/>
  <c r="E143" i="90" l="1"/>
  <c r="E31" i="90"/>
  <c r="E157" i="90"/>
  <c r="E45" i="90"/>
  <c r="E59" i="90"/>
  <c r="E87" i="90"/>
  <c r="E101" i="90"/>
  <c r="E115" i="90"/>
  <c r="E73" i="90"/>
  <c r="E129" i="90"/>
  <c r="T41" i="92"/>
  <c r="C15" i="92"/>
  <c r="T22" i="92"/>
  <c r="C44" i="92"/>
  <c r="T29" i="92"/>
  <c r="T39" i="92"/>
  <c r="C17" i="92"/>
  <c r="C47" i="92"/>
  <c r="T33" i="92"/>
  <c r="C24" i="92"/>
  <c r="AC27" i="92"/>
  <c r="AC23" i="92"/>
  <c r="C32" i="92"/>
  <c r="AE37" i="92"/>
  <c r="C16" i="92"/>
  <c r="T24" i="92"/>
  <c r="T37" i="92"/>
  <c r="C25" i="92"/>
  <c r="AD33" i="92"/>
  <c r="AE38" i="92"/>
  <c r="C39" i="92"/>
  <c r="T15" i="92"/>
  <c r="T30" i="92"/>
  <c r="T17" i="92"/>
  <c r="AF44" i="92"/>
  <c r="T20" i="92"/>
  <c r="T46" i="92"/>
  <c r="AG50" i="92"/>
  <c r="AC22" i="92"/>
  <c r="T48" i="92"/>
  <c r="C51" i="92"/>
  <c r="C27" i="92"/>
  <c r="T51" i="92"/>
  <c r="T43" i="92"/>
  <c r="T47" i="92"/>
  <c r="C53" i="92"/>
  <c r="AD31" i="92"/>
  <c r="AE41" i="92"/>
  <c r="C50" i="92"/>
  <c r="AF46" i="92"/>
  <c r="AE40" i="92"/>
  <c r="C34" i="92"/>
  <c r="C48" i="92"/>
  <c r="AD30" i="92"/>
  <c r="T54" i="92"/>
  <c r="C43" i="92"/>
  <c r="C46" i="92"/>
  <c r="AB17" i="92"/>
  <c r="C31" i="92"/>
  <c r="T53" i="92"/>
  <c r="AG53" i="92"/>
  <c r="C30" i="92"/>
  <c r="C45" i="92"/>
  <c r="T34" i="92"/>
  <c r="T36" i="92"/>
  <c r="C41" i="92"/>
  <c r="C26" i="92"/>
  <c r="C18" i="92"/>
  <c r="T45" i="92"/>
  <c r="T25" i="92"/>
  <c r="AF48" i="92"/>
  <c r="AB15" i="92"/>
  <c r="C55" i="92"/>
  <c r="C19" i="92"/>
  <c r="AF45" i="92"/>
  <c r="C20" i="92"/>
  <c r="C29" i="92"/>
  <c r="AE36" i="92"/>
  <c r="T52" i="92"/>
  <c r="C52" i="92"/>
  <c r="T32" i="92"/>
  <c r="T55" i="92"/>
  <c r="AG55" i="92"/>
  <c r="C36" i="92"/>
  <c r="AD29" i="92"/>
  <c r="T23" i="92"/>
  <c r="AG54" i="92"/>
  <c r="C23" i="92"/>
  <c r="C38" i="92"/>
  <c r="C54" i="92"/>
  <c r="AE39" i="92"/>
  <c r="AF43" i="92"/>
  <c r="T40" i="92"/>
  <c r="C37" i="92"/>
  <c r="AB19" i="92"/>
  <c r="AF47" i="92"/>
  <c r="T18" i="92"/>
  <c r="T26" i="92"/>
  <c r="T38" i="92"/>
  <c r="AB16" i="92"/>
  <c r="T19" i="92"/>
  <c r="T31" i="92"/>
  <c r="C40" i="92"/>
  <c r="T44" i="92"/>
  <c r="AC25" i="92"/>
  <c r="C33" i="92"/>
  <c r="AC24" i="92"/>
  <c r="AG52" i="92"/>
  <c r="AC26" i="92"/>
  <c r="T16" i="92"/>
  <c r="AD32" i="92"/>
  <c r="T50" i="92"/>
  <c r="AB18" i="92"/>
  <c r="AD34" i="92"/>
  <c r="AB20" i="92"/>
  <c r="T27" i="92"/>
  <c r="C22" i="92"/>
  <c r="T45" i="93"/>
  <c r="H15" i="90"/>
  <c r="I15" i="90"/>
  <c r="J15" i="90"/>
  <c r="K15" i="90"/>
  <c r="L15" i="90"/>
  <c r="G15" i="90"/>
  <c r="L7" i="90" s="1"/>
  <c r="B17" i="90"/>
  <c r="L33" i="92"/>
  <c r="T27" i="93" a="1"/>
  <c r="U3" i="93"/>
  <c r="Z55" i="92"/>
  <c r="AB2" i="93"/>
  <c r="J3" i="93"/>
  <c r="L6" i="93"/>
  <c r="D29" i="92"/>
  <c r="K47" i="92"/>
  <c r="W5" i="93"/>
  <c r="AG53" i="93" a="1"/>
  <c r="T5" i="93"/>
  <c r="O3" i="93"/>
  <c r="W2" i="93"/>
  <c r="T18" i="93" a="1"/>
  <c r="T2" i="93"/>
  <c r="T32" i="93" a="1"/>
  <c r="H54" i="92"/>
  <c r="O6" i="93"/>
  <c r="AD30" i="93" a="1"/>
  <c r="AE40" i="93" a="1"/>
  <c r="AF43" i="93" a="1"/>
  <c r="AF46" i="93" a="1"/>
  <c r="W55" i="92"/>
  <c r="H29" i="92"/>
  <c r="D37" i="92"/>
  <c r="K45" i="92"/>
  <c r="AF48" i="93" a="1"/>
  <c r="J6" i="93"/>
  <c r="U51" i="92"/>
  <c r="K5" i="93"/>
  <c r="T53" i="93" a="1"/>
  <c r="O5" i="93"/>
  <c r="O39" i="92"/>
  <c r="AF44" i="93" a="1"/>
  <c r="Z2" i="93"/>
  <c r="Z3" i="93"/>
  <c r="S5" i="93"/>
  <c r="G17" i="92"/>
  <c r="X33" i="92"/>
  <c r="D33" i="92"/>
  <c r="U41" i="92"/>
  <c r="D30" i="92"/>
  <c r="T31" i="93" a="1"/>
  <c r="W23" i="92"/>
  <c r="Y40" i="92"/>
  <c r="AG51" i="93" a="1"/>
  <c r="O29" i="92"/>
  <c r="AD55" i="92"/>
  <c r="G31" i="92"/>
  <c r="N31" i="92"/>
  <c r="AD31" i="93" a="1"/>
  <c r="AE38" i="93" a="1"/>
  <c r="T40" i="93" a="1"/>
  <c r="K6" i="93"/>
  <c r="AF47" i="93" a="1"/>
  <c r="T34" i="93" a="1"/>
  <c r="AC27" i="93" a="1"/>
  <c r="T47" i="93" a="1"/>
  <c r="AE48" i="92"/>
  <c r="F51" i="92"/>
  <c r="K26" i="92"/>
  <c r="AG36" i="92"/>
  <c r="AC32" i="92"/>
  <c r="D48" i="92"/>
  <c r="W17" i="92"/>
  <c r="W3" i="93"/>
  <c r="P48" i="92"/>
  <c r="AC22" i="93" a="1"/>
  <c r="L5" i="93"/>
  <c r="T44" i="93" a="1"/>
  <c r="AC17" i="92"/>
  <c r="AE3" i="93"/>
  <c r="V2" i="93"/>
  <c r="M5" i="93"/>
  <c r="T15" i="93" a="1"/>
  <c r="AC24" i="93" a="1"/>
  <c r="AE22" i="92"/>
  <c r="N19" i="92"/>
  <c r="AC3" i="93"/>
  <c r="N3" i="93"/>
  <c r="K2" i="93"/>
  <c r="AD3" i="93"/>
  <c r="W25" i="92"/>
  <c r="T22" i="93" a="1"/>
  <c r="AE39" i="93" a="1"/>
  <c r="T3" i="93"/>
  <c r="T33" i="93" a="1"/>
  <c r="T19" i="93" a="1"/>
  <c r="T51" i="93" a="1"/>
  <c r="I48" i="92"/>
  <c r="L41" i="92"/>
  <c r="U2" i="93"/>
  <c r="AD5" i="93"/>
  <c r="F32" i="92"/>
  <c r="K17" i="92"/>
  <c r="AB3" i="93"/>
  <c r="N2" i="93"/>
  <c r="F38" i="92"/>
  <c r="T38" i="93" a="1"/>
  <c r="T24" i="93" a="1"/>
  <c r="AG41" i="92"/>
  <c r="P55" i="92"/>
  <c r="T41" i="93" a="1"/>
  <c r="M29" i="92"/>
  <c r="F55" i="92"/>
  <c r="I38" i="92"/>
  <c r="AA3" i="93"/>
  <c r="K32" i="92"/>
  <c r="S2" i="93"/>
  <c r="AD33" i="93" a="1"/>
  <c r="AB15" i="93" a="1"/>
  <c r="AE2" i="93"/>
  <c r="W6" i="93"/>
  <c r="AD32" i="93" a="1"/>
  <c r="Y36" i="92"/>
  <c r="AC2" i="93"/>
  <c r="K55" i="92"/>
  <c r="Y37" i="92"/>
  <c r="I17" i="92"/>
  <c r="AE55" i="92"/>
  <c r="Y47" i="92"/>
  <c r="Y41" i="92"/>
  <c r="R6" i="93"/>
  <c r="AD2" i="93"/>
  <c r="T46" i="93" a="1"/>
  <c r="S6" i="93"/>
  <c r="L38" i="92"/>
  <c r="H41" i="92"/>
  <c r="Z5" i="93"/>
  <c r="I51" i="92"/>
  <c r="T55" i="93" a="1"/>
  <c r="T50" i="93" a="1"/>
  <c r="U25" i="92"/>
  <c r="T43" i="93" a="1"/>
  <c r="R2" i="93"/>
  <c r="Z25" i="92"/>
  <c r="AC6" i="93"/>
  <c r="AF25" i="92"/>
  <c r="T52" i="93" a="1"/>
  <c r="AC25" i="93" a="1"/>
  <c r="O31" i="92"/>
  <c r="AC19" i="92"/>
  <c r="T30" i="93" a="1"/>
  <c r="N32" i="92"/>
  <c r="O27" i="92"/>
  <c r="O2" i="93"/>
  <c r="J50" i="92"/>
  <c r="AE25" i="92"/>
  <c r="U17" i="92"/>
  <c r="S3" i="93"/>
  <c r="P29" i="92"/>
  <c r="T36" i="93" a="1"/>
  <c r="N51" i="92"/>
  <c r="AG18" i="92"/>
  <c r="M2" i="93"/>
  <c r="Y54" i="92"/>
  <c r="AA2" i="93"/>
  <c r="Z24" i="92"/>
  <c r="Z47" i="92"/>
  <c r="F41" i="92"/>
  <c r="AA5" i="93"/>
  <c r="AB6" i="93"/>
  <c r="R3" i="93"/>
  <c r="AD29" i="93" a="1"/>
  <c r="O38" i="92"/>
  <c r="T6" i="93"/>
  <c r="AC55" i="92"/>
  <c r="AD45" i="93"/>
  <c r="G37" i="92"/>
  <c r="AG55" i="93" a="1"/>
  <c r="T25" i="93" a="1"/>
  <c r="AB17" i="93" a="1"/>
  <c r="AD34" i="93" a="1"/>
  <c r="I32" i="92"/>
  <c r="AG50" i="93" a="1"/>
  <c r="AC5" i="93"/>
  <c r="F31" i="92"/>
  <c r="T20" i="93" a="1"/>
  <c r="AD53" i="92"/>
  <c r="AA19" i="92"/>
  <c r="P50" i="92"/>
  <c r="Y25" i="92"/>
  <c r="AB18" i="93" a="1"/>
  <c r="Z17" i="92"/>
  <c r="M41" i="92"/>
  <c r="AB5" i="93"/>
  <c r="AG45" i="93"/>
  <c r="AF17" i="92"/>
  <c r="AD27" i="92"/>
  <c r="R5" i="93"/>
  <c r="L2" i="93"/>
  <c r="AA6" i="93"/>
  <c r="L3" i="93"/>
  <c r="G20" i="92"/>
  <c r="V5" i="93"/>
  <c r="J5" i="93"/>
  <c r="AG31" i="92"/>
  <c r="J2" i="93"/>
  <c r="AE5" i="93"/>
  <c r="AC23" i="93" a="1"/>
  <c r="U5" i="93"/>
  <c r="N37" i="92"/>
  <c r="AA25" i="92"/>
  <c r="AB20" i="93" a="1"/>
  <c r="W19" i="92"/>
  <c r="T54" i="93" a="1"/>
  <c r="I36" i="92"/>
  <c r="AE36" i="93" a="1"/>
  <c r="AB16" i="93" a="1"/>
  <c r="Y17" i="92"/>
  <c r="U50" i="92"/>
  <c r="I43" i="92"/>
  <c r="V6" i="93"/>
  <c r="M3" i="93"/>
  <c r="N47" i="92"/>
  <c r="U6" i="93"/>
  <c r="L29" i="92"/>
  <c r="T29" i="93" a="1"/>
  <c r="K3" i="93"/>
  <c r="AB19" i="93" a="1"/>
  <c r="T37" i="93" a="1"/>
  <c r="AE37" i="93" a="1"/>
  <c r="AB25" i="92"/>
  <c r="T23" i="93" a="1"/>
  <c r="AE6" i="93"/>
  <c r="T16" i="93" a="1"/>
  <c r="N6" i="93"/>
  <c r="H53" i="92"/>
  <c r="Z6" i="93"/>
  <c r="I33" i="92"/>
  <c r="AC26" i="93" a="1"/>
  <c r="AF45" i="93" a="1"/>
  <c r="M32" i="92"/>
  <c r="H47" i="92"/>
  <c r="T17" i="93" a="1"/>
  <c r="AA46" i="92"/>
  <c r="AC29" i="92"/>
  <c r="D54" i="92"/>
  <c r="M6" i="93"/>
  <c r="AD6" i="93"/>
  <c r="AG54" i="93" a="1"/>
  <c r="T48" i="93" a="1"/>
  <c r="AG52" i="93" a="1"/>
  <c r="N5" i="93"/>
  <c r="I44" i="92"/>
  <c r="T26" i="93" a="1"/>
  <c r="AE41" i="93" a="1"/>
  <c r="H37" i="92"/>
  <c r="AD25" i="92"/>
  <c r="T39" i="93" a="1"/>
  <c r="X34" i="92"/>
  <c r="V3" i="93"/>
  <c r="P38" i="92"/>
  <c r="X39" i="92"/>
  <c r="L34" i="92"/>
  <c r="L20" i="92"/>
  <c r="K23" i="92"/>
  <c r="AE26" i="92"/>
  <c r="X54" i="92"/>
  <c r="X52" i="92"/>
  <c r="G46" i="92"/>
  <c r="X40" i="92"/>
  <c r="AF51" i="92"/>
  <c r="G26" i="92"/>
  <c r="G40" i="92"/>
  <c r="AE32" i="92"/>
  <c r="J43" i="92"/>
  <c r="Y30" i="92"/>
  <c r="AD47" i="92"/>
  <c r="AD45" i="92"/>
  <c r="P22" i="92"/>
  <c r="H15" i="92"/>
  <c r="U20" i="92"/>
  <c r="AC53" i="92"/>
  <c r="J16" i="92"/>
  <c r="AC16" i="92"/>
  <c r="AC24" i="93" l="1"/>
  <c r="AB15" i="93"/>
  <c r="T46" i="93"/>
  <c r="AC25" i="93"/>
  <c r="T50" i="93"/>
  <c r="AE36" i="93"/>
  <c r="T47" i="93"/>
  <c r="AC26" i="93"/>
  <c r="C16" i="93"/>
  <c r="AC23" i="93"/>
  <c r="AC27" i="93"/>
  <c r="T44" i="93"/>
  <c r="C40" i="93"/>
  <c r="T48" i="93"/>
  <c r="C37" i="93"/>
  <c r="C19" i="93"/>
  <c r="T20" i="93"/>
  <c r="T16" i="93"/>
  <c r="C45" i="93"/>
  <c r="AG50" i="93"/>
  <c r="T29" i="93"/>
  <c r="AD33" i="93"/>
  <c r="AE39" i="93"/>
  <c r="C41" i="93"/>
  <c r="AE38" i="93"/>
  <c r="AF43" i="93"/>
  <c r="C55" i="93"/>
  <c r="AE37" i="93"/>
  <c r="C38" i="93"/>
  <c r="AD30" i="93"/>
  <c r="T22" i="93"/>
  <c r="C53" i="93"/>
  <c r="AF45" i="93"/>
  <c r="T24" i="93"/>
  <c r="C36" i="93"/>
  <c r="C34" i="93"/>
  <c r="C27" i="93"/>
  <c r="C32" i="93"/>
  <c r="C25" i="93"/>
  <c r="T37" i="93"/>
  <c r="AF44" i="93"/>
  <c r="T23" i="93"/>
  <c r="C52" i="93"/>
  <c r="AG53" i="93"/>
  <c r="C50" i="93"/>
  <c r="AE41" i="93"/>
  <c r="C31" i="93"/>
  <c r="C24" i="93"/>
  <c r="C47" i="93"/>
  <c r="T19" i="93"/>
  <c r="AG52" i="93"/>
  <c r="C29" i="93"/>
  <c r="T36" i="93"/>
  <c r="C22" i="93"/>
  <c r="C18" i="93"/>
  <c r="AE40" i="93"/>
  <c r="C51" i="93"/>
  <c r="C44" i="93"/>
  <c r="AD34" i="93"/>
  <c r="C46" i="93"/>
  <c r="AG51" i="93"/>
  <c r="T32" i="93"/>
  <c r="C17" i="93"/>
  <c r="C15" i="93"/>
  <c r="T31" i="93"/>
  <c r="C39" i="93"/>
  <c r="T43" i="93"/>
  <c r="T25" i="93"/>
  <c r="C43" i="93"/>
  <c r="AF46" i="93"/>
  <c r="T30" i="93"/>
  <c r="AF48" i="93"/>
  <c r="T27" i="93"/>
  <c r="T34" i="93"/>
  <c r="T41" i="93"/>
  <c r="AD32" i="93"/>
  <c r="T18" i="93"/>
  <c r="T51" i="93"/>
  <c r="AB16" i="93"/>
  <c r="AG54" i="93"/>
  <c r="AF47" i="93"/>
  <c r="T26" i="93"/>
  <c r="T33" i="93"/>
  <c r="T40" i="93"/>
  <c r="C30" i="93"/>
  <c r="AD31" i="93"/>
  <c r="T17" i="93"/>
  <c r="C48" i="93"/>
  <c r="AC22" i="93"/>
  <c r="T15" i="93"/>
  <c r="T39" i="93"/>
  <c r="T55" i="93"/>
  <c r="AB20" i="93"/>
  <c r="C26" i="93"/>
  <c r="C20" i="93"/>
  <c r="T38" i="93"/>
  <c r="C54" i="93"/>
  <c r="T54" i="93"/>
  <c r="AB19" i="93"/>
  <c r="AD29" i="93"/>
  <c r="C23" i="93"/>
  <c r="T53" i="93"/>
  <c r="AB18" i="93"/>
  <c r="C33" i="93"/>
  <c r="T52" i="93"/>
  <c r="AB17" i="93"/>
  <c r="AG55" i="93"/>
  <c r="C1" i="91"/>
  <c r="C46" i="90"/>
  <c r="C163" i="90"/>
  <c r="C132" i="90"/>
  <c r="C161" i="90"/>
  <c r="C134" i="90"/>
  <c r="C133" i="90"/>
  <c r="C51" i="90"/>
  <c r="C76" i="90"/>
  <c r="C150" i="90"/>
  <c r="C130" i="90"/>
  <c r="C48" i="90"/>
  <c r="C119" i="90"/>
  <c r="C148" i="90"/>
  <c r="C80" i="90"/>
  <c r="C81" i="90"/>
  <c r="C52" i="90"/>
  <c r="C67" i="90"/>
  <c r="C120" i="90"/>
  <c r="C93" i="90"/>
  <c r="C62" i="90"/>
  <c r="C109" i="90"/>
  <c r="C75" i="90"/>
  <c r="C118" i="90"/>
  <c r="C145" i="90"/>
  <c r="C37" i="90"/>
  <c r="C65" i="90"/>
  <c r="C162" i="90"/>
  <c r="C131" i="90"/>
  <c r="C105" i="90"/>
  <c r="C36" i="90"/>
  <c r="C63" i="90"/>
  <c r="C121" i="90"/>
  <c r="C66" i="90"/>
  <c r="C160" i="90"/>
  <c r="C108" i="90"/>
  <c r="C103" i="90"/>
  <c r="C92" i="90"/>
  <c r="C144" i="90"/>
  <c r="C88" i="90"/>
  <c r="C89" i="90"/>
  <c r="C94" i="90"/>
  <c r="C95" i="90"/>
  <c r="C137" i="90"/>
  <c r="C23" i="90"/>
  <c r="C116" i="90"/>
  <c r="C77" i="90"/>
  <c r="C25" i="90"/>
  <c r="C106" i="90"/>
  <c r="C107" i="90"/>
  <c r="C159" i="90"/>
  <c r="C117" i="90"/>
  <c r="C122" i="90"/>
  <c r="C34" i="90"/>
  <c r="C47" i="90"/>
  <c r="C146" i="90"/>
  <c r="C50" i="90"/>
  <c r="C78" i="90"/>
  <c r="C32" i="90"/>
  <c r="C158" i="90"/>
  <c r="C164" i="90"/>
  <c r="C149" i="90"/>
  <c r="C49" i="90"/>
  <c r="C33" i="90"/>
  <c r="C79" i="90"/>
  <c r="C102" i="90"/>
  <c r="C61" i="90"/>
  <c r="C165" i="90"/>
  <c r="C60" i="90"/>
  <c r="C147" i="90"/>
  <c r="C123" i="90"/>
  <c r="C64" i="90"/>
  <c r="C24" i="90"/>
  <c r="C129" i="90"/>
  <c r="C115" i="90"/>
  <c r="C59" i="90"/>
  <c r="C143" i="90"/>
  <c r="C53" i="90"/>
  <c r="C19" i="90"/>
  <c r="C20" i="90"/>
  <c r="C90" i="90"/>
  <c r="C22" i="90"/>
  <c r="C135" i="90"/>
  <c r="C45" i="90"/>
  <c r="C39" i="90"/>
  <c r="C31" i="90"/>
  <c r="C87" i="90"/>
  <c r="C21" i="90"/>
  <c r="C73" i="90"/>
  <c r="C74" i="90"/>
  <c r="C38" i="90"/>
  <c r="C157" i="90"/>
  <c r="C35" i="90"/>
  <c r="C18" i="90"/>
  <c r="C151" i="90"/>
  <c r="C101" i="90"/>
  <c r="C104" i="90"/>
  <c r="C91" i="90"/>
  <c r="C136" i="90"/>
  <c r="C61" i="86" l="1"/>
  <c r="AJ51" i="86"/>
  <c r="AJ52" i="86" s="1"/>
  <c r="AJ53" i="86" s="1"/>
  <c r="AJ54" i="86" s="1"/>
  <c r="AJ55" i="86" s="1"/>
  <c r="AI51" i="86"/>
  <c r="AI52" i="86" s="1"/>
  <c r="AI53" i="86" s="1"/>
  <c r="AI54" i="86" s="1"/>
  <c r="AI55" i="86" s="1"/>
  <c r="AJ44" i="86"/>
  <c r="AJ45" i="86" s="1"/>
  <c r="AJ46" i="86" s="1"/>
  <c r="AJ47" i="86" s="1"/>
  <c r="AJ48" i="86" s="1"/>
  <c r="AI44" i="86"/>
  <c r="AI45" i="86" s="1"/>
  <c r="AI46" i="86" s="1"/>
  <c r="AI47" i="86" s="1"/>
  <c r="AI48" i="86" s="1"/>
  <c r="AJ37" i="86"/>
  <c r="AJ38" i="86" s="1"/>
  <c r="AJ39" i="86" s="1"/>
  <c r="AJ40" i="86" s="1"/>
  <c r="AJ41" i="86" s="1"/>
  <c r="AI37" i="86"/>
  <c r="AI38" i="86" s="1"/>
  <c r="AI39" i="86" s="1"/>
  <c r="AI40" i="86" s="1"/>
  <c r="AI41" i="86" s="1"/>
  <c r="AJ30" i="86"/>
  <c r="AJ31" i="86" s="1"/>
  <c r="AJ32" i="86" s="1"/>
  <c r="AJ33" i="86" s="1"/>
  <c r="AJ34" i="86" s="1"/>
  <c r="AI30" i="86"/>
  <c r="AI31" i="86" s="1"/>
  <c r="AI32" i="86" s="1"/>
  <c r="AI33" i="86" s="1"/>
  <c r="AI34" i="86" s="1"/>
  <c r="AJ23" i="86"/>
  <c r="AJ24" i="86" s="1"/>
  <c r="AJ25" i="86" s="1"/>
  <c r="AJ26" i="86" s="1"/>
  <c r="AJ27" i="86" s="1"/>
  <c r="AI23" i="86"/>
  <c r="AI24" i="86" s="1"/>
  <c r="AI25" i="86" s="1"/>
  <c r="AI26" i="86" s="1"/>
  <c r="AI27" i="86" s="1"/>
  <c r="AJ16" i="86"/>
  <c r="AJ17" i="86" s="1"/>
  <c r="AJ18" i="86" s="1"/>
  <c r="AJ19" i="86" s="1"/>
  <c r="AJ20" i="86" s="1"/>
  <c r="AI16" i="86"/>
  <c r="AI17" i="86" s="1"/>
  <c r="AI18" i="86" s="1"/>
  <c r="AI19" i="86" s="1"/>
  <c r="AI20" i="86" s="1"/>
  <c r="C61" i="85"/>
  <c r="AJ51" i="85"/>
  <c r="AJ52" i="85" s="1"/>
  <c r="AJ53" i="85" s="1"/>
  <c r="AJ54" i="85" s="1"/>
  <c r="AJ55" i="85" s="1"/>
  <c r="AI51" i="85"/>
  <c r="AI52" i="85" s="1"/>
  <c r="AI53" i="85" s="1"/>
  <c r="AI54" i="85" s="1"/>
  <c r="AI55" i="85" s="1"/>
  <c r="AJ44" i="85"/>
  <c r="AJ45" i="85" s="1"/>
  <c r="AJ46" i="85" s="1"/>
  <c r="AJ47" i="85" s="1"/>
  <c r="AJ48" i="85" s="1"/>
  <c r="AI44" i="85"/>
  <c r="AI45" i="85" s="1"/>
  <c r="AI46" i="85" s="1"/>
  <c r="AI47" i="85" s="1"/>
  <c r="AI48" i="85" s="1"/>
  <c r="AJ37" i="85"/>
  <c r="AJ38" i="85" s="1"/>
  <c r="AJ39" i="85" s="1"/>
  <c r="AJ40" i="85" s="1"/>
  <c r="AJ41" i="85" s="1"/>
  <c r="AI37" i="85"/>
  <c r="AI38" i="85" s="1"/>
  <c r="AI39" i="85" s="1"/>
  <c r="AI40" i="85" s="1"/>
  <c r="AI41" i="85" s="1"/>
  <c r="AJ30" i="85"/>
  <c r="AJ31" i="85" s="1"/>
  <c r="AJ32" i="85" s="1"/>
  <c r="AJ33" i="85" s="1"/>
  <c r="AJ34" i="85" s="1"/>
  <c r="AI30" i="85"/>
  <c r="AI31" i="85" s="1"/>
  <c r="AI32" i="85" s="1"/>
  <c r="AI33" i="85" s="1"/>
  <c r="AI34" i="85" s="1"/>
  <c r="AJ23" i="85"/>
  <c r="AJ24" i="85" s="1"/>
  <c r="AJ25" i="85" s="1"/>
  <c r="AJ26" i="85" s="1"/>
  <c r="AJ27" i="85" s="1"/>
  <c r="AI23" i="85"/>
  <c r="AI24" i="85" s="1"/>
  <c r="AI25" i="85" s="1"/>
  <c r="AI26" i="85" s="1"/>
  <c r="AI27" i="85" s="1"/>
  <c r="AJ16" i="85"/>
  <c r="AJ17" i="85" s="1"/>
  <c r="AJ18" i="85" s="1"/>
  <c r="AJ19" i="85" s="1"/>
  <c r="AJ20" i="85" s="1"/>
  <c r="AI16" i="85"/>
  <c r="AI17" i="85" s="1"/>
  <c r="AI18" i="85" s="1"/>
  <c r="AI19" i="85" s="1"/>
  <c r="AI20" i="85" s="1"/>
  <c r="C61" i="84"/>
  <c r="AJ51" i="84"/>
  <c r="AJ52" i="84" s="1"/>
  <c r="AJ53" i="84" s="1"/>
  <c r="AJ54" i="84" s="1"/>
  <c r="AJ55" i="84" s="1"/>
  <c r="AI51" i="84"/>
  <c r="AI52" i="84" s="1"/>
  <c r="AI53" i="84" s="1"/>
  <c r="AI54" i="84" s="1"/>
  <c r="AI55" i="84" s="1"/>
  <c r="AJ44" i="84"/>
  <c r="AJ45" i="84" s="1"/>
  <c r="AJ46" i="84" s="1"/>
  <c r="AJ47" i="84" s="1"/>
  <c r="AJ48" i="84" s="1"/>
  <c r="AI44" i="84"/>
  <c r="AI45" i="84" s="1"/>
  <c r="AI46" i="84" s="1"/>
  <c r="AI47" i="84" s="1"/>
  <c r="AI48" i="84" s="1"/>
  <c r="AJ37" i="84"/>
  <c r="AJ38" i="84" s="1"/>
  <c r="AJ39" i="84" s="1"/>
  <c r="AJ40" i="84" s="1"/>
  <c r="AJ41" i="84" s="1"/>
  <c r="AI37" i="84"/>
  <c r="AI38" i="84" s="1"/>
  <c r="AI39" i="84" s="1"/>
  <c r="AI40" i="84" s="1"/>
  <c r="AI41" i="84" s="1"/>
  <c r="AJ30" i="84"/>
  <c r="AJ31" i="84" s="1"/>
  <c r="AJ32" i="84" s="1"/>
  <c r="AJ33" i="84" s="1"/>
  <c r="AJ34" i="84" s="1"/>
  <c r="AI30" i="84"/>
  <c r="AI31" i="84" s="1"/>
  <c r="AI32" i="84" s="1"/>
  <c r="AI33" i="84" s="1"/>
  <c r="AI34" i="84" s="1"/>
  <c r="AJ23" i="84"/>
  <c r="AJ24" i="84" s="1"/>
  <c r="AJ25" i="84" s="1"/>
  <c r="AJ26" i="84" s="1"/>
  <c r="AJ27" i="84" s="1"/>
  <c r="AI23" i="84"/>
  <c r="AI24" i="84" s="1"/>
  <c r="AI25" i="84" s="1"/>
  <c r="AI26" i="84" s="1"/>
  <c r="AI27" i="84" s="1"/>
  <c r="AJ16" i="84"/>
  <c r="AJ17" i="84" s="1"/>
  <c r="AJ18" i="84" s="1"/>
  <c r="AJ19" i="84" s="1"/>
  <c r="AJ20" i="84" s="1"/>
  <c r="AI16" i="84"/>
  <c r="AI17" i="84" s="1"/>
  <c r="AI18" i="84" s="1"/>
  <c r="AI19" i="84" s="1"/>
  <c r="AI20" i="84" s="1"/>
  <c r="C61" i="83"/>
  <c r="AJ51" i="83"/>
  <c r="AJ52" i="83" s="1"/>
  <c r="AJ53" i="83" s="1"/>
  <c r="AJ54" i="83" s="1"/>
  <c r="AJ55" i="83" s="1"/>
  <c r="AI51" i="83"/>
  <c r="AI52" i="83" s="1"/>
  <c r="AI53" i="83" s="1"/>
  <c r="AI54" i="83" s="1"/>
  <c r="AI55" i="83" s="1"/>
  <c r="AJ44" i="83"/>
  <c r="AJ45" i="83" s="1"/>
  <c r="AJ46" i="83" s="1"/>
  <c r="AJ47" i="83" s="1"/>
  <c r="AJ48" i="83" s="1"/>
  <c r="AI44" i="83"/>
  <c r="AI45" i="83" s="1"/>
  <c r="AI46" i="83" s="1"/>
  <c r="AI47" i="83" s="1"/>
  <c r="AI48" i="83" s="1"/>
  <c r="AJ37" i="83"/>
  <c r="AJ38" i="83" s="1"/>
  <c r="AJ39" i="83" s="1"/>
  <c r="AJ40" i="83" s="1"/>
  <c r="AJ41" i="83" s="1"/>
  <c r="AI37" i="83"/>
  <c r="AI38" i="83" s="1"/>
  <c r="AI39" i="83" s="1"/>
  <c r="AI40" i="83" s="1"/>
  <c r="AI41" i="83" s="1"/>
  <c r="AJ30" i="83"/>
  <c r="AJ31" i="83" s="1"/>
  <c r="AJ32" i="83" s="1"/>
  <c r="AJ33" i="83" s="1"/>
  <c r="AJ34" i="83" s="1"/>
  <c r="AI30" i="83"/>
  <c r="AI31" i="83" s="1"/>
  <c r="AI32" i="83" s="1"/>
  <c r="AI33" i="83" s="1"/>
  <c r="AI34" i="83" s="1"/>
  <c r="AJ23" i="83"/>
  <c r="AJ24" i="83" s="1"/>
  <c r="AJ25" i="83" s="1"/>
  <c r="AJ26" i="83" s="1"/>
  <c r="AJ27" i="83" s="1"/>
  <c r="AI23" i="83"/>
  <c r="AI24" i="83" s="1"/>
  <c r="AI25" i="83" s="1"/>
  <c r="AI26" i="83" s="1"/>
  <c r="AI27" i="83" s="1"/>
  <c r="AJ16" i="83"/>
  <c r="AJ17" i="83" s="1"/>
  <c r="AJ18" i="83" s="1"/>
  <c r="AJ19" i="83" s="1"/>
  <c r="AJ20" i="83" s="1"/>
  <c r="AI16" i="83"/>
  <c r="AI17" i="83" s="1"/>
  <c r="AI18" i="83" s="1"/>
  <c r="AI19" i="83" s="1"/>
  <c r="AI20" i="83" s="1"/>
  <c r="C61" i="82"/>
  <c r="AJ51" i="82"/>
  <c r="AJ52" i="82" s="1"/>
  <c r="AJ53" i="82" s="1"/>
  <c r="AJ54" i="82" s="1"/>
  <c r="AJ55" i="82" s="1"/>
  <c r="AI51" i="82"/>
  <c r="AI52" i="82" s="1"/>
  <c r="AI53" i="82" s="1"/>
  <c r="AI54" i="82" s="1"/>
  <c r="AI55" i="82" s="1"/>
  <c r="AJ44" i="82"/>
  <c r="AJ45" i="82" s="1"/>
  <c r="AJ46" i="82" s="1"/>
  <c r="AJ47" i="82" s="1"/>
  <c r="AJ48" i="82" s="1"/>
  <c r="AI44" i="82"/>
  <c r="AI45" i="82" s="1"/>
  <c r="AI46" i="82" s="1"/>
  <c r="AI47" i="82" s="1"/>
  <c r="AI48" i="82" s="1"/>
  <c r="AJ37" i="82"/>
  <c r="AJ38" i="82" s="1"/>
  <c r="AJ39" i="82" s="1"/>
  <c r="AJ40" i="82" s="1"/>
  <c r="AJ41" i="82" s="1"/>
  <c r="AI37" i="82"/>
  <c r="AI38" i="82" s="1"/>
  <c r="AI39" i="82" s="1"/>
  <c r="AI40" i="82" s="1"/>
  <c r="AI41" i="82" s="1"/>
  <c r="AJ30" i="82"/>
  <c r="AJ31" i="82" s="1"/>
  <c r="AJ32" i="82" s="1"/>
  <c r="AJ33" i="82" s="1"/>
  <c r="AJ34" i="82" s="1"/>
  <c r="AI30" i="82"/>
  <c r="AI31" i="82" s="1"/>
  <c r="AI32" i="82" s="1"/>
  <c r="AI33" i="82" s="1"/>
  <c r="AI34" i="82" s="1"/>
  <c r="AJ23" i="82"/>
  <c r="AJ24" i="82" s="1"/>
  <c r="AJ25" i="82" s="1"/>
  <c r="AJ26" i="82" s="1"/>
  <c r="AJ27" i="82" s="1"/>
  <c r="AI23" i="82"/>
  <c r="AI24" i="82" s="1"/>
  <c r="AI25" i="82" s="1"/>
  <c r="AI26" i="82" s="1"/>
  <c r="AI27" i="82" s="1"/>
  <c r="AJ16" i="82"/>
  <c r="AJ17" i="82" s="1"/>
  <c r="AJ18" i="82" s="1"/>
  <c r="AJ19" i="82" s="1"/>
  <c r="AJ20" i="82" s="1"/>
  <c r="AI16" i="82"/>
  <c r="AI17" i="82" s="1"/>
  <c r="AI18" i="82" s="1"/>
  <c r="AI19" i="82" s="1"/>
  <c r="AI20" i="82" s="1"/>
  <c r="X45" i="92"/>
  <c r="Z31" i="92"/>
  <c r="AA48" i="92"/>
  <c r="AE47" i="92"/>
  <c r="X47" i="92"/>
  <c r="P17" i="92"/>
  <c r="W51" i="92"/>
  <c r="L51" i="92"/>
  <c r="O16" i="92"/>
  <c r="X44" i="92"/>
  <c r="N30" i="92"/>
  <c r="Y19" i="92"/>
  <c r="AB52" i="92"/>
  <c r="O17" i="92"/>
  <c r="P15" i="92"/>
  <c r="AC54" i="92"/>
  <c r="K20" i="92"/>
  <c r="AD39" i="92"/>
  <c r="W31" i="92"/>
  <c r="M31" i="92"/>
  <c r="AE45" i="92"/>
  <c r="P46" i="92"/>
  <c r="Z45" i="93"/>
  <c r="O37" i="92"/>
  <c r="U45" i="93"/>
  <c r="W45" i="93"/>
  <c r="I30" i="92"/>
  <c r="D20" i="92"/>
  <c r="G51" i="92"/>
  <c r="AA40" i="92"/>
  <c r="AD26" i="92"/>
  <c r="N48" i="92"/>
  <c r="Y33" i="92"/>
  <c r="AA22" i="92"/>
  <c r="M33" i="92"/>
  <c r="U48" i="92"/>
  <c r="O19" i="92"/>
  <c r="J40" i="92"/>
  <c r="AC48" i="92"/>
  <c r="L23" i="92"/>
  <c r="AF52" i="92"/>
  <c r="AB45" i="92"/>
  <c r="M22" i="92"/>
  <c r="AA24" i="92"/>
  <c r="AE43" i="92"/>
  <c r="O52" i="92"/>
  <c r="P19" i="92"/>
  <c r="H30" i="92"/>
  <c r="AB43" i="92"/>
  <c r="AB53" i="92"/>
  <c r="AF29" i="92"/>
  <c r="J27" i="92"/>
  <c r="AE20" i="92"/>
  <c r="N18" i="92"/>
  <c r="AG25" i="92"/>
  <c r="G34" i="92"/>
  <c r="AF50" i="92"/>
  <c r="O36" i="92"/>
  <c r="X32" i="92"/>
  <c r="N33" i="92"/>
  <c r="F48" i="92"/>
  <c r="AF38" i="92"/>
  <c r="J17" i="92"/>
  <c r="W52" i="92"/>
  <c r="Z30" i="92"/>
  <c r="H46" i="92"/>
  <c r="N39" i="92"/>
  <c r="AC37" i="92"/>
  <c r="O33" i="92"/>
  <c r="AF30" i="92"/>
  <c r="AE31" i="92"/>
  <c r="AA45" i="93"/>
  <c r="K15" i="92"/>
  <c r="L25" i="92"/>
  <c r="I41" i="92"/>
  <c r="N45" i="92"/>
  <c r="U52" i="92"/>
  <c r="U40" i="92"/>
  <c r="Z38" i="92"/>
  <c r="W18" i="92"/>
  <c r="M25" i="92"/>
  <c r="F16" i="92"/>
  <c r="J53" i="92"/>
  <c r="G32" i="92"/>
  <c r="W40" i="92"/>
  <c r="AC50" i="92"/>
  <c r="J26" i="92"/>
  <c r="AB45" i="93"/>
  <c r="H34" i="92"/>
  <c r="O15" i="92"/>
  <c r="AA20" i="92"/>
  <c r="AD43" i="92"/>
  <c r="AD37" i="92"/>
  <c r="W36" i="92"/>
  <c r="Z50" i="92"/>
  <c r="O53" i="92"/>
  <c r="Y31" i="92"/>
  <c r="N40" i="92"/>
  <c r="AG15" i="92"/>
  <c r="P36" i="92"/>
  <c r="O34" i="92"/>
  <c r="AA27" i="92"/>
  <c r="P54" i="92"/>
  <c r="AC51" i="92"/>
  <c r="AA45" i="92"/>
  <c r="P26" i="92"/>
  <c r="U38" i="92"/>
  <c r="G54" i="92"/>
  <c r="AG29" i="92"/>
  <c r="AD22" i="92"/>
  <c r="P43" i="92"/>
  <c r="AA31" i="92"/>
  <c r="I55" i="92"/>
  <c r="X20" i="92"/>
  <c r="F53" i="92"/>
  <c r="AB39" i="92"/>
  <c r="Z54" i="92"/>
  <c r="N15" i="92"/>
  <c r="D27" i="92"/>
  <c r="U24" i="92"/>
  <c r="AC31" i="92"/>
  <c r="AA29" i="92"/>
  <c r="AA38" i="92"/>
  <c r="AB32" i="92"/>
  <c r="Y20" i="92"/>
  <c r="AG17" i="92"/>
  <c r="W45" i="92"/>
  <c r="AC39" i="92"/>
  <c r="O40" i="92"/>
  <c r="G19" i="92"/>
  <c r="L27" i="92"/>
  <c r="AD50" i="92"/>
  <c r="L39" i="92"/>
  <c r="L46" i="92"/>
  <c r="M17" i="92"/>
  <c r="J44" i="92"/>
  <c r="W22" i="92"/>
  <c r="G33" i="92"/>
  <c r="J15" i="92"/>
  <c r="N29" i="92"/>
  <c r="P44" i="92"/>
  <c r="G55" i="92"/>
  <c r="J54" i="92"/>
  <c r="AE34" i="92"/>
  <c r="D44" i="92"/>
  <c r="H48" i="92"/>
  <c r="U47" i="92"/>
  <c r="J22" i="92"/>
  <c r="AA39" i="92"/>
  <c r="X43" i="92"/>
  <c r="AA32" i="92"/>
  <c r="AA44" i="92"/>
  <c r="J20" i="92"/>
  <c r="Y45" i="93"/>
  <c r="L48" i="92"/>
  <c r="N46" i="92"/>
  <c r="H27" i="92"/>
  <c r="D40" i="92"/>
  <c r="J19" i="92"/>
  <c r="Y16" i="92"/>
  <c r="O26" i="92"/>
  <c r="O45" i="92"/>
  <c r="I25" i="92"/>
  <c r="J25" i="92"/>
  <c r="J18" i="92"/>
  <c r="N43" i="92"/>
  <c r="K41" i="92"/>
  <c r="K39" i="92"/>
  <c r="F23" i="92"/>
  <c r="AB38" i="92"/>
  <c r="AE50" i="92"/>
  <c r="AA34" i="92"/>
  <c r="J36" i="92"/>
  <c r="M47" i="92"/>
  <c r="AB37" i="92"/>
  <c r="J48" i="92"/>
  <c r="L18" i="92"/>
  <c r="AB33" i="92"/>
  <c r="M26" i="92"/>
  <c r="Y39" i="92"/>
  <c r="AA17" i="92"/>
  <c r="W48" i="92"/>
  <c r="P45" i="92"/>
  <c r="Y52" i="92"/>
  <c r="F50" i="92"/>
  <c r="AA37" i="92"/>
  <c r="Z19" i="92"/>
  <c r="AC43" i="92"/>
  <c r="L53" i="92"/>
  <c r="F43" i="92"/>
  <c r="Z15" i="92"/>
  <c r="AD23" i="92"/>
  <c r="P34" i="92"/>
  <c r="U33" i="92"/>
  <c r="Y50" i="92"/>
  <c r="AA30" i="92"/>
  <c r="K48" i="92"/>
  <c r="U18" i="92"/>
  <c r="Z44" i="92"/>
  <c r="M36" i="92"/>
  <c r="W43" i="92"/>
  <c r="AD19" i="92"/>
  <c r="L54" i="92"/>
  <c r="W27" i="92"/>
  <c r="H19" i="92"/>
  <c r="AE52" i="92"/>
  <c r="F54" i="92"/>
  <c r="I34" i="92"/>
  <c r="U29" i="92"/>
  <c r="G29" i="92"/>
  <c r="N24" i="92"/>
  <c r="P41" i="92"/>
  <c r="Z34" i="92"/>
  <c r="Z52" i="92"/>
  <c r="AA51" i="92"/>
  <c r="P16" i="92"/>
  <c r="AG23" i="92"/>
  <c r="U22" i="92"/>
  <c r="L37" i="92"/>
  <c r="I15" i="92"/>
  <c r="Z43" i="92"/>
  <c r="AE54" i="92"/>
  <c r="N20" i="92"/>
  <c r="AC30" i="92"/>
  <c r="U27" i="92"/>
  <c r="F22" i="92"/>
  <c r="AB54" i="92"/>
  <c r="I52" i="92"/>
  <c r="Z29" i="92"/>
  <c r="W33" i="92"/>
  <c r="M51" i="92"/>
  <c r="I27" i="92"/>
  <c r="AA23" i="92"/>
  <c r="AD18" i="92"/>
  <c r="D18" i="92"/>
  <c r="AC41" i="92"/>
  <c r="J39" i="92"/>
  <c r="AC20" i="92"/>
  <c r="J24" i="92"/>
  <c r="U45" i="92"/>
  <c r="F47" i="92"/>
  <c r="P40" i="92"/>
  <c r="Y45" i="92"/>
  <c r="AB48" i="92"/>
  <c r="F18" i="92"/>
  <c r="J41" i="92"/>
  <c r="AB40" i="92"/>
  <c r="Z46" i="92"/>
  <c r="X46" i="92"/>
  <c r="W39" i="92"/>
  <c r="O32" i="92"/>
  <c r="W30" i="92"/>
  <c r="O25" i="92"/>
  <c r="N38" i="92"/>
  <c r="G25" i="92"/>
  <c r="I45" i="92"/>
  <c r="D31" i="92"/>
  <c r="H18" i="92"/>
  <c r="N25" i="92"/>
  <c r="M19" i="92"/>
  <c r="AF54" i="92"/>
  <c r="Y55" i="92"/>
  <c r="J38" i="92"/>
  <c r="Y43" i="92"/>
  <c r="N27" i="92"/>
  <c r="J45" i="92"/>
  <c r="O41" i="92"/>
  <c r="I18" i="92"/>
  <c r="O50" i="92"/>
  <c r="AD41" i="92"/>
  <c r="X22" i="92"/>
  <c r="H52" i="92"/>
  <c r="H26" i="92"/>
  <c r="F34" i="92"/>
  <c r="X17" i="92"/>
  <c r="AC33" i="92"/>
  <c r="U30" i="92"/>
  <c r="F45" i="92"/>
  <c r="AD44" i="92"/>
  <c r="D55" i="92"/>
  <c r="AE24" i="92"/>
  <c r="D17" i="92"/>
  <c r="Z27" i="92"/>
  <c r="H45" i="92"/>
  <c r="P24" i="92"/>
  <c r="AC38" i="92"/>
  <c r="K30" i="92"/>
  <c r="AB36" i="92"/>
  <c r="U54" i="92"/>
  <c r="AC44" i="92"/>
  <c r="J37" i="92"/>
  <c r="W50" i="92"/>
  <c r="AB24" i="92"/>
  <c r="D32" i="92"/>
  <c r="AC45" i="92"/>
  <c r="L32" i="92"/>
  <c r="K37" i="92"/>
  <c r="N44" i="92"/>
  <c r="AA52" i="92"/>
  <c r="AG27" i="92"/>
  <c r="K27" i="92"/>
  <c r="U39" i="92"/>
  <c r="AA26" i="92"/>
  <c r="N53" i="92"/>
  <c r="D25" i="92"/>
  <c r="Z32" i="92"/>
  <c r="M39" i="92"/>
  <c r="Z39" i="92"/>
  <c r="AF20" i="92"/>
  <c r="W53" i="92"/>
  <c r="H36" i="92"/>
  <c r="AF33" i="92"/>
  <c r="AA47" i="92"/>
  <c r="F24" i="92"/>
  <c r="AF39" i="92"/>
  <c r="N54" i="92"/>
  <c r="U31" i="92"/>
  <c r="F46" i="92"/>
  <c r="J55" i="92"/>
  <c r="P53" i="92"/>
  <c r="H38" i="92"/>
  <c r="W20" i="92"/>
  <c r="W15" i="92"/>
  <c r="AC40" i="92"/>
  <c r="Y22" i="92"/>
  <c r="F26" i="92"/>
  <c r="L16" i="92"/>
  <c r="J34" i="92"/>
  <c r="L50" i="92"/>
  <c r="W24" i="92"/>
  <c r="I26" i="92"/>
  <c r="O47" i="92"/>
  <c r="I40" i="92"/>
  <c r="K44" i="92"/>
  <c r="D22" i="92"/>
  <c r="AG45" i="92"/>
  <c r="K34" i="92"/>
  <c r="AF40" i="92"/>
  <c r="L15" i="92"/>
  <c r="W41" i="92"/>
  <c r="X26" i="92"/>
  <c r="AA36" i="92"/>
  <c r="AD40" i="92"/>
  <c r="AA15" i="92"/>
  <c r="I29" i="92"/>
  <c r="L26" i="92"/>
  <c r="AE30" i="92"/>
  <c r="AD17" i="92"/>
  <c r="X41" i="92"/>
  <c r="U16" i="92"/>
  <c r="N50" i="92"/>
  <c r="F27" i="92"/>
  <c r="AE15" i="92"/>
  <c r="Z40" i="92"/>
  <c r="N22" i="92"/>
  <c r="G27" i="92"/>
  <c r="O20" i="92"/>
  <c r="AA41" i="92"/>
  <c r="D53" i="92"/>
  <c r="D52" i="92"/>
  <c r="K51" i="92"/>
  <c r="X48" i="92"/>
  <c r="N23" i="92"/>
  <c r="O18" i="92"/>
  <c r="M34" i="92"/>
  <c r="J51" i="92"/>
  <c r="K31" i="92"/>
  <c r="I16" i="92"/>
  <c r="X38" i="92"/>
  <c r="Z22" i="92"/>
  <c r="AE27" i="92"/>
  <c r="AC36" i="92"/>
  <c r="AE45" i="93"/>
  <c r="Y48" i="92"/>
  <c r="I39" i="92"/>
  <c r="G41" i="92"/>
  <c r="AG38" i="92"/>
  <c r="O55" i="92"/>
  <c r="U19" i="92"/>
  <c r="L24" i="92"/>
  <c r="U46" i="92"/>
  <c r="K38" i="92"/>
  <c r="K46" i="92"/>
  <c r="AD20" i="92"/>
  <c r="AG34" i="92"/>
  <c r="AC15" i="92"/>
  <c r="Y46" i="92"/>
  <c r="K36" i="92"/>
  <c r="N55" i="92"/>
  <c r="D16" i="92"/>
  <c r="AE16" i="92"/>
  <c r="U44" i="92"/>
  <c r="U15" i="92"/>
  <c r="AB27" i="92"/>
  <c r="AG43" i="92"/>
  <c r="G45" i="92"/>
  <c r="O43" i="92"/>
  <c r="Z20" i="92"/>
  <c r="AA55" i="92"/>
  <c r="K24" i="92"/>
  <c r="AG22" i="92"/>
  <c r="K16" i="92"/>
  <c r="L55" i="92"/>
  <c r="M50" i="92"/>
  <c r="H39" i="92"/>
  <c r="J46" i="92"/>
  <c r="U32" i="92"/>
  <c r="L45" i="92"/>
  <c r="P20" i="92"/>
  <c r="AC34" i="92"/>
  <c r="AE44" i="92"/>
  <c r="AA54" i="92"/>
  <c r="P31" i="92"/>
  <c r="AF15" i="92"/>
  <c r="F33" i="92"/>
  <c r="L17" i="92"/>
  <c r="I46" i="92"/>
  <c r="AG40" i="92"/>
  <c r="Z41" i="92"/>
  <c r="W34" i="92"/>
  <c r="AE18" i="92"/>
  <c r="AF22" i="92"/>
  <c r="X37" i="92"/>
  <c r="D23" i="92"/>
  <c r="L47" i="92"/>
  <c r="X51" i="92"/>
  <c r="AE17" i="92"/>
  <c r="AB22" i="92"/>
  <c r="L30" i="92"/>
  <c r="P27" i="92"/>
  <c r="H24" i="92"/>
  <c r="P47" i="92"/>
  <c r="O22" i="92"/>
  <c r="AD36" i="92"/>
  <c r="X19" i="92"/>
  <c r="U36" i="92"/>
  <c r="L37" i="93"/>
  <c r="Z37" i="92"/>
  <c r="K18" i="92"/>
  <c r="G48" i="92"/>
  <c r="G15" i="92"/>
  <c r="Y24" i="92"/>
  <c r="AG19" i="92"/>
  <c r="AD46" i="92"/>
  <c r="AF55" i="92"/>
  <c r="W29" i="92"/>
  <c r="Y15" i="92"/>
  <c r="AC52" i="92"/>
  <c r="Y23" i="92"/>
  <c r="K50" i="92"/>
  <c r="AF16" i="92"/>
  <c r="M16" i="92"/>
  <c r="Y32" i="92"/>
  <c r="H25" i="92"/>
  <c r="J29" i="92"/>
  <c r="AF23" i="92"/>
  <c r="M20" i="92"/>
  <c r="L31" i="92"/>
  <c r="AF37" i="92"/>
  <c r="AB51" i="92"/>
  <c r="D41" i="92"/>
  <c r="G44" i="92"/>
  <c r="I31" i="92"/>
  <c r="H44" i="92"/>
  <c r="AF26" i="92"/>
  <c r="I54" i="92"/>
  <c r="X30" i="92"/>
  <c r="D45" i="92"/>
  <c r="H51" i="92"/>
  <c r="H40" i="92"/>
  <c r="AF32" i="92"/>
  <c r="J23" i="92"/>
  <c r="G39" i="92"/>
  <c r="AD38" i="92"/>
  <c r="AC47" i="92"/>
  <c r="X55" i="92"/>
  <c r="Y38" i="92"/>
  <c r="Z36" i="92"/>
  <c r="AF18" i="92"/>
  <c r="O23" i="92"/>
  <c r="H16" i="92"/>
  <c r="H22" i="92"/>
  <c r="AE19" i="92"/>
  <c r="M15" i="92"/>
  <c r="M44" i="92"/>
  <c r="X16" i="92"/>
  <c r="H31" i="92"/>
  <c r="I53" i="92"/>
  <c r="AG20" i="92"/>
  <c r="P51" i="92"/>
  <c r="W37" i="92"/>
  <c r="F37" i="92"/>
  <c r="W44" i="92"/>
  <c r="M30" i="92"/>
  <c r="D36" i="92"/>
  <c r="AG37" i="92"/>
  <c r="L40" i="92"/>
  <c r="H55" i="92"/>
  <c r="M43" i="92"/>
  <c r="K22" i="92"/>
  <c r="F19" i="92"/>
  <c r="M46" i="92"/>
  <c r="M23" i="92"/>
  <c r="AB26" i="92"/>
  <c r="H17" i="92"/>
  <c r="X27" i="92"/>
  <c r="AE23" i="92"/>
  <c r="AG48" i="92"/>
  <c r="U53" i="92"/>
  <c r="AD51" i="92"/>
  <c r="AA50" i="92"/>
  <c r="AA53" i="92"/>
  <c r="L52" i="92"/>
  <c r="L19" i="92"/>
  <c r="F30" i="92"/>
  <c r="N34" i="92"/>
  <c r="AE51" i="92"/>
  <c r="Y53" i="92"/>
  <c r="AA43" i="92"/>
  <c r="AG32" i="92"/>
  <c r="AD48" i="92"/>
  <c r="N41" i="92"/>
  <c r="F39" i="92"/>
  <c r="AD15" i="92"/>
  <c r="AC46" i="92"/>
  <c r="K19" i="92"/>
  <c r="D50" i="92"/>
  <c r="X18" i="92"/>
  <c r="Z16" i="92"/>
  <c r="M53" i="92"/>
  <c r="Y51" i="92"/>
  <c r="Y44" i="92"/>
  <c r="D51" i="92"/>
  <c r="N16" i="93"/>
  <c r="M27" i="92"/>
  <c r="D47" i="92"/>
  <c r="X24" i="92"/>
  <c r="O30" i="92"/>
  <c r="G22" i="92"/>
  <c r="J52" i="92"/>
  <c r="G24" i="92"/>
  <c r="AC18" i="92"/>
  <c r="U34" i="92"/>
  <c r="I22" i="92"/>
  <c r="G43" i="92"/>
  <c r="F25" i="92"/>
  <c r="AF41" i="92"/>
  <c r="AG46" i="92"/>
  <c r="M55" i="92"/>
  <c r="K54" i="92"/>
  <c r="H23" i="92"/>
  <c r="X25" i="92"/>
  <c r="AG26" i="92"/>
  <c r="AD16" i="92"/>
  <c r="AA33" i="92"/>
  <c r="X29" i="92"/>
  <c r="AG33" i="92"/>
  <c r="AG16" i="92"/>
  <c r="AE29" i="92"/>
  <c r="Y18" i="92"/>
  <c r="J33" i="92"/>
  <c r="F19" i="93"/>
  <c r="P39" i="92"/>
  <c r="AG24" i="92"/>
  <c r="AD24" i="92"/>
  <c r="F52" i="92"/>
  <c r="W26" i="92"/>
  <c r="P37" i="92"/>
  <c r="AA18" i="92"/>
  <c r="D46" i="92"/>
  <c r="W54" i="92"/>
  <c r="N16" i="92"/>
  <c r="F29" i="92"/>
  <c r="D15" i="92"/>
  <c r="D43" i="92"/>
  <c r="AE33" i="92"/>
  <c r="AD54" i="92"/>
  <c r="I50" i="92"/>
  <c r="AE46" i="92"/>
  <c r="D39" i="92"/>
  <c r="G52" i="92"/>
  <c r="AB50" i="92"/>
  <c r="K25" i="92"/>
  <c r="W46" i="92"/>
  <c r="I47" i="92"/>
  <c r="AB31" i="92"/>
  <c r="H50" i="92"/>
  <c r="G47" i="92"/>
  <c r="P33" i="92"/>
  <c r="Z45" i="92"/>
  <c r="K29" i="92"/>
  <c r="L43" i="92"/>
  <c r="G36" i="92"/>
  <c r="U43" i="92"/>
  <c r="X50" i="92"/>
  <c r="X53" i="92"/>
  <c r="M37" i="92"/>
  <c r="AE53" i="92"/>
  <c r="I20" i="92"/>
  <c r="H33" i="92"/>
  <c r="AD52" i="92"/>
  <c r="P30" i="92"/>
  <c r="AF31" i="92"/>
  <c r="AB41" i="92"/>
  <c r="J30" i="92"/>
  <c r="P18" i="92"/>
  <c r="Z33" i="92"/>
  <c r="AF24" i="92"/>
  <c r="W16" i="92"/>
  <c r="G23" i="92"/>
  <c r="AB34" i="92"/>
  <c r="M54" i="92"/>
  <c r="P25" i="92"/>
  <c r="M52" i="92"/>
  <c r="G18" i="92"/>
  <c r="AB47" i="92"/>
  <c r="Z23" i="92"/>
  <c r="X15" i="92"/>
  <c r="K43" i="92"/>
  <c r="F44" i="92"/>
  <c r="D34" i="92"/>
  <c r="U23" i="92"/>
  <c r="K40" i="92"/>
  <c r="AF53" i="92"/>
  <c r="O44" i="92"/>
  <c r="AF34" i="92"/>
  <c r="J32" i="92"/>
  <c r="J47" i="92"/>
  <c r="U26" i="92"/>
  <c r="I37" i="92"/>
  <c r="D19" i="92"/>
  <c r="O48" i="92"/>
  <c r="AB55" i="92"/>
  <c r="X23" i="92"/>
  <c r="X31" i="92"/>
  <c r="O51" i="92"/>
  <c r="O54" i="92"/>
  <c r="AG47" i="92"/>
  <c r="Z26" i="92"/>
  <c r="H20" i="92"/>
  <c r="Y29" i="92"/>
  <c r="P52" i="92"/>
  <c r="AG30" i="92"/>
  <c r="AB30" i="92"/>
  <c r="W32" i="92"/>
  <c r="F36" i="92"/>
  <c r="L22" i="92"/>
  <c r="I19" i="92"/>
  <c r="K52" i="92"/>
  <c r="F20" i="92"/>
  <c r="AC45" i="93"/>
  <c r="G38" i="92"/>
  <c r="U55" i="92"/>
  <c r="P23" i="92"/>
  <c r="L36" i="92"/>
  <c r="N17" i="92"/>
  <c r="D24" i="92"/>
  <c r="M45" i="92"/>
  <c r="U37" i="92"/>
  <c r="N52" i="92"/>
  <c r="AB29" i="92"/>
  <c r="Z53" i="92"/>
  <c r="W38" i="92"/>
  <c r="H32" i="92"/>
  <c r="G50" i="92"/>
  <c r="I23" i="92"/>
  <c r="Z48" i="92"/>
  <c r="F40" i="92"/>
  <c r="K53" i="92"/>
  <c r="AA16" i="92"/>
  <c r="X45" i="93"/>
  <c r="N26" i="92"/>
  <c r="Z51" i="92"/>
  <c r="X36" i="92"/>
  <c r="AB46" i="92"/>
  <c r="Y34" i="92"/>
  <c r="M48" i="92"/>
  <c r="AF36" i="92"/>
  <c r="Y26" i="92"/>
  <c r="N36" i="92"/>
  <c r="AG39" i="92"/>
  <c r="M38" i="92"/>
  <c r="G16" i="92"/>
  <c r="D38" i="92"/>
  <c r="F17" i="92"/>
  <c r="J31" i="92"/>
  <c r="F15" i="92"/>
  <c r="H43" i="92"/>
  <c r="O46" i="92"/>
  <c r="M18" i="92"/>
  <c r="W47" i="92"/>
  <c r="AF27" i="92"/>
  <c r="AG44" i="92"/>
  <c r="Z18" i="92"/>
  <c r="K33" i="92"/>
  <c r="P32" i="92"/>
  <c r="M24" i="92"/>
  <c r="L44" i="92"/>
  <c r="G30" i="92"/>
  <c r="AB44" i="92"/>
  <c r="M40" i="92"/>
  <c r="D26" i="92"/>
  <c r="G53" i="92"/>
  <c r="AF19" i="92"/>
  <c r="Y27" i="92"/>
  <c r="I24" i="92"/>
  <c r="AB23" i="92"/>
  <c r="O24" i="92"/>
  <c r="AF53" i="93"/>
  <c r="F30" i="93"/>
  <c r="W51" i="93"/>
  <c r="O19" i="93"/>
  <c r="K55" i="93"/>
  <c r="H47" i="93"/>
  <c r="J34" i="93"/>
  <c r="AA46" i="93"/>
  <c r="W26" i="93"/>
  <c r="AG27" i="93"/>
  <c r="G43" i="93"/>
  <c r="E38" i="87"/>
  <c r="H33" i="93"/>
  <c r="O47" i="93"/>
  <c r="K33" i="93"/>
  <c r="G39" i="93"/>
  <c r="Z55" i="93"/>
  <c r="AD37" i="93"/>
  <c r="AD27" i="93"/>
  <c r="AA51" i="93"/>
  <c r="Y19" i="93"/>
  <c r="AB38" i="93"/>
  <c r="U41" i="93"/>
  <c r="Y23" i="93"/>
  <c r="O41" i="93"/>
  <c r="I18" i="93"/>
  <c r="O40" i="93"/>
  <c r="AA22" i="93"/>
  <c r="U23" i="93"/>
  <c r="J32" i="93"/>
  <c r="AF55" i="93"/>
  <c r="I54" i="93"/>
  <c r="AB29" i="93"/>
  <c r="F27" i="93"/>
  <c r="O27" i="93"/>
  <c r="K23" i="93"/>
  <c r="W23" i="93"/>
  <c r="L54" i="93"/>
  <c r="N51" i="93"/>
  <c r="AD53" i="93"/>
  <c r="AF19" i="93"/>
  <c r="W32" i="93"/>
  <c r="AE30" i="93"/>
  <c r="I47" i="93"/>
  <c r="AD48" i="93"/>
  <c r="V26" i="87"/>
  <c r="O46" i="93"/>
  <c r="F52" i="93"/>
  <c r="K41" i="93"/>
  <c r="W27" i="93"/>
  <c r="V22" i="87"/>
  <c r="E41" i="87"/>
  <c r="D34" i="93"/>
  <c r="U33" i="93"/>
  <c r="P41" i="93"/>
  <c r="G19" i="93"/>
  <c r="H39" i="93"/>
  <c r="H43" i="93"/>
  <c r="AB32" i="93"/>
  <c r="J23" i="93"/>
  <c r="P20" i="93"/>
  <c r="V23" i="87"/>
  <c r="V33" i="87"/>
  <c r="W44" i="93"/>
  <c r="W41" i="93"/>
  <c r="Y33" i="93"/>
  <c r="I15" i="93"/>
  <c r="J27" i="93"/>
  <c r="AF34" i="93"/>
  <c r="G26" i="93"/>
  <c r="M15" i="93"/>
  <c r="U27" i="93"/>
  <c r="AG47" i="93"/>
  <c r="K54" i="93"/>
  <c r="L38" i="93"/>
  <c r="AE51" i="93"/>
  <c r="K34" i="93"/>
  <c r="AF30" i="93"/>
  <c r="P25" i="93"/>
  <c r="I24" i="93"/>
  <c r="AF54" i="93"/>
  <c r="J52" i="93"/>
  <c r="AD18" i="93"/>
  <c r="AA38" i="93"/>
  <c r="F36" i="93"/>
  <c r="P39" i="93"/>
  <c r="AE27" i="93"/>
  <c r="E46" i="87"/>
  <c r="J47" i="93"/>
  <c r="H18" i="93"/>
  <c r="Z26" i="93"/>
  <c r="AC37" i="93"/>
  <c r="V53" i="87"/>
  <c r="M54" i="93"/>
  <c r="O51" i="93"/>
  <c r="X23" i="93"/>
  <c r="AF31" i="93"/>
  <c r="AB54" i="93"/>
  <c r="L52" i="93"/>
  <c r="AB41" i="93"/>
  <c r="P53" i="93"/>
  <c r="Y34" i="93"/>
  <c r="M53" i="93"/>
  <c r="M20" i="93"/>
  <c r="AA55" i="93"/>
  <c r="N19" i="93"/>
  <c r="M31" i="93"/>
  <c r="X52" i="93"/>
  <c r="H24" i="93"/>
  <c r="F53" i="93"/>
  <c r="O38" i="93"/>
  <c r="Z30" i="93"/>
  <c r="AC46" i="93"/>
  <c r="U53" i="93"/>
  <c r="F50" i="93"/>
  <c r="H40" i="93"/>
  <c r="P32" i="93"/>
  <c r="W24" i="93"/>
  <c r="X29" i="93"/>
  <c r="D45" i="93"/>
  <c r="D26" i="93"/>
  <c r="J53" i="93"/>
  <c r="L25" i="93"/>
  <c r="AC52" i="93"/>
  <c r="AB51" i="93"/>
  <c r="AB44" i="93"/>
  <c r="W15" i="93"/>
  <c r="Y18" i="93"/>
  <c r="X31" i="93"/>
  <c r="Y54" i="93"/>
  <c r="AD23" i="93"/>
  <c r="Z38" i="93"/>
  <c r="H22" i="93"/>
  <c r="L31" i="93"/>
  <c r="M18" i="93"/>
  <c r="J45" i="93"/>
  <c r="M19" i="93"/>
  <c r="AE20" i="93"/>
  <c r="H16" i="93"/>
  <c r="H52" i="93"/>
  <c r="Y38" i="93"/>
  <c r="AE34" i="93"/>
  <c r="P30" i="93"/>
  <c r="L53" i="93"/>
  <c r="M47" i="93"/>
  <c r="V16" i="87"/>
  <c r="AC20" i="93"/>
  <c r="Z51" i="93"/>
  <c r="G31" i="93"/>
  <c r="AG33" i="93"/>
  <c r="AB26" i="93"/>
  <c r="AB30" i="93"/>
  <c r="Y39" i="93"/>
  <c r="V38" i="87"/>
  <c r="H53" i="93"/>
  <c r="G44" i="93"/>
  <c r="J33" i="93"/>
  <c r="AA25" i="93"/>
  <c r="AG31" i="93"/>
  <c r="I37" i="93"/>
  <c r="D27" i="93"/>
  <c r="V55" i="87"/>
  <c r="N24" i="93"/>
  <c r="X18" i="93"/>
  <c r="O34" i="93"/>
  <c r="AG41" i="93"/>
  <c r="AE43" i="93"/>
  <c r="K43" i="93"/>
  <c r="P24" i="93"/>
  <c r="W20" i="93"/>
  <c r="E30" i="92"/>
  <c r="I38" i="93"/>
  <c r="F25" i="93"/>
  <c r="AE26" i="93"/>
  <c r="Y17" i="93"/>
  <c r="U16" i="93"/>
  <c r="E32" i="87"/>
  <c r="V29" i="87"/>
  <c r="V31" i="87"/>
  <c r="E31" i="87"/>
  <c r="J38" i="93"/>
  <c r="E43" i="87"/>
  <c r="F22" i="93"/>
  <c r="M32" i="93"/>
  <c r="Y55" i="93"/>
  <c r="K19" i="93"/>
  <c r="AE24" i="93"/>
  <c r="P55" i="93"/>
  <c r="X38" i="93"/>
  <c r="AB40" i="93"/>
  <c r="L30" i="93"/>
  <c r="W17" i="93"/>
  <c r="W36" i="93"/>
  <c r="AD22" i="93"/>
  <c r="O53" i="93"/>
  <c r="Y16" i="93"/>
  <c r="W34" i="93"/>
  <c r="D48" i="93"/>
  <c r="AD19" i="93"/>
  <c r="AA39" i="93"/>
  <c r="Y48" i="93"/>
  <c r="U55" i="93"/>
  <c r="H30" i="93"/>
  <c r="AG29" i="93"/>
  <c r="K45" i="93"/>
  <c r="AG46" i="93"/>
  <c r="V19" i="87"/>
  <c r="G41" i="93"/>
  <c r="I19" i="93"/>
  <c r="AE16" i="93"/>
  <c r="M17" i="93"/>
  <c r="L19" i="93"/>
  <c r="H34" i="93"/>
  <c r="I43" i="93"/>
  <c r="J18" i="93"/>
  <c r="M38" i="93"/>
  <c r="AC33" i="93"/>
  <c r="AC38" i="93"/>
  <c r="O48" i="93"/>
  <c r="AB37" i="93"/>
  <c r="X51" i="93"/>
  <c r="V27" i="87"/>
  <c r="Y31" i="93"/>
  <c r="D38" i="93"/>
  <c r="U46" i="93"/>
  <c r="L18" i="93"/>
  <c r="AG40" i="93"/>
  <c r="AF27" i="93"/>
  <c r="D18" i="93"/>
  <c r="AF37" i="93"/>
  <c r="AG23" i="93"/>
  <c r="U30" i="93"/>
  <c r="E33" i="92"/>
  <c r="K17" i="93"/>
  <c r="U32" i="93"/>
  <c r="Z24" i="93"/>
  <c r="P16" i="93"/>
  <c r="M30" i="93"/>
  <c r="E50" i="87"/>
  <c r="AE22" i="93"/>
  <c r="F40" i="93"/>
  <c r="V43" i="87"/>
  <c r="AG30" i="93"/>
  <c r="E15" i="87"/>
  <c r="E29" i="92"/>
  <c r="AA27" i="93"/>
  <c r="Y47" i="93"/>
  <c r="H46" i="93"/>
  <c r="G50" i="93"/>
  <c r="Y43" i="93"/>
  <c r="AA37" i="93"/>
  <c r="V17" i="87"/>
  <c r="U15" i="93"/>
  <c r="P54" i="93"/>
  <c r="J36" i="93"/>
  <c r="Y24" i="93"/>
  <c r="K52" i="93"/>
  <c r="D51" i="93"/>
  <c r="AD41" i="93"/>
  <c r="V25" i="87"/>
  <c r="AA20" i="93"/>
  <c r="I30" i="93"/>
  <c r="AF22" i="93"/>
  <c r="L46" i="93"/>
  <c r="H27" i="93"/>
  <c r="AD16" i="93"/>
  <c r="AG16" i="93"/>
  <c r="AF36" i="93"/>
  <c r="I53" i="93"/>
  <c r="V52" i="87"/>
  <c r="AD24" i="93"/>
  <c r="O29" i="93"/>
  <c r="W39" i="93"/>
  <c r="N43" i="93"/>
  <c r="N22" i="93"/>
  <c r="U20" i="93"/>
  <c r="X48" i="93"/>
  <c r="W50" i="93"/>
  <c r="D47" i="93"/>
  <c r="AF40" i="93"/>
  <c r="AC16" i="93"/>
  <c r="X36" i="93"/>
  <c r="V50" i="92"/>
  <c r="O16" i="93"/>
  <c r="AG38" i="93"/>
  <c r="AE17" i="93"/>
  <c r="O39" i="93"/>
  <c r="F24" i="93"/>
  <c r="AF51" i="93"/>
  <c r="V47" i="87"/>
  <c r="E52" i="87"/>
  <c r="W25" i="93"/>
  <c r="J43" i="93"/>
  <c r="M48" i="93"/>
  <c r="X55" i="93"/>
  <c r="X39" i="93"/>
  <c r="G27" i="93"/>
  <c r="K51" i="93"/>
  <c r="F34" i="93"/>
  <c r="N27" i="93"/>
  <c r="F41" i="93"/>
  <c r="J46" i="93"/>
  <c r="V34" i="87"/>
  <c r="AA24" i="93"/>
  <c r="G22" i="93"/>
  <c r="D43" i="93"/>
  <c r="G45" i="93"/>
  <c r="AC29" i="93"/>
  <c r="AG18" i="93"/>
  <c r="G38" i="93"/>
  <c r="D33" i="93"/>
  <c r="G33" i="93"/>
  <c r="X34" i="93"/>
  <c r="U54" i="93"/>
  <c r="Z32" i="93"/>
  <c r="J19" i="93"/>
  <c r="I50" i="93"/>
  <c r="AA44" i="93"/>
  <c r="W40" i="93"/>
  <c r="AA15" i="93"/>
  <c r="U38" i="93"/>
  <c r="E30" i="87"/>
  <c r="O31" i="93"/>
  <c r="N38" i="93"/>
  <c r="D44" i="93"/>
  <c r="I29" i="93"/>
  <c r="E37" i="87"/>
  <c r="Z27" i="93"/>
  <c r="P33" i="93"/>
  <c r="M37" i="93"/>
  <c r="P47" i="93"/>
  <c r="D20" i="93"/>
  <c r="Z36" i="93"/>
  <c r="E22" i="87"/>
  <c r="O23" i="93"/>
  <c r="H32" i="93"/>
  <c r="X40" i="93"/>
  <c r="J17" i="93"/>
  <c r="AA23" i="93"/>
  <c r="U36" i="93"/>
  <c r="AB39" i="93"/>
  <c r="E24" i="87"/>
  <c r="Y44" i="93"/>
  <c r="U34" i="93"/>
  <c r="J15" i="93"/>
  <c r="U52" i="93"/>
  <c r="AB48" i="93"/>
  <c r="N54" i="93"/>
  <c r="V51" i="92"/>
  <c r="AD47" i="93"/>
  <c r="O52" i="93"/>
  <c r="N44" i="93"/>
  <c r="K44" i="93"/>
  <c r="G25" i="93"/>
  <c r="I46" i="93"/>
  <c r="H51" i="93"/>
  <c r="H29" i="93"/>
  <c r="K30" i="93"/>
  <c r="V15" i="87"/>
  <c r="AC43" i="93"/>
  <c r="Z31" i="93"/>
  <c r="F54" i="93"/>
  <c r="D53" i="93"/>
  <c r="K16" i="93"/>
  <c r="AA43" i="93"/>
  <c r="AB46" i="93"/>
  <c r="N33" i="93"/>
  <c r="AA16" i="93"/>
  <c r="J30" i="93"/>
  <c r="AB22" i="93"/>
  <c r="Z19" i="93"/>
  <c r="N48" i="93"/>
  <c r="O24" i="93"/>
  <c r="N37" i="93"/>
  <c r="X37" i="93"/>
  <c r="P15" i="93"/>
  <c r="P34" i="93"/>
  <c r="N18" i="93"/>
  <c r="I23" i="93"/>
  <c r="AG43" i="93"/>
  <c r="AA54" i="93"/>
  <c r="Y22" i="93"/>
  <c r="L34" i="93"/>
  <c r="P38" i="93"/>
  <c r="N32" i="93"/>
  <c r="H37" i="93"/>
  <c r="D50" i="93"/>
  <c r="O26" i="93"/>
  <c r="K27" i="93"/>
  <c r="K37" i="93"/>
  <c r="G16" i="93"/>
  <c r="W47" i="93"/>
  <c r="K39" i="93"/>
  <c r="X26" i="93"/>
  <c r="L43" i="93"/>
  <c r="V44" i="87"/>
  <c r="AD46" i="93"/>
  <c r="P48" i="93"/>
  <c r="AB25" i="93"/>
  <c r="AE47" i="93"/>
  <c r="K20" i="93"/>
  <c r="D30" i="93"/>
  <c r="G55" i="93"/>
  <c r="W33" i="93"/>
  <c r="J40" i="93"/>
  <c r="G17" i="93"/>
  <c r="I22" i="93"/>
  <c r="F15" i="93"/>
  <c r="AF29" i="93"/>
  <c r="M29" i="93"/>
  <c r="U37" i="93"/>
  <c r="X54" i="93"/>
  <c r="H45" i="93"/>
  <c r="D40" i="93"/>
  <c r="J29" i="93"/>
  <c r="E27" i="87"/>
  <c r="K32" i="93"/>
  <c r="H50" i="93"/>
  <c r="AF16" i="93"/>
  <c r="K47" i="93"/>
  <c r="P40" i="93"/>
  <c r="W29" i="93"/>
  <c r="P18" i="93"/>
  <c r="J24" i="93"/>
  <c r="F16" i="93"/>
  <c r="V24" i="87"/>
  <c r="AD17" i="93"/>
  <c r="L29" i="93"/>
  <c r="H17" i="93"/>
  <c r="AC15" i="93"/>
  <c r="D32" i="93"/>
  <c r="G23" i="93"/>
  <c r="J54" i="93"/>
  <c r="AC54" i="93"/>
  <c r="O32" i="93"/>
  <c r="K31" i="93"/>
  <c r="AB55" i="93"/>
  <c r="J41" i="93"/>
  <c r="E53" i="87"/>
  <c r="K26" i="93"/>
  <c r="K29" i="93"/>
  <c r="O54" i="93"/>
  <c r="Z29" i="93"/>
  <c r="P27" i="93"/>
  <c r="I34" i="93"/>
  <c r="M34" i="93"/>
  <c r="E45" i="87"/>
  <c r="AB52" i="93"/>
  <c r="AD25" i="93"/>
  <c r="AA26" i="93"/>
  <c r="H23" i="93"/>
  <c r="AA50" i="93"/>
  <c r="AE15" i="93"/>
  <c r="K36" i="93"/>
  <c r="E47" i="87"/>
  <c r="Z25" i="93"/>
  <c r="X17" i="93"/>
  <c r="U19" i="93"/>
  <c r="W31" i="93"/>
  <c r="AD52" i="93"/>
  <c r="U26" i="93"/>
  <c r="N17" i="93"/>
  <c r="I20" i="93"/>
  <c r="M27" i="93"/>
  <c r="AD38" i="93"/>
  <c r="N46" i="93"/>
  <c r="AC44" i="93"/>
  <c r="G29" i="93"/>
  <c r="J55" i="93"/>
  <c r="O25" i="93"/>
  <c r="Y25" i="93"/>
  <c r="I32" i="93"/>
  <c r="W18" i="93"/>
  <c r="F44" i="93"/>
  <c r="D55" i="93"/>
  <c r="N34" i="93"/>
  <c r="L51" i="93"/>
  <c r="D23" i="93"/>
  <c r="X30" i="93"/>
  <c r="N39" i="93"/>
  <c r="AE44" i="93"/>
  <c r="F20" i="93"/>
  <c r="AD36" i="93"/>
  <c r="C17" i="90"/>
  <c r="Y27" i="93"/>
  <c r="G51" i="93"/>
  <c r="U43" i="93"/>
  <c r="E54" i="92"/>
  <c r="J22" i="93"/>
  <c r="AA47" i="93"/>
  <c r="P52" i="93"/>
  <c r="P31" i="93"/>
  <c r="W30" i="93"/>
  <c r="L16" i="93"/>
  <c r="Y41" i="93"/>
  <c r="E39" i="87"/>
  <c r="U51" i="93"/>
  <c r="O15" i="93"/>
  <c r="X15" i="93"/>
  <c r="AC39" i="93"/>
  <c r="P36" i="93"/>
  <c r="E40" i="87"/>
  <c r="I16" i="93"/>
  <c r="N41" i="93"/>
  <c r="M24" i="93"/>
  <c r="D36" i="93"/>
  <c r="Z46" i="93"/>
  <c r="L44" i="93"/>
  <c r="M40" i="93"/>
  <c r="X43" i="93"/>
  <c r="AE55" i="93"/>
  <c r="P44" i="93"/>
  <c r="E17" i="87"/>
  <c r="I36" i="93"/>
  <c r="M41" i="93"/>
  <c r="L32" i="93"/>
  <c r="X46" i="93"/>
  <c r="G20" i="93"/>
  <c r="W37" i="93"/>
  <c r="D15" i="93"/>
  <c r="G54" i="93"/>
  <c r="K25" i="93"/>
  <c r="K50" i="93"/>
  <c r="P37" i="93"/>
  <c r="U39" i="93"/>
  <c r="U29" i="93"/>
  <c r="P46" i="93"/>
  <c r="AB53" i="93"/>
  <c r="Z53" i="93"/>
  <c r="AE48" i="93"/>
  <c r="E16" i="87"/>
  <c r="J20" i="93"/>
  <c r="W19" i="93"/>
  <c r="N36" i="93"/>
  <c r="O17" i="93"/>
  <c r="U47" i="93"/>
  <c r="AD20" i="93"/>
  <c r="M55" i="93"/>
  <c r="G46" i="93"/>
  <c r="H15" i="93"/>
  <c r="AD55" i="93"/>
  <c r="E48" i="87"/>
  <c r="O20" i="93"/>
  <c r="V41" i="92"/>
  <c r="V40" i="87"/>
  <c r="N53" i="93"/>
  <c r="X19" i="93"/>
  <c r="J31" i="93"/>
  <c r="L24" i="93"/>
  <c r="E36" i="87"/>
  <c r="AE52" i="93"/>
  <c r="V18" i="87"/>
  <c r="P22" i="93"/>
  <c r="AB24" i="93"/>
  <c r="E25" i="87"/>
  <c r="AF24" i="93"/>
  <c r="N29" i="93"/>
  <c r="AF38" i="93"/>
  <c r="D17" i="93"/>
  <c r="E37" i="92"/>
  <c r="G36" i="93"/>
  <c r="X41" i="93"/>
  <c r="F39" i="93"/>
  <c r="W38" i="93"/>
  <c r="H36" i="93"/>
  <c r="J48" i="93"/>
  <c r="J26" i="93"/>
  <c r="N45" i="93"/>
  <c r="Y30" i="93"/>
  <c r="K24" i="93"/>
  <c r="AA33" i="93"/>
  <c r="F47" i="93"/>
  <c r="W16" i="93"/>
  <c r="P45" i="93"/>
  <c r="X27" i="93"/>
  <c r="Z18" i="93"/>
  <c r="N40" i="93"/>
  <c r="D37" i="93"/>
  <c r="Y51" i="93"/>
  <c r="D41" i="93"/>
  <c r="Z52" i="93"/>
  <c r="M46" i="93"/>
  <c r="X22" i="93"/>
  <c r="X32" i="93"/>
  <c r="Y20" i="93"/>
  <c r="E44" i="87"/>
  <c r="AG19" i="93"/>
  <c r="AF33" i="93"/>
  <c r="W54" i="93"/>
  <c r="U44" i="93"/>
  <c r="V41" i="87"/>
  <c r="M25" i="93"/>
  <c r="L33" i="93"/>
  <c r="V17" i="92"/>
  <c r="AC36" i="93"/>
  <c r="AA30" i="93"/>
  <c r="I51" i="93"/>
  <c r="AB34" i="93"/>
  <c r="Y36" i="93"/>
  <c r="AC41" i="93"/>
  <c r="X50" i="93"/>
  <c r="X25" i="93"/>
  <c r="AF23" i="93"/>
  <c r="D46" i="93"/>
  <c r="K18" i="93"/>
  <c r="K46" i="93"/>
  <c r="F23" i="93"/>
  <c r="L20" i="93"/>
  <c r="AC30" i="93"/>
  <c r="AC19" i="93"/>
  <c r="Z44" i="93"/>
  <c r="D39" i="93"/>
  <c r="O18" i="93"/>
  <c r="Z22" i="93"/>
  <c r="AA29" i="93"/>
  <c r="AG15" i="93"/>
  <c r="N25" i="93"/>
  <c r="H31" i="93"/>
  <c r="J50" i="93"/>
  <c r="N52" i="93"/>
  <c r="O37" i="93"/>
  <c r="AG25" i="93"/>
  <c r="AC50" i="93"/>
  <c r="F17" i="93"/>
  <c r="AE25" i="93"/>
  <c r="D54" i="93"/>
  <c r="AF41" i="93"/>
  <c r="F48" i="93"/>
  <c r="AD54" i="93"/>
  <c r="L22" i="93"/>
  <c r="H20" i="93"/>
  <c r="Z41" i="93"/>
  <c r="K38" i="93"/>
  <c r="P17" i="93"/>
  <c r="U48" i="93"/>
  <c r="Z16" i="93"/>
  <c r="V20" i="87"/>
  <c r="W43" i="93"/>
  <c r="F18" i="93"/>
  <c r="AD44" i="93"/>
  <c r="M50" i="93"/>
  <c r="AA18" i="93"/>
  <c r="V50" i="87"/>
  <c r="AG22" i="93"/>
  <c r="W22" i="93"/>
  <c r="AE36" i="86" a="1"/>
  <c r="L40" i="93"/>
  <c r="D29" i="93"/>
  <c r="Y32" i="93"/>
  <c r="O55" i="93"/>
  <c r="AC18" i="93"/>
  <c r="I44" i="93"/>
  <c r="AC17" i="93"/>
  <c r="AB50" i="93"/>
  <c r="G32" i="93"/>
  <c r="U40" i="93"/>
  <c r="AB47" i="93"/>
  <c r="AE33" i="93"/>
  <c r="AC47" i="93"/>
  <c r="AE54" i="93"/>
  <c r="U50" i="93"/>
  <c r="Y50" i="93"/>
  <c r="F55" i="93"/>
  <c r="Z37" i="93"/>
  <c r="AA40" i="93"/>
  <c r="AE23" i="93"/>
  <c r="V54" i="87"/>
  <c r="K15" i="93"/>
  <c r="N23" i="93"/>
  <c r="E54" i="87"/>
  <c r="AB31" i="93"/>
  <c r="AD51" i="93"/>
  <c r="G47" i="93"/>
  <c r="V51" i="87"/>
  <c r="AB23" i="93"/>
  <c r="V45" i="87"/>
  <c r="G52" i="93"/>
  <c r="Z40" i="93"/>
  <c r="Z39" i="93"/>
  <c r="M33" i="93"/>
  <c r="P23" i="93"/>
  <c r="Z23" i="93"/>
  <c r="I25" i="93"/>
  <c r="N15" i="93"/>
  <c r="L41" i="93"/>
  <c r="H26" i="93"/>
  <c r="W48" i="93"/>
  <c r="P51" i="93"/>
  <c r="E20" i="87"/>
  <c r="O50" i="93"/>
  <c r="AD43" i="93"/>
  <c r="L50" i="93"/>
  <c r="F45" i="93"/>
  <c r="I39" i="93"/>
  <c r="V48" i="87"/>
  <c r="AC40" i="93"/>
  <c r="I41" i="93"/>
  <c r="AD26" i="93"/>
  <c r="AF20" i="93"/>
  <c r="M44" i="93"/>
  <c r="Y37" i="93"/>
  <c r="AF18" i="93"/>
  <c r="F32" i="93"/>
  <c r="U25" i="93"/>
  <c r="L45" i="93"/>
  <c r="Y29" i="93"/>
  <c r="I31" i="93"/>
  <c r="N31" i="93"/>
  <c r="X47" i="93"/>
  <c r="AC51" i="93"/>
  <c r="E19" i="87"/>
  <c r="D16" i="93"/>
  <c r="AB33" i="93"/>
  <c r="H38" i="93"/>
  <c r="J39" i="93"/>
  <c r="L47" i="93"/>
  <c r="AA31" i="93"/>
  <c r="V20" i="92"/>
  <c r="M43" i="93"/>
  <c r="O33" i="93"/>
  <c r="E33" i="87"/>
  <c r="AE32" i="93"/>
  <c r="N30" i="93"/>
  <c r="E48" i="92"/>
  <c r="AA17" i="93"/>
  <c r="G15" i="93"/>
  <c r="E55" i="87"/>
  <c r="I52" i="93"/>
  <c r="V25" i="92"/>
  <c r="AB15" i="84" a="1"/>
  <c r="AB36" i="93"/>
  <c r="I40" i="93"/>
  <c r="V32" i="87"/>
  <c r="E18" i="87"/>
  <c r="Y46" i="93"/>
  <c r="AA52" i="93"/>
  <c r="X20" i="93"/>
  <c r="AG26" i="93"/>
  <c r="P29" i="93"/>
  <c r="AG37" i="93"/>
  <c r="L36" i="93"/>
  <c r="F33" i="93"/>
  <c r="AD50" i="93"/>
  <c r="AA48" i="93"/>
  <c r="AG34" i="93"/>
  <c r="F46" i="93"/>
  <c r="H41" i="93"/>
  <c r="AA41" i="93"/>
  <c r="AE50" i="93"/>
  <c r="W52" i="93"/>
  <c r="M51" i="93"/>
  <c r="W46" i="93"/>
  <c r="K40" i="93"/>
  <c r="H54" i="93"/>
  <c r="AF17" i="93"/>
  <c r="N20" i="93"/>
  <c r="AB43" i="93"/>
  <c r="AD39" i="93"/>
  <c r="O44" i="93"/>
  <c r="H44" i="93"/>
  <c r="V46" i="87"/>
  <c r="Z34" i="93"/>
  <c r="T54" i="83" a="1"/>
  <c r="W55" i="93"/>
  <c r="H19" i="93"/>
  <c r="N55" i="93"/>
  <c r="P50" i="93"/>
  <c r="X53" i="93"/>
  <c r="F38" i="93"/>
  <c r="F51" i="93"/>
  <c r="M36" i="93"/>
  <c r="Z20" i="93"/>
  <c r="L23" i="93"/>
  <c r="AG32" i="93"/>
  <c r="AC34" i="93"/>
  <c r="D22" i="93"/>
  <c r="Z47" i="93"/>
  <c r="M26" i="93"/>
  <c r="AE46" i="93"/>
  <c r="I33" i="93"/>
  <c r="V39" i="87"/>
  <c r="L15" i="93"/>
  <c r="P43" i="93"/>
  <c r="AG48" i="93"/>
  <c r="P26" i="93"/>
  <c r="F29" i="93"/>
  <c r="I48" i="93"/>
  <c r="J25" i="93"/>
  <c r="AF26" i="93"/>
  <c r="V37" i="87"/>
  <c r="H55" i="93"/>
  <c r="AE53" i="93"/>
  <c r="F43" i="93"/>
  <c r="G24" i="93"/>
  <c r="M23" i="93"/>
  <c r="O43" i="93"/>
  <c r="L55" i="93"/>
  <c r="U22" i="93"/>
  <c r="I27" i="93"/>
  <c r="D25" i="93"/>
  <c r="J44" i="93"/>
  <c r="G37" i="93"/>
  <c r="I26" i="93"/>
  <c r="M52" i="93"/>
  <c r="I55" i="93"/>
  <c r="AG44" i="93"/>
  <c r="O45" i="93"/>
  <c r="O30" i="93"/>
  <c r="AF32" i="93"/>
  <c r="F31" i="93"/>
  <c r="AC48" i="93"/>
  <c r="M16" i="93"/>
  <c r="AA34" i="93"/>
  <c r="AG17" i="93"/>
  <c r="Y52" i="93"/>
  <c r="V30" i="87"/>
  <c r="O22" i="93"/>
  <c r="E34" i="87"/>
  <c r="E26" i="87"/>
  <c r="G30" i="93"/>
  <c r="K48" i="93"/>
  <c r="L27" i="93"/>
  <c r="Z33" i="93"/>
  <c r="AE19" i="93"/>
  <c r="AG20" i="93"/>
  <c r="AG24" i="93"/>
  <c r="U18" i="93"/>
  <c r="J51" i="93"/>
  <c r="P19" i="93"/>
  <c r="M39" i="93"/>
  <c r="F37" i="93"/>
  <c r="Z17" i="93"/>
  <c r="AF52" i="93"/>
  <c r="X44" i="93"/>
  <c r="Y26" i="93"/>
  <c r="L26" i="93"/>
  <c r="E29" i="87"/>
  <c r="AA19" i="93"/>
  <c r="AB27" i="93"/>
  <c r="Y53" i="93"/>
  <c r="AG39" i="93"/>
  <c r="N26" i="93"/>
  <c r="Y40" i="93"/>
  <c r="T34" i="82" a="1"/>
  <c r="J37" i="93"/>
  <c r="AE18" i="93"/>
  <c r="X33" i="93"/>
  <c r="AF50" i="93"/>
  <c r="D52" i="93"/>
  <c r="N50" i="93"/>
  <c r="G18" i="93"/>
  <c r="AA32" i="93"/>
  <c r="Z48" i="93"/>
  <c r="U31" i="93"/>
  <c r="L17" i="93"/>
  <c r="W53" i="93"/>
  <c r="G48" i="93"/>
  <c r="K22" i="93"/>
  <c r="AD15" i="93"/>
  <c r="AA53" i="93"/>
  <c r="AC53" i="93"/>
  <c r="Z43" i="93"/>
  <c r="K53" i="93"/>
  <c r="H48" i="93"/>
  <c r="E23" i="87"/>
  <c r="AF15" i="93"/>
  <c r="Y15" i="93"/>
  <c r="AG36" i="93"/>
  <c r="D31" i="93"/>
  <c r="M45" i="93"/>
  <c r="I17" i="93"/>
  <c r="AF25" i="93"/>
  <c r="O36" i="93"/>
  <c r="E51" i="87"/>
  <c r="G53" i="93"/>
  <c r="U24" i="93"/>
  <c r="AE29" i="93"/>
  <c r="Z50" i="93"/>
  <c r="L39" i="93"/>
  <c r="D19" i="93"/>
  <c r="N47" i="93"/>
  <c r="AD40" i="93"/>
  <c r="AF39" i="93"/>
  <c r="Z15" i="93"/>
  <c r="U17" i="93"/>
  <c r="F26" i="93"/>
  <c r="G34" i="93"/>
  <c r="AC55" i="93"/>
  <c r="G40" i="93"/>
  <c r="M22" i="93"/>
  <c r="I45" i="93"/>
  <c r="AC31" i="93"/>
  <c r="H25" i="93"/>
  <c r="D24" i="93"/>
  <c r="V36" i="87"/>
  <c r="X24" i="93"/>
  <c r="J16" i="93"/>
  <c r="L48" i="93"/>
  <c r="Z54" i="93"/>
  <c r="AA36" i="93"/>
  <c r="X16" i="93"/>
  <c r="AE31" i="93"/>
  <c r="AC32" i="93"/>
  <c r="AB17" i="85" a="1"/>
  <c r="AE36" i="86" l="1"/>
  <c r="AB17" i="85"/>
  <c r="AB15" i="84"/>
  <c r="T54" i="83"/>
  <c r="T34" i="82"/>
  <c r="E26" i="92"/>
  <c r="E15" i="92"/>
  <c r="V32" i="92"/>
  <c r="V39" i="92"/>
  <c r="V18" i="92"/>
  <c r="V45" i="93"/>
  <c r="AC24" i="82" a="1"/>
  <c r="AG53" i="85" a="1"/>
  <c r="AB18" i="84" a="1"/>
  <c r="V51" i="93"/>
  <c r="AC22" i="82" a="1"/>
  <c r="T41" i="84" a="1"/>
  <c r="E26" i="93"/>
  <c r="T22" i="84" a="1"/>
  <c r="T55" i="85" a="1"/>
  <c r="T18" i="84" a="1"/>
  <c r="T33" i="84" a="1"/>
  <c r="AB20" i="84" a="1"/>
  <c r="AB18" i="85" a="1"/>
  <c r="E16" i="93"/>
  <c r="AG50" i="84" a="1"/>
  <c r="T46" i="83" a="1"/>
  <c r="AG52" i="82" a="1"/>
  <c r="AE39" i="86" a="1"/>
  <c r="T51" i="85" a="1"/>
  <c r="AF43" i="84" a="1"/>
  <c r="T45" i="82" a="1"/>
  <c r="V17" i="93"/>
  <c r="T20" i="85" a="1"/>
  <c r="T33" i="85" a="1"/>
  <c r="AD30" i="85" a="1"/>
  <c r="T52" i="82" a="1"/>
  <c r="T50" i="86" a="1"/>
  <c r="AC23" i="84" a="1"/>
  <c r="T26" i="86" a="1"/>
  <c r="AD29" i="84" a="1"/>
  <c r="V48" i="93"/>
  <c r="AE39" i="84" a="1"/>
  <c r="T48" i="85" a="1"/>
  <c r="AB19" i="84" a="1"/>
  <c r="AG53" i="82" a="1"/>
  <c r="T24" i="86" a="1"/>
  <c r="T27" i="86" a="1"/>
  <c r="T19" i="84" a="1"/>
  <c r="AG51" i="85" a="1"/>
  <c r="E38" i="92"/>
  <c r="E46" i="92"/>
  <c r="V15" i="92"/>
  <c r="E32" i="92"/>
  <c r="V33" i="92"/>
  <c r="E46" i="93"/>
  <c r="T23" i="85" a="1"/>
  <c r="AG50" i="85" a="1"/>
  <c r="T47" i="82" a="1"/>
  <c r="T54" i="84" a="1"/>
  <c r="AD32" i="86" a="1"/>
  <c r="AF44" i="84" a="1"/>
  <c r="AF47" i="85" a="1"/>
  <c r="AF44" i="82" a="1"/>
  <c r="T20" i="84" a="1"/>
  <c r="T46" i="85" a="1"/>
  <c r="T15" i="84" a="1"/>
  <c r="T22" i="83" a="1"/>
  <c r="AF45" i="83" a="1"/>
  <c r="AE40" i="83" a="1"/>
  <c r="AC27" i="85" a="1"/>
  <c r="AF47" i="83" a="1"/>
  <c r="AF47" i="84" a="1"/>
  <c r="T34" i="83" a="1"/>
  <c r="E37" i="93"/>
  <c r="E44" i="93"/>
  <c r="T36" i="84" a="1"/>
  <c r="T36" i="86" a="1"/>
  <c r="T55" i="82" a="1"/>
  <c r="E17" i="93"/>
  <c r="V38" i="93"/>
  <c r="T47" i="85" a="1"/>
  <c r="AE37" i="82" a="1"/>
  <c r="T51" i="84" a="1"/>
  <c r="V36" i="93"/>
  <c r="T30" i="85" a="1"/>
  <c r="T23" i="82" a="1"/>
  <c r="AD34" i="83" a="1"/>
  <c r="AD31" i="82" a="1"/>
  <c r="T39" i="83" a="1"/>
  <c r="T51" i="86" a="1"/>
  <c r="E30" i="93"/>
  <c r="AF45" i="84" a="1"/>
  <c r="T32" i="82" a="1"/>
  <c r="T16" i="85" a="1"/>
  <c r="V47" i="93"/>
  <c r="V37" i="92"/>
  <c r="V34" i="92"/>
  <c r="V44" i="92"/>
  <c r="V54" i="92"/>
  <c r="E40" i="92"/>
  <c r="AG54" i="83" a="1"/>
  <c r="AD32" i="85" a="1"/>
  <c r="T29" i="84" a="1"/>
  <c r="T26" i="83" a="1"/>
  <c r="AD33" i="82" a="1"/>
  <c r="T54" i="85" a="1"/>
  <c r="E27" i="93"/>
  <c r="AE41" i="85" a="1"/>
  <c r="T33" i="86" a="1"/>
  <c r="E54" i="93"/>
  <c r="E32" i="93"/>
  <c r="AF45" i="82" a="1"/>
  <c r="T53" i="86" a="1"/>
  <c r="AD32" i="83" a="1"/>
  <c r="AF48" i="86" a="1"/>
  <c r="AG52" i="83" a="1"/>
  <c r="T45" i="85" a="1"/>
  <c r="T26" i="82" a="1"/>
  <c r="T37" i="84" a="1"/>
  <c r="E34" i="93"/>
  <c r="T18" i="85" a="1"/>
  <c r="T32" i="83" a="1"/>
  <c r="AE38" i="84" a="1"/>
  <c r="T34" i="86" a="1"/>
  <c r="AD33" i="86" a="1"/>
  <c r="E31" i="93"/>
  <c r="T44" i="83" a="1"/>
  <c r="AD33" i="84" a="1"/>
  <c r="V50" i="93"/>
  <c r="AB16" i="82" a="1"/>
  <c r="AC22" i="86" a="1"/>
  <c r="V23" i="93"/>
  <c r="T41" i="83" a="1"/>
  <c r="T19" i="82" a="1"/>
  <c r="AC24" i="86" a="1"/>
  <c r="T18" i="82" a="1"/>
  <c r="E24" i="93"/>
  <c r="T25" i="82" a="1"/>
  <c r="T34" i="84" a="1"/>
  <c r="E24" i="92"/>
  <c r="E47" i="92"/>
  <c r="E16" i="92"/>
  <c r="E17" i="92"/>
  <c r="V47" i="92"/>
  <c r="V33" i="93"/>
  <c r="T26" i="85" a="1"/>
  <c r="T45" i="86" a="1"/>
  <c r="AG50" i="82" a="1"/>
  <c r="T32" i="85" a="1"/>
  <c r="AB15" i="82" a="1"/>
  <c r="AB20" i="86" a="1"/>
  <c r="AD30" i="84" a="1"/>
  <c r="AG53" i="83" a="1"/>
  <c r="T18" i="86" a="1"/>
  <c r="AC24" i="85" a="1"/>
  <c r="T36" i="85" a="1"/>
  <c r="AF46" i="84" a="1"/>
  <c r="T30" i="84" a="1"/>
  <c r="T43" i="84" a="1"/>
  <c r="T51" i="82" a="1"/>
  <c r="T23" i="84" a="1"/>
  <c r="AE41" i="84" a="1"/>
  <c r="AF54" i="83"/>
  <c r="T31" i="85" a="1"/>
  <c r="T43" i="85" a="1"/>
  <c r="E22" i="93"/>
  <c r="T39" i="84" a="1"/>
  <c r="T55" i="86" a="1"/>
  <c r="T23" i="86" a="1"/>
  <c r="T29" i="83" a="1"/>
  <c r="T43" i="83" a="1"/>
  <c r="T22" i="86" a="1"/>
  <c r="AF48" i="83" a="1"/>
  <c r="E41" i="93"/>
  <c r="AE40" i="85" a="1"/>
  <c r="AC22" i="85" a="1"/>
  <c r="AF43" i="86" a="1"/>
  <c r="E50" i="93"/>
  <c r="T53" i="84" a="1"/>
  <c r="AD32" i="82" a="1"/>
  <c r="AC22" i="83" a="1"/>
  <c r="AB15" i="86" a="1"/>
  <c r="V43" i="93"/>
  <c r="V55" i="92"/>
  <c r="E51" i="92"/>
  <c r="V46" i="92"/>
  <c r="E55" i="92"/>
  <c r="E44" i="92"/>
  <c r="AG51" i="83" a="1"/>
  <c r="AE36" i="84" a="1"/>
  <c r="AD29" i="85" a="1"/>
  <c r="V30" i="93"/>
  <c r="AG55" i="85" a="1"/>
  <c r="AE37" i="83" a="1"/>
  <c r="AD29" i="83" a="1"/>
  <c r="AD31" i="84" a="1"/>
  <c r="T29" i="82" a="1"/>
  <c r="T44" i="82" a="1"/>
  <c r="AG55" i="86" a="1"/>
  <c r="T32" i="86" a="1"/>
  <c r="T31" i="82" a="1"/>
  <c r="AD34" i="85" a="1"/>
  <c r="V32" i="93"/>
  <c r="T17" i="84" a="1"/>
  <c r="T37" i="86" a="1"/>
  <c r="V25" i="93"/>
  <c r="T33" i="83" a="1"/>
  <c r="E23" i="93"/>
  <c r="AD30" i="82" a="1"/>
  <c r="AF43" i="82" a="1"/>
  <c r="T15" i="83" a="1"/>
  <c r="T26" i="84" a="1"/>
  <c r="V41" i="93"/>
  <c r="AE37" i="85" a="1"/>
  <c r="AC26" i="83" a="1"/>
  <c r="AG50" i="86" a="1"/>
  <c r="AB19" i="82" a="1"/>
  <c r="AC24" i="83" a="1"/>
  <c r="AC26" i="82" a="1"/>
  <c r="AD34" i="82" a="1"/>
  <c r="T32" i="84" a="1"/>
  <c r="V26" i="93"/>
  <c r="T36" i="83" a="1"/>
  <c r="T16" i="86" a="1"/>
  <c r="E19" i="92"/>
  <c r="E50" i="92"/>
  <c r="V19" i="92"/>
  <c r="V30" i="92"/>
  <c r="V24" i="92"/>
  <c r="AC25" i="85" a="1"/>
  <c r="AC26" i="85" a="1"/>
  <c r="E18" i="93"/>
  <c r="AE38" i="85" a="1"/>
  <c r="AG51" i="84" a="1"/>
  <c r="T15" i="86" a="1"/>
  <c r="T40" i="84" a="1"/>
  <c r="AD33" i="83" a="1"/>
  <c r="AB18" i="86" a="1"/>
  <c r="T52" i="83" a="1"/>
  <c r="AD34" i="84" a="1"/>
  <c r="T22" i="82" a="1"/>
  <c r="AB19" i="83" a="1"/>
  <c r="T27" i="84" a="1"/>
  <c r="AC23" i="82" a="1"/>
  <c r="T50" i="84" a="1"/>
  <c r="V39" i="93"/>
  <c r="T20" i="86" a="1"/>
  <c r="V20" i="93"/>
  <c r="T37" i="83" a="1"/>
  <c r="AC25" i="83" a="1"/>
  <c r="AE41" i="86" a="1"/>
  <c r="AF47" i="82" a="1"/>
  <c r="AD30" i="83" a="1"/>
  <c r="AG50" i="83" a="1"/>
  <c r="T18" i="83" a="1"/>
  <c r="T16" i="82" a="1"/>
  <c r="AG51" i="82" a="1"/>
  <c r="AG53" i="86" a="1"/>
  <c r="AE39" i="82" a="1"/>
  <c r="AB19" i="86" a="1"/>
  <c r="AD30" i="86" a="1"/>
  <c r="AD32" i="84" a="1"/>
  <c r="AC27" i="86" a="1"/>
  <c r="V31" i="93"/>
  <c r="T48" i="84" a="1"/>
  <c r="AE41" i="83" a="1"/>
  <c r="AB17" i="83" a="1"/>
  <c r="V26" i="92"/>
  <c r="V53" i="92"/>
  <c r="E52" i="92"/>
  <c r="E31" i="92"/>
  <c r="E27" i="92"/>
  <c r="AE40" i="82" a="1"/>
  <c r="T34" i="85" a="1"/>
  <c r="AF48" i="85" a="1"/>
  <c r="T41" i="85" a="1"/>
  <c r="E25" i="93"/>
  <c r="AD29" i="82" a="1"/>
  <c r="T25" i="86" a="1"/>
  <c r="AB16" i="85" a="1"/>
  <c r="AB20" i="85" a="1"/>
  <c r="T40" i="86" a="1"/>
  <c r="V22" i="93"/>
  <c r="T55" i="83" a="1"/>
  <c r="AE39" i="85" a="1"/>
  <c r="AF47" i="86" a="1"/>
  <c r="T50" i="82" a="1"/>
  <c r="AB17" i="86" a="1"/>
  <c r="V37" i="93"/>
  <c r="E53" i="93"/>
  <c r="E29" i="93"/>
  <c r="T44" i="84" a="1"/>
  <c r="T31" i="83" a="1"/>
  <c r="T38" i="83" a="1"/>
  <c r="T19" i="85" a="1"/>
  <c r="E40" i="93"/>
  <c r="T38" i="85" a="1"/>
  <c r="T17" i="83" a="1"/>
  <c r="AB17" i="82" a="1"/>
  <c r="V34" i="93"/>
  <c r="T52" i="84" a="1"/>
  <c r="T31" i="84" a="1"/>
  <c r="T16" i="83" a="1"/>
  <c r="T19" i="83" a="1"/>
  <c r="T52" i="86" a="1"/>
  <c r="T29" i="86" a="1"/>
  <c r="T15" i="82" a="1"/>
  <c r="T25" i="83" a="1"/>
  <c r="T43" i="82" a="1"/>
  <c r="V22" i="92"/>
  <c r="T48" i="83" a="1"/>
  <c r="T27" i="83" a="1"/>
  <c r="T24" i="84" a="1"/>
  <c r="V23" i="92"/>
  <c r="E36" i="92"/>
  <c r="E53" i="92"/>
  <c r="V45" i="92"/>
  <c r="V38" i="92"/>
  <c r="T40" i="85" a="1"/>
  <c r="T47" i="84" a="1"/>
  <c r="T25" i="84" a="1"/>
  <c r="T20" i="83" a="1"/>
  <c r="AE36" i="82" a="1"/>
  <c r="T39" i="82" a="1"/>
  <c r="AF34" i="82"/>
  <c r="AB15" i="85" a="1"/>
  <c r="T41" i="86" a="1"/>
  <c r="E20" i="93"/>
  <c r="T51" i="83" a="1"/>
  <c r="AC25" i="86" a="1"/>
  <c r="AG52" i="86" a="1"/>
  <c r="V18" i="93"/>
  <c r="AG52" i="84" a="1"/>
  <c r="E47" i="93"/>
  <c r="T54" i="86" a="1"/>
  <c r="T29" i="85" a="1"/>
  <c r="AE39" i="83" a="1"/>
  <c r="AF46" i="82" a="1"/>
  <c r="T24" i="83" a="1"/>
  <c r="T17" i="82" a="1"/>
  <c r="V27" i="93"/>
  <c r="T24" i="82" a="1"/>
  <c r="T19" i="86" a="1"/>
  <c r="AC23" i="85" a="1"/>
  <c r="AF46" i="86" a="1"/>
  <c r="AG55" i="84" a="1"/>
  <c r="E48" i="93"/>
  <c r="T20" i="82" a="1"/>
  <c r="E19" i="93"/>
  <c r="AE38" i="86" a="1"/>
  <c r="AC27" i="82" a="1"/>
  <c r="E51" i="93"/>
  <c r="AC27" i="84" a="1"/>
  <c r="V31" i="92"/>
  <c r="AF46" i="83" a="1"/>
  <c r="AC26" i="84" a="1"/>
  <c r="T16" i="84" a="1"/>
  <c r="E34" i="92"/>
  <c r="E45" i="92"/>
  <c r="V16" i="92"/>
  <c r="E18" i="92"/>
  <c r="V40" i="92"/>
  <c r="T17" i="86" a="1"/>
  <c r="V19" i="93"/>
  <c r="AB18" i="82" a="1"/>
  <c r="E52" i="93"/>
  <c r="T50" i="85" a="1"/>
  <c r="T33" i="82" a="1"/>
  <c r="T23" i="83" a="1"/>
  <c r="AG51" i="86" a="1"/>
  <c r="AD33" i="85" a="1"/>
  <c r="AB19" i="85" a="1"/>
  <c r="AB18" i="83" a="1"/>
  <c r="AF45" i="85" a="1"/>
  <c r="T36" i="82" a="1"/>
  <c r="T24" i="85" a="1"/>
  <c r="AB16" i="86" a="1"/>
  <c r="T37" i="82" a="1"/>
  <c r="T44" i="86" a="1"/>
  <c r="T46" i="82" a="1"/>
  <c r="AG54" i="86" a="1"/>
  <c r="AE37" i="84" a="1"/>
  <c r="AD34" i="86" a="1"/>
  <c r="T40" i="82" a="1"/>
  <c r="AE40" i="86" a="1"/>
  <c r="AF44" i="86" a="1"/>
  <c r="AB20" i="83" a="1"/>
  <c r="E36" i="93"/>
  <c r="AG54" i="85" a="1"/>
  <c r="T27" i="85" a="1"/>
  <c r="AE40" i="84" a="1"/>
  <c r="T17" i="85" a="1"/>
  <c r="AG53" i="84" a="1"/>
  <c r="V16" i="93"/>
  <c r="AF43" i="83" a="1"/>
  <c r="T54" i="82" a="1"/>
  <c r="T47" i="83" a="1"/>
  <c r="AE38" i="83" a="1"/>
  <c r="V36" i="92"/>
  <c r="AE38" i="82" a="1"/>
  <c r="T31" i="86" a="1"/>
  <c r="T40" i="83" a="1"/>
  <c r="V43" i="92"/>
  <c r="E41" i="92"/>
  <c r="E22" i="92"/>
  <c r="V27" i="92"/>
  <c r="V52" i="92"/>
  <c r="AG55" i="83" a="1"/>
  <c r="T38" i="82" a="1"/>
  <c r="AC24" i="84" a="1"/>
  <c r="T45" i="83" a="1"/>
  <c r="AD31" i="85" a="1"/>
  <c r="T48" i="86" a="1"/>
  <c r="T45" i="84" a="1"/>
  <c r="T30" i="82" a="1"/>
  <c r="AF48" i="82" a="1"/>
  <c r="T30" i="83" a="1"/>
  <c r="AG52" i="85" a="1"/>
  <c r="T15" i="85" a="1"/>
  <c r="V40" i="93"/>
  <c r="E39" i="93"/>
  <c r="T52" i="85" a="1"/>
  <c r="E33" i="93"/>
  <c r="AB17" i="84" a="1"/>
  <c r="E55" i="93"/>
  <c r="AC25" i="82" a="1"/>
  <c r="AC27" i="83" a="1"/>
  <c r="T43" i="86" a="1"/>
  <c r="T27" i="82" a="1"/>
  <c r="AD31" i="83" a="1"/>
  <c r="AC22" i="84" a="1"/>
  <c r="AG54" i="84" a="1"/>
  <c r="T46" i="86" a="1"/>
  <c r="T44" i="85" a="1"/>
  <c r="AC25" i="84" a="1"/>
  <c r="T47" i="86" a="1"/>
  <c r="T25" i="85" a="1"/>
  <c r="E38" i="93"/>
  <c r="AF45" i="86" a="1"/>
  <c r="AF46" i="85" a="1"/>
  <c r="AC23" i="86" a="1"/>
  <c r="AC26" i="86" a="1"/>
  <c r="AE37" i="86" a="1"/>
  <c r="E39" i="92"/>
  <c r="V55" i="93"/>
  <c r="V46" i="93"/>
  <c r="V54" i="93"/>
  <c r="E43" i="92"/>
  <c r="E23" i="92"/>
  <c r="E25" i="92"/>
  <c r="V29" i="92"/>
  <c r="E20" i="92"/>
  <c r="V24" i="93"/>
  <c r="T53" i="83" a="1"/>
  <c r="T22" i="85" a="1"/>
  <c r="T50" i="83" a="1"/>
  <c r="V15" i="93"/>
  <c r="E45" i="93"/>
  <c r="AF44" i="83" a="1"/>
  <c r="V52" i="93"/>
  <c r="T41" i="82" a="1"/>
  <c r="T38" i="84" a="1"/>
  <c r="V29" i="93"/>
  <c r="AG55" i="82" a="1"/>
  <c r="T46" i="84" a="1"/>
  <c r="AB15" i="83" a="1"/>
  <c r="AG54" i="82" a="1"/>
  <c r="T53" i="82" a="1"/>
  <c r="T38" i="86" a="1"/>
  <c r="T48" i="82" a="1"/>
  <c r="T53" i="85" a="1"/>
  <c r="AB16" i="84" a="1"/>
  <c r="AD31" i="86" a="1"/>
  <c r="T37" i="85" a="1"/>
  <c r="E43" i="93"/>
  <c r="T39" i="85" a="1"/>
  <c r="T55" i="84" a="1"/>
  <c r="V44" i="93"/>
  <c r="AB16" i="83" a="1"/>
  <c r="AF43" i="85" a="1"/>
  <c r="AE36" i="85" a="1"/>
  <c r="AF48" i="84" a="1"/>
  <c r="E15" i="93"/>
  <c r="T30" i="86" a="1"/>
  <c r="T39" i="86" a="1"/>
  <c r="AC23" i="83" a="1"/>
  <c r="AF44" i="85" a="1"/>
  <c r="AD29" i="86" a="1"/>
  <c r="V53" i="93"/>
  <c r="V48" i="92"/>
  <c r="AE36" i="83" a="1"/>
  <c r="AE41" i="82" a="1"/>
  <c r="AB20" i="82" a="1"/>
  <c r="T19" i="82" l="1"/>
  <c r="AC24" i="82"/>
  <c r="AC25" i="82"/>
  <c r="AE39" i="82"/>
  <c r="AC25" i="83"/>
  <c r="AB18" i="83"/>
  <c r="AE36" i="83"/>
  <c r="AC26" i="85"/>
  <c r="AC25" i="86"/>
  <c r="AB15" i="82"/>
  <c r="AC26" i="82"/>
  <c r="AB18" i="84"/>
  <c r="T47" i="82"/>
  <c r="T46" i="82"/>
  <c r="T52" i="82"/>
  <c r="AD33" i="83"/>
  <c r="AB20" i="85"/>
  <c r="T25" i="84"/>
  <c r="AB18" i="85"/>
  <c r="T15" i="86"/>
  <c r="AB16" i="86"/>
  <c r="T44" i="82"/>
  <c r="AD30" i="84"/>
  <c r="T33" i="82"/>
  <c r="AG50" i="82"/>
  <c r="AD34" i="83"/>
  <c r="AB19" i="84"/>
  <c r="AC24" i="84"/>
  <c r="AC25" i="85"/>
  <c r="AE36" i="85"/>
  <c r="AC23" i="86"/>
  <c r="AC23" i="85"/>
  <c r="AB17" i="83"/>
  <c r="AB19" i="82"/>
  <c r="T50" i="82"/>
  <c r="AC27" i="82"/>
  <c r="AC22" i="83"/>
  <c r="AE36" i="84"/>
  <c r="AD32" i="84"/>
  <c r="T18" i="82"/>
  <c r="AB19" i="85"/>
  <c r="T23" i="84"/>
  <c r="AC26" i="86"/>
  <c r="AC27" i="85"/>
  <c r="AC25" i="84"/>
  <c r="T17" i="82"/>
  <c r="T48" i="82"/>
  <c r="AD32" i="83"/>
  <c r="AB20" i="83"/>
  <c r="T53" i="83"/>
  <c r="T29" i="84"/>
  <c r="T20" i="84"/>
  <c r="AD29" i="84"/>
  <c r="AD31" i="84"/>
  <c r="T27" i="84"/>
  <c r="T52" i="83"/>
  <c r="AE41" i="82"/>
  <c r="T15" i="85"/>
  <c r="T55" i="83"/>
  <c r="AD29" i="83"/>
  <c r="T30" i="82"/>
  <c r="AC26" i="84"/>
  <c r="T16" i="84"/>
  <c r="T20" i="83"/>
  <c r="T17" i="84"/>
  <c r="AC24" i="83"/>
  <c r="T52" i="86"/>
  <c r="AB20" i="84"/>
  <c r="T19" i="83"/>
  <c r="T45" i="82"/>
  <c r="AC26" i="83"/>
  <c r="AC24" i="86"/>
  <c r="AB16" i="82"/>
  <c r="AE38" i="82"/>
  <c r="T16" i="83"/>
  <c r="AC23" i="83"/>
  <c r="AD32" i="82"/>
  <c r="T15" i="84"/>
  <c r="AC23" i="82"/>
  <c r="AB16" i="85"/>
  <c r="AC27" i="86"/>
  <c r="T18" i="83"/>
  <c r="T20" i="82"/>
  <c r="AF43" i="82"/>
  <c r="AE40" i="82"/>
  <c r="T16" i="82"/>
  <c r="T22" i="83"/>
  <c r="T18" i="84"/>
  <c r="AB19" i="83"/>
  <c r="T17" i="83"/>
  <c r="AC27" i="84"/>
  <c r="T51" i="83"/>
  <c r="T51" i="82"/>
  <c r="T26" i="84"/>
  <c r="AC24" i="85"/>
  <c r="AD30" i="83"/>
  <c r="T32" i="82"/>
  <c r="AB17" i="82"/>
  <c r="AE36" i="82"/>
  <c r="AD31" i="83"/>
  <c r="T19" i="84"/>
  <c r="AB20" i="82"/>
  <c r="T31" i="82"/>
  <c r="T36" i="82"/>
  <c r="AB16" i="83"/>
  <c r="T22" i="82"/>
  <c r="T24" i="84"/>
  <c r="T22" i="84"/>
  <c r="AD33" i="82"/>
  <c r="AD34" i="82"/>
  <c r="T15" i="82"/>
  <c r="AC23" i="84"/>
  <c r="AB17" i="84"/>
  <c r="T15" i="83"/>
  <c r="AD30" i="82"/>
  <c r="AE37" i="82"/>
  <c r="AB18" i="82"/>
  <c r="AC27" i="83"/>
  <c r="AB16" i="84"/>
  <c r="AD31" i="82"/>
  <c r="AD29" i="82"/>
  <c r="AF43" i="86"/>
  <c r="T39" i="86"/>
  <c r="T55" i="86"/>
  <c r="AC22" i="86"/>
  <c r="AD32" i="86"/>
  <c r="T18" i="86"/>
  <c r="AE37" i="86"/>
  <c r="AF44" i="86"/>
  <c r="T23" i="86"/>
  <c r="AG54" i="86"/>
  <c r="T33" i="86"/>
  <c r="AB20" i="86"/>
  <c r="T45" i="86"/>
  <c r="AB19" i="86"/>
  <c r="T38" i="86"/>
  <c r="T54" i="86"/>
  <c r="AD31" i="86"/>
  <c r="T17" i="86"/>
  <c r="T29" i="86"/>
  <c r="AG53" i="86"/>
  <c r="T32" i="86"/>
  <c r="T44" i="86"/>
  <c r="T37" i="86"/>
  <c r="AD30" i="86"/>
  <c r="T16" i="86"/>
  <c r="AE41" i="86"/>
  <c r="AF48" i="86"/>
  <c r="T27" i="86"/>
  <c r="AG52" i="86"/>
  <c r="T31" i="86"/>
  <c r="T53" i="86"/>
  <c r="T50" i="86"/>
  <c r="T51" i="86"/>
  <c r="T43" i="86"/>
  <c r="AD29" i="86"/>
  <c r="T22" i="86"/>
  <c r="AE40" i="86"/>
  <c r="AF47" i="86"/>
  <c r="T26" i="86"/>
  <c r="AG51" i="86"/>
  <c r="T30" i="86"/>
  <c r="T48" i="86"/>
  <c r="AG50" i="86"/>
  <c r="T41" i="86"/>
  <c r="AD34" i="86"/>
  <c r="T20" i="86"/>
  <c r="AE39" i="86"/>
  <c r="AB17" i="86"/>
  <c r="AF46" i="86"/>
  <c r="T25" i="86"/>
  <c r="T36" i="86"/>
  <c r="T47" i="86"/>
  <c r="AB18" i="86"/>
  <c r="T40" i="86"/>
  <c r="AB15" i="86"/>
  <c r="AD33" i="86"/>
  <c r="T19" i="86"/>
  <c r="AE38" i="86"/>
  <c r="AF45" i="86"/>
  <c r="T24" i="86"/>
  <c r="AG55" i="86"/>
  <c r="T34" i="86"/>
  <c r="T46" i="86"/>
  <c r="AF45" i="85"/>
  <c r="T24" i="85"/>
  <c r="AG53" i="85"/>
  <c r="T41" i="85"/>
  <c r="T22" i="85"/>
  <c r="AE40" i="85"/>
  <c r="T32" i="85"/>
  <c r="T47" i="85"/>
  <c r="AG50" i="85"/>
  <c r="AF44" i="85"/>
  <c r="T23" i="85"/>
  <c r="AG52" i="85"/>
  <c r="T40" i="85"/>
  <c r="AB15" i="85"/>
  <c r="AD34" i="85"/>
  <c r="T20" i="85"/>
  <c r="AE39" i="85"/>
  <c r="AC22" i="85"/>
  <c r="T31" i="85"/>
  <c r="T46" i="85"/>
  <c r="T51" i="85"/>
  <c r="T29" i="85"/>
  <c r="AG51" i="85"/>
  <c r="T39" i="85"/>
  <c r="AD33" i="85"/>
  <c r="T19" i="85"/>
  <c r="AE38" i="85"/>
  <c r="T53" i="85"/>
  <c r="T54" i="85"/>
  <c r="T30" i="85"/>
  <c r="T45" i="85"/>
  <c r="AF43" i="85"/>
  <c r="AF48" i="85"/>
  <c r="T27" i="85"/>
  <c r="T52" i="85"/>
  <c r="T38" i="85"/>
  <c r="AD32" i="85"/>
  <c r="T18" i="85"/>
  <c r="AE37" i="85"/>
  <c r="T36" i="85"/>
  <c r="T44" i="85"/>
  <c r="AD29" i="85"/>
  <c r="AF47" i="85"/>
  <c r="T26" i="85"/>
  <c r="AG55" i="85"/>
  <c r="T37" i="85"/>
  <c r="AD31" i="85"/>
  <c r="T17" i="85"/>
  <c r="T34" i="85"/>
  <c r="T50" i="85"/>
  <c r="T55" i="85"/>
  <c r="AF46" i="85"/>
  <c r="T25" i="85"/>
  <c r="AG54" i="85"/>
  <c r="T43" i="85"/>
  <c r="AD30" i="85"/>
  <c r="T16" i="85"/>
  <c r="AE41" i="85"/>
  <c r="T33" i="85"/>
  <c r="T48" i="85"/>
  <c r="AG50" i="84"/>
  <c r="AG55" i="84"/>
  <c r="T36" i="84"/>
  <c r="AE39" i="84"/>
  <c r="AF48" i="84"/>
  <c r="T41" i="84"/>
  <c r="T45" i="84"/>
  <c r="T51" i="84"/>
  <c r="AG54" i="84"/>
  <c r="T34" i="84"/>
  <c r="T50" i="84"/>
  <c r="AE38" i="84"/>
  <c r="AF47" i="84"/>
  <c r="T40" i="84"/>
  <c r="AD34" i="84"/>
  <c r="AG53" i="84"/>
  <c r="T33" i="84"/>
  <c r="T47" i="84"/>
  <c r="AE37" i="84"/>
  <c r="AF46" i="84"/>
  <c r="T39" i="84"/>
  <c r="T55" i="84"/>
  <c r="AD33" i="84"/>
  <c r="AG52" i="84"/>
  <c r="T32" i="84"/>
  <c r="T46" i="84"/>
  <c r="AF43" i="84"/>
  <c r="AF45" i="84"/>
  <c r="T38" i="84"/>
  <c r="T48" i="84"/>
  <c r="T44" i="84"/>
  <c r="T54" i="84"/>
  <c r="AG51" i="84"/>
  <c r="T31" i="84"/>
  <c r="AE41" i="84"/>
  <c r="AF44" i="84"/>
  <c r="T37" i="84"/>
  <c r="AC22" i="84"/>
  <c r="T53" i="84"/>
  <c r="T30" i="84"/>
  <c r="AE40" i="84"/>
  <c r="T43" i="84"/>
  <c r="T52" i="84"/>
  <c r="AE38" i="83"/>
  <c r="AG51" i="83"/>
  <c r="T40" i="83"/>
  <c r="AB15" i="83"/>
  <c r="AF44" i="83"/>
  <c r="T23" i="83"/>
  <c r="T34" i="83"/>
  <c r="T46" i="83"/>
  <c r="AE37" i="83"/>
  <c r="T39" i="83"/>
  <c r="AF43" i="83"/>
  <c r="T29" i="83"/>
  <c r="T33" i="83"/>
  <c r="T45" i="83"/>
  <c r="T38" i="83"/>
  <c r="AF48" i="83"/>
  <c r="T27" i="83"/>
  <c r="T32" i="83"/>
  <c r="T44" i="83"/>
  <c r="AE41" i="83"/>
  <c r="AG55" i="83"/>
  <c r="T37" i="83"/>
  <c r="AF47" i="83"/>
  <c r="T26" i="83"/>
  <c r="AG54" i="83"/>
  <c r="T31" i="83"/>
  <c r="T50" i="83"/>
  <c r="AE40" i="83"/>
  <c r="T43" i="83"/>
  <c r="AG50" i="83"/>
  <c r="AF46" i="83"/>
  <c r="T25" i="83"/>
  <c r="AG53" i="83"/>
  <c r="T30" i="83"/>
  <c r="T48" i="83"/>
  <c r="AE39" i="83"/>
  <c r="T41" i="83"/>
  <c r="AF45" i="83"/>
  <c r="T24" i="83"/>
  <c r="AG52" i="83"/>
  <c r="T36" i="83"/>
  <c r="T47" i="83"/>
  <c r="T37" i="82"/>
  <c r="AC22" i="82"/>
  <c r="T53" i="82"/>
  <c r="AF46" i="82"/>
  <c r="T25" i="82"/>
  <c r="AG51" i="82"/>
  <c r="T43" i="82"/>
  <c r="AF45" i="82"/>
  <c r="T24" i="82"/>
  <c r="T41" i="82"/>
  <c r="AF44" i="82"/>
  <c r="T23" i="82"/>
  <c r="AG55" i="82"/>
  <c r="T40" i="82"/>
  <c r="T29" i="82"/>
  <c r="AG54" i="82"/>
  <c r="T39" i="82"/>
  <c r="T55" i="82"/>
  <c r="AF48" i="82"/>
  <c r="T27" i="82"/>
  <c r="AG53" i="82"/>
  <c r="T38" i="82"/>
  <c r="T54" i="82"/>
  <c r="AF47" i="82"/>
  <c r="T26" i="82"/>
  <c r="AG52" i="82"/>
  <c r="A2" i="86"/>
  <c r="A2" i="85"/>
  <c r="A2" i="84"/>
  <c r="A2" i="83"/>
  <c r="A2" i="82"/>
  <c r="A1" i="86"/>
  <c r="A1" i="85"/>
  <c r="A1" i="84"/>
  <c r="A1" i="83"/>
  <c r="A1" i="82"/>
  <c r="A1" i="81"/>
  <c r="AG47" i="82"/>
  <c r="AC38" i="84"/>
  <c r="AF31" i="83"/>
  <c r="W54" i="83"/>
  <c r="AB23" i="85"/>
  <c r="AE54" i="83"/>
  <c r="AC40" i="83"/>
  <c r="AD44" i="82"/>
  <c r="AE19" i="86"/>
  <c r="AG34" i="82"/>
  <c r="AF17" i="82"/>
  <c r="Y34" i="82"/>
  <c r="Z54" i="83"/>
  <c r="AD48" i="84"/>
  <c r="AG48" i="83"/>
  <c r="AD36" i="85"/>
  <c r="AC47" i="82"/>
  <c r="AB30" i="85"/>
  <c r="AC29" i="85"/>
  <c r="AE43" i="82"/>
  <c r="AF53" i="85"/>
  <c r="AC44" i="83"/>
  <c r="AG29" i="86"/>
  <c r="AC39" i="82"/>
  <c r="AG31" i="82"/>
  <c r="AB39" i="83"/>
  <c r="AG33" i="86"/>
  <c r="AF39" i="84"/>
  <c r="AB29" i="84"/>
  <c r="AC50" i="86"/>
  <c r="AE45" i="86"/>
  <c r="AC41" i="83"/>
  <c r="AA34" i="82"/>
  <c r="AF18" i="86"/>
  <c r="AC54" i="83"/>
  <c r="Y54" i="83"/>
  <c r="AB31" i="86"/>
  <c r="U54" i="83"/>
  <c r="AD47" i="85"/>
  <c r="AG33" i="83"/>
  <c r="AC46" i="85"/>
  <c r="Z3" i="84"/>
  <c r="AF29" i="86"/>
  <c r="AC48" i="86"/>
  <c r="AC32" i="86"/>
  <c r="AB29" i="86"/>
  <c r="AC53" i="84"/>
  <c r="AF22" i="85"/>
  <c r="AD41" i="85"/>
  <c r="AB24" i="82"/>
  <c r="AE52" i="84"/>
  <c r="AD25" i="85"/>
  <c r="AD16" i="82"/>
  <c r="AC17" i="86"/>
  <c r="AD41" i="86"/>
  <c r="AD22" i="83"/>
  <c r="AE18" i="82"/>
  <c r="AC16" i="84"/>
  <c r="Z34" i="82"/>
  <c r="AA54" i="83"/>
  <c r="AF40" i="84"/>
  <c r="AG47" i="86"/>
  <c r="AD40" i="82"/>
  <c r="AD22" i="84"/>
  <c r="AB51" i="84"/>
  <c r="AB36" i="84"/>
  <c r="AB37" i="86"/>
  <c r="AD51" i="85"/>
  <c r="AG37" i="85"/>
  <c r="AE50" i="86"/>
  <c r="AE50" i="83"/>
  <c r="AC30" i="82"/>
  <c r="AF41" i="82"/>
  <c r="AC54" i="85"/>
  <c r="AE22" i="86"/>
  <c r="AG19" i="82"/>
  <c r="AD25" i="86"/>
  <c r="AF25" i="83"/>
  <c r="AB22" i="82"/>
  <c r="AG46" i="86"/>
  <c r="AE34" i="82"/>
  <c r="AD20" i="82"/>
  <c r="AG44" i="85"/>
  <c r="AC53" i="85"/>
  <c r="AC36" i="82"/>
  <c r="AE52" i="85"/>
  <c r="AE55" i="85"/>
  <c r="AG23" i="82"/>
  <c r="AF34" i="84"/>
  <c r="AD38" i="83"/>
  <c r="AD24" i="84"/>
  <c r="AC18" i="85"/>
  <c r="AB6" i="83"/>
  <c r="AB41" i="86"/>
  <c r="AE26" i="85"/>
  <c r="AC40" i="86"/>
  <c r="AD54" i="83"/>
  <c r="AE33" i="82"/>
  <c r="AC46" i="83"/>
  <c r="AB54" i="83"/>
  <c r="X34" i="82"/>
  <c r="AC53" i="86"/>
  <c r="AE45" i="83"/>
  <c r="U34" i="82"/>
  <c r="AG20" i="85"/>
  <c r="W34" i="82"/>
  <c r="AC53" i="82"/>
  <c r="AG32" i="82"/>
  <c r="AB34" i="82"/>
  <c r="AF55" i="85"/>
  <c r="AD6" i="86"/>
  <c r="AG45" i="82"/>
  <c r="AC45" i="84"/>
  <c r="AD22" i="86"/>
  <c r="X54" i="83"/>
  <c r="AC34" i="82"/>
  <c r="AD54" i="85"/>
  <c r="AE23" i="84"/>
  <c r="AF23" i="86"/>
  <c r="AG39" i="85"/>
  <c r="AD54" i="84"/>
  <c r="AD16" i="85"/>
  <c r="AF29" i="82"/>
  <c r="AG34" i="86"/>
  <c r="AG25" i="84"/>
  <c r="AF32" i="83"/>
  <c r="AB26" i="82"/>
  <c r="AE46" i="84"/>
  <c r="AC52" i="83"/>
  <c r="AC30" i="84"/>
  <c r="AB51" i="82"/>
  <c r="AF33" i="84"/>
  <c r="AD39" i="83"/>
  <c r="AF37" i="83"/>
  <c r="AF30" i="83"/>
  <c r="AF51" i="86"/>
  <c r="AF19" i="86"/>
  <c r="AF41" i="84"/>
  <c r="AE47" i="84"/>
  <c r="AB43" i="84"/>
  <c r="AF25" i="82"/>
  <c r="AC48" i="82"/>
  <c r="AC20" i="82"/>
  <c r="AE43" i="86"/>
  <c r="AE32" i="85"/>
  <c r="AD45" i="85"/>
  <c r="AE44" i="84"/>
  <c r="AG26" i="83"/>
  <c r="AD36" i="86"/>
  <c r="AB27" i="83"/>
  <c r="AG19" i="84"/>
  <c r="AC37" i="84"/>
  <c r="AE15" i="84"/>
  <c r="AE50" i="85"/>
  <c r="AD37" i="82"/>
  <c r="AC19" i="85"/>
  <c r="AE15" i="83"/>
  <c r="AE26" i="84"/>
  <c r="AG22" i="82"/>
  <c r="AE44" i="86"/>
  <c r="AE20" i="86"/>
  <c r="AG31" i="85"/>
  <c r="AG43" i="85"/>
  <c r="AE29" i="83"/>
  <c r="AF55" i="82"/>
  <c r="AC17" i="85"/>
  <c r="AD43" i="83"/>
  <c r="AF54" i="82"/>
  <c r="AE54" i="86"/>
  <c r="AE27" i="86"/>
  <c r="AD40" i="85"/>
  <c r="AB34" i="85"/>
  <c r="AB23" i="83"/>
  <c r="AB30" i="86"/>
  <c r="AD24" i="86"/>
  <c r="AD27" i="82"/>
  <c r="AC46" i="82"/>
  <c r="AF16" i="86"/>
  <c r="AB29" i="85"/>
  <c r="AE27" i="85"/>
  <c r="AD55" i="84"/>
  <c r="AC31" i="84"/>
  <c r="AE24" i="83"/>
  <c r="AC52" i="82"/>
  <c r="AD15" i="82"/>
  <c r="AG39" i="86"/>
  <c r="AF33" i="85"/>
  <c r="AB50" i="84"/>
  <c r="AD38" i="82"/>
  <c r="AG20" i="84"/>
  <c r="AE20" i="83"/>
  <c r="AC18" i="84"/>
  <c r="AF55" i="86"/>
  <c r="AG38" i="86"/>
  <c r="AF26" i="86"/>
  <c r="AF38" i="85"/>
  <c r="AC48" i="85"/>
  <c r="AC36" i="83"/>
  <c r="AG17" i="84"/>
  <c r="AB32" i="84"/>
  <c r="AG47" i="83"/>
  <c r="AE24" i="85"/>
  <c r="AE34" i="83"/>
  <c r="C48" i="86" l="1"/>
  <c r="C17" i="84"/>
  <c r="C34" i="83"/>
  <c r="AD22" i="85"/>
  <c r="AC47" i="85"/>
  <c r="AD50" i="86"/>
  <c r="AG33" i="84"/>
  <c r="AF23" i="85"/>
  <c r="AF37" i="85"/>
  <c r="AB53" i="82"/>
  <c r="AE54" i="85"/>
  <c r="AE53" i="85"/>
  <c r="AG15" i="84"/>
  <c r="AB44" i="85"/>
  <c r="AC41" i="85"/>
  <c r="AD47" i="86"/>
  <c r="AF54" i="85"/>
  <c r="AC50" i="84"/>
  <c r="AE34" i="86"/>
  <c r="AE25" i="85"/>
  <c r="AB30" i="82"/>
  <c r="AE29" i="86"/>
  <c r="AB23" i="86"/>
  <c r="AE20" i="85"/>
  <c r="AD47" i="84"/>
  <c r="AB30" i="83"/>
  <c r="AC29" i="82"/>
  <c r="AF22" i="82"/>
  <c r="AF26" i="83"/>
  <c r="AD53" i="86"/>
  <c r="AD45" i="84"/>
  <c r="AF40" i="83"/>
  <c r="AD37" i="85"/>
  <c r="AF17" i="86"/>
  <c r="AC37" i="83"/>
  <c r="AG45" i="85"/>
  <c r="AD53" i="82"/>
  <c r="AE25" i="86"/>
  <c r="AD39" i="86"/>
  <c r="AC29" i="86"/>
  <c r="AB48" i="82"/>
  <c r="AB23" i="84"/>
  <c r="AF27" i="85"/>
  <c r="AC39" i="83"/>
  <c r="AD39" i="82"/>
  <c r="AE18" i="84"/>
  <c r="AC20" i="84"/>
  <c r="AG36" i="85"/>
  <c r="AC32" i="82"/>
  <c r="AC43" i="84"/>
  <c r="AF25" i="85"/>
  <c r="AB53" i="86"/>
  <c r="AG39" i="82"/>
  <c r="AB39" i="82"/>
  <c r="AC33" i="84"/>
  <c r="AF36" i="85"/>
  <c r="AD37" i="83"/>
  <c r="AF53" i="82"/>
  <c r="AG30" i="83"/>
  <c r="AB22" i="85"/>
  <c r="AD44" i="85"/>
  <c r="AG41" i="82"/>
  <c r="AF39" i="83"/>
  <c r="AB50" i="86"/>
  <c r="AE44" i="85"/>
  <c r="AB25" i="85"/>
  <c r="AJ51" i="81" l="1"/>
  <c r="AJ52" i="81" s="1"/>
  <c r="AJ53" i="81" s="1"/>
  <c r="AJ54" i="81" s="1"/>
  <c r="AJ55" i="81" s="1"/>
  <c r="AJ44" i="81"/>
  <c r="AJ45" i="81" s="1"/>
  <c r="AJ46" i="81" s="1"/>
  <c r="AJ47" i="81" s="1"/>
  <c r="AJ48" i="81" s="1"/>
  <c r="AJ37" i="81"/>
  <c r="AJ38" i="81" s="1"/>
  <c r="AJ39" i="81" s="1"/>
  <c r="AJ40" i="81" s="1"/>
  <c r="AJ41" i="81" s="1"/>
  <c r="AJ30" i="81"/>
  <c r="AJ31" i="81" s="1"/>
  <c r="AJ32" i="81" s="1"/>
  <c r="AJ33" i="81" s="1"/>
  <c r="AJ34" i="81" s="1"/>
  <c r="AJ23" i="81"/>
  <c r="AJ24" i="81" s="1"/>
  <c r="AJ25" i="81" s="1"/>
  <c r="AJ26" i="81" s="1"/>
  <c r="AJ27" i="81" s="1"/>
  <c r="AJ16" i="81"/>
  <c r="AJ17" i="81" s="1"/>
  <c r="AJ18" i="81" s="1"/>
  <c r="AJ19" i="81" s="1"/>
  <c r="AJ20" i="81" s="1"/>
  <c r="AI51" i="81"/>
  <c r="AI52" i="81" s="1"/>
  <c r="AI53" i="81" s="1"/>
  <c r="AI54" i="81" s="1"/>
  <c r="AI55" i="81" s="1"/>
  <c r="AI44" i="81"/>
  <c r="AI45" i="81" s="1"/>
  <c r="AI46" i="81" s="1"/>
  <c r="AI47" i="81" s="1"/>
  <c r="AI48" i="81" s="1"/>
  <c r="AI37" i="81"/>
  <c r="AI38" i="81" s="1"/>
  <c r="AI39" i="81" s="1"/>
  <c r="AI40" i="81" s="1"/>
  <c r="AI41" i="81" s="1"/>
  <c r="AI30" i="81"/>
  <c r="AI31" i="81" s="1"/>
  <c r="AI32" i="81" s="1"/>
  <c r="AI33" i="81" s="1"/>
  <c r="AI34" i="81" s="1"/>
  <c r="AI23" i="81"/>
  <c r="AI24" i="81" s="1"/>
  <c r="AI25" i="81" s="1"/>
  <c r="AI26" i="81" s="1"/>
  <c r="AI27" i="81" s="1"/>
  <c r="AI16" i="81"/>
  <c r="AI17" i="81" s="1"/>
  <c r="AI18" i="81" s="1"/>
  <c r="AI19" i="81" s="1"/>
  <c r="AI20" i="81" s="1"/>
  <c r="C61" i="81" l="1"/>
  <c r="U41" i="83" l="1"/>
  <c r="AB41" i="83"/>
  <c r="U3" i="85"/>
  <c r="U38" i="86"/>
  <c r="W24" i="86"/>
  <c r="O5" i="84"/>
  <c r="F34" i="83"/>
  <c r="V5" i="81"/>
  <c r="T53" i="81" a="1"/>
  <c r="Z24" i="84"/>
  <c r="Z27" i="82"/>
  <c r="AA47" i="85"/>
  <c r="Z30" i="85"/>
  <c r="AB26" i="85"/>
  <c r="AB32" i="85"/>
  <c r="AA33" i="86"/>
  <c r="Y18" i="86"/>
  <c r="AA22" i="84"/>
  <c r="X33" i="85"/>
  <c r="AG41" i="83"/>
  <c r="X29" i="83"/>
  <c r="Z54" i="86"/>
  <c r="AE2" i="84"/>
  <c r="U44" i="83"/>
  <c r="X20" i="86"/>
  <c r="AF23" i="84"/>
  <c r="X47" i="83"/>
  <c r="Z19" i="86"/>
  <c r="X40" i="82"/>
  <c r="AA25" i="82"/>
  <c r="W52" i="86"/>
  <c r="T2" i="82"/>
  <c r="W39" i="86"/>
  <c r="AE3" i="82"/>
  <c r="AD6" i="82"/>
  <c r="X25" i="83"/>
  <c r="X26" i="82"/>
  <c r="AB31" i="83"/>
  <c r="AF51" i="84"/>
  <c r="W45" i="82"/>
  <c r="AB2" i="86"/>
  <c r="W25" i="83"/>
  <c r="L3" i="85"/>
  <c r="AB38" i="83"/>
  <c r="U25" i="83"/>
  <c r="N5" i="86"/>
  <c r="AA44" i="86"/>
  <c r="Z34" i="85"/>
  <c r="W5" i="81"/>
  <c r="U19" i="83"/>
  <c r="K2" i="82"/>
  <c r="W41" i="83"/>
  <c r="AG29" i="82"/>
  <c r="AA37" i="83"/>
  <c r="T16" i="81" a="1"/>
  <c r="W48" i="82"/>
  <c r="X37" i="86"/>
  <c r="V3" i="84"/>
  <c r="AB27" i="85"/>
  <c r="K5" i="86"/>
  <c r="AC39" i="85"/>
  <c r="Z32" i="85"/>
  <c r="X31" i="86"/>
  <c r="AA34" i="83"/>
  <c r="AA32" i="82"/>
  <c r="AA16" i="84"/>
  <c r="U43" i="85"/>
  <c r="X38" i="82"/>
  <c r="X53" i="85"/>
  <c r="M6" i="86"/>
  <c r="AG37" i="84"/>
  <c r="AG48" i="82"/>
  <c r="AD26" i="84"/>
  <c r="AE34" i="84"/>
  <c r="AD43" i="85"/>
  <c r="AG29" i="85"/>
  <c r="AE51" i="85"/>
  <c r="AC16" i="83"/>
  <c r="AE48" i="86"/>
  <c r="AE23" i="82"/>
  <c r="AD19" i="85"/>
  <c r="U24" i="83"/>
  <c r="AD47" i="82"/>
  <c r="U37" i="82"/>
  <c r="Z32" i="82"/>
  <c r="AC46" i="84"/>
  <c r="AG18" i="85"/>
  <c r="AB2" i="85"/>
  <c r="T6" i="82"/>
  <c r="X39" i="82"/>
  <c r="AG25" i="86"/>
  <c r="Y20" i="86"/>
  <c r="X25" i="84"/>
  <c r="AA31" i="83"/>
  <c r="Y30" i="83"/>
  <c r="X44" i="82"/>
  <c r="AA22" i="86"/>
  <c r="Y36" i="83"/>
  <c r="AF50" i="85"/>
  <c r="M48" i="86"/>
  <c r="Y39" i="85"/>
  <c r="W20" i="84"/>
  <c r="K3" i="86"/>
  <c r="O3" i="85"/>
  <c r="S3" i="82"/>
  <c r="AE15" i="82"/>
  <c r="AF22" i="86"/>
  <c r="W25" i="84"/>
  <c r="U37" i="86"/>
  <c r="AC25" i="81" a="1"/>
  <c r="V3" i="81"/>
  <c r="W47" i="84"/>
  <c r="J3" i="85"/>
  <c r="Y22" i="83"/>
  <c r="AB52" i="82"/>
  <c r="Y53" i="82"/>
  <c r="U5" i="81"/>
  <c r="Z20" i="83"/>
  <c r="AA51" i="85"/>
  <c r="AD53" i="85"/>
  <c r="AC33" i="85"/>
  <c r="AG32" i="83"/>
  <c r="X32" i="84"/>
  <c r="U20" i="84"/>
  <c r="V34" i="82"/>
  <c r="AC33" i="82"/>
  <c r="AB50" i="83"/>
  <c r="AE18" i="83"/>
  <c r="X45" i="85"/>
  <c r="Z53" i="83"/>
  <c r="AB25" i="82"/>
  <c r="AB46" i="82"/>
  <c r="Y20" i="85"/>
  <c r="Z41" i="83"/>
  <c r="W46" i="86"/>
  <c r="Y43" i="84"/>
  <c r="AB36" i="82"/>
  <c r="AA55" i="82"/>
  <c r="T27" i="81" a="1"/>
  <c r="AG32" i="84"/>
  <c r="Y40" i="84"/>
  <c r="V6" i="81"/>
  <c r="AB3" i="86"/>
  <c r="Z50" i="84"/>
  <c r="AG22" i="86"/>
  <c r="AB45" i="85"/>
  <c r="Z47" i="85"/>
  <c r="U52" i="82"/>
  <c r="W46" i="83"/>
  <c r="Z17" i="84"/>
  <c r="Z25" i="85"/>
  <c r="O2" i="86"/>
  <c r="AG51" i="81" a="1"/>
  <c r="AE16" i="85"/>
  <c r="AE38" i="81" a="1"/>
  <c r="AC38" i="86"/>
  <c r="AD26" i="82"/>
  <c r="L6" i="85"/>
  <c r="W55" i="86"/>
  <c r="U23" i="86"/>
  <c r="AE26" i="86"/>
  <c r="AE16" i="84"/>
  <c r="AA48" i="82"/>
  <c r="AA18" i="84"/>
  <c r="Y50" i="86"/>
  <c r="AB43" i="86"/>
  <c r="AC2" i="86"/>
  <c r="O3" i="84"/>
  <c r="W6" i="83"/>
  <c r="O6" i="86"/>
  <c r="AF55" i="84"/>
  <c r="K6" i="86"/>
  <c r="AG37" i="86"/>
  <c r="G34" i="83"/>
  <c r="AD38" i="86"/>
  <c r="AB33" i="82"/>
  <c r="W45" i="83"/>
  <c r="O5" i="85"/>
  <c r="W2" i="81"/>
  <c r="Z16" i="84"/>
  <c r="AB40" i="84"/>
  <c r="X33" i="83"/>
  <c r="Y44" i="86"/>
  <c r="AC34" i="84"/>
  <c r="Z51" i="85"/>
  <c r="U23" i="84"/>
  <c r="Z17" i="83"/>
  <c r="R3" i="86"/>
  <c r="T22" i="81" a="1"/>
  <c r="Z15" i="82"/>
  <c r="Z38" i="84"/>
  <c r="M2" i="81"/>
  <c r="AF20" i="83"/>
  <c r="AF25" i="84"/>
  <c r="X18" i="84"/>
  <c r="AG25" i="82"/>
  <c r="AB22" i="83"/>
  <c r="Y33" i="85"/>
  <c r="AD3" i="81"/>
  <c r="AG43" i="86"/>
  <c r="W6" i="86"/>
  <c r="Z53" i="85"/>
  <c r="AA54" i="85"/>
  <c r="N17" i="84"/>
  <c r="U43" i="83"/>
  <c r="AE54" i="84"/>
  <c r="K3" i="81"/>
  <c r="AA25" i="83"/>
  <c r="AB51" i="86"/>
  <c r="O17" i="84"/>
  <c r="AG54" i="81" a="1"/>
  <c r="AE47" i="83"/>
  <c r="AA20" i="82"/>
  <c r="AD26" i="85"/>
  <c r="X27" i="86"/>
  <c r="AA26" i="83"/>
  <c r="AD38" i="85"/>
  <c r="Y48" i="84"/>
  <c r="Y17" i="84"/>
  <c r="Z37" i="86"/>
  <c r="Z18" i="82"/>
  <c r="U5" i="86"/>
  <c r="AF39" i="85"/>
  <c r="Z45" i="84"/>
  <c r="R5" i="83"/>
  <c r="T5" i="81"/>
  <c r="AA53" i="86"/>
  <c r="T3" i="85"/>
  <c r="X20" i="84"/>
  <c r="W33" i="83"/>
  <c r="S2" i="85"/>
  <c r="AE22" i="82"/>
  <c r="Z38" i="86"/>
  <c r="AG40" i="83"/>
  <c r="AF26" i="84"/>
  <c r="AB44" i="86"/>
  <c r="U41" i="85"/>
  <c r="AG23" i="84"/>
  <c r="N5" i="82"/>
  <c r="Z36" i="84"/>
  <c r="Z26" i="84"/>
  <c r="AA16" i="83"/>
  <c r="AG29" i="84"/>
  <c r="Y53" i="86"/>
  <c r="AE32" i="84"/>
  <c r="AF36" i="86"/>
  <c r="AB27" i="84"/>
  <c r="AB17" i="81" a="1"/>
  <c r="AF22" i="83"/>
  <c r="M2" i="86"/>
  <c r="AD50" i="83"/>
  <c r="S3" i="83"/>
  <c r="AA41" i="82"/>
  <c r="N6" i="85"/>
  <c r="Z23" i="86"/>
  <c r="W47" i="85"/>
  <c r="AA46" i="86"/>
  <c r="Y41" i="84"/>
  <c r="AB6" i="82"/>
  <c r="Z40" i="86"/>
  <c r="AC47" i="86"/>
  <c r="U51" i="86"/>
  <c r="AA27" i="86"/>
  <c r="AB54" i="82"/>
  <c r="Z30" i="83"/>
  <c r="X41" i="84"/>
  <c r="AF16" i="85"/>
  <c r="R5" i="81"/>
  <c r="AA52" i="83"/>
  <c r="AB38" i="84"/>
  <c r="Z36" i="85"/>
  <c r="AG40" i="85"/>
  <c r="X50" i="84"/>
  <c r="X36" i="84"/>
  <c r="AA37" i="85"/>
  <c r="AC39" i="84"/>
  <c r="W38" i="82"/>
  <c r="Z6" i="86"/>
  <c r="M3" i="83"/>
  <c r="AC2" i="84"/>
  <c r="Y47" i="83"/>
  <c r="X32" i="85"/>
  <c r="AC3" i="83"/>
  <c r="U39" i="82"/>
  <c r="AG25" i="83"/>
  <c r="W15" i="85"/>
  <c r="AG43" i="82"/>
  <c r="Y48" i="83"/>
  <c r="X55" i="84"/>
  <c r="AE18" i="85"/>
  <c r="Z20" i="85"/>
  <c r="AC18" i="82"/>
  <c r="Z22" i="85"/>
  <c r="Y25" i="84"/>
  <c r="Z27" i="86"/>
  <c r="AE2" i="83"/>
  <c r="X19" i="82"/>
  <c r="AF40" i="86"/>
  <c r="Z34" i="86"/>
  <c r="AA41" i="86"/>
  <c r="AB55" i="84"/>
  <c r="Y26" i="86"/>
  <c r="AE54" i="82"/>
  <c r="X30" i="86"/>
  <c r="U22" i="86"/>
  <c r="AA6" i="85"/>
  <c r="Y51" i="82"/>
  <c r="X19" i="86"/>
  <c r="W34" i="85"/>
  <c r="AF43" i="81" a="1"/>
  <c r="Y25" i="83"/>
  <c r="J3" i="86"/>
  <c r="AA36" i="83"/>
  <c r="Z24" i="82"/>
  <c r="AE23" i="86"/>
  <c r="AG48" i="84"/>
  <c r="AB48" i="83"/>
  <c r="W30" i="83"/>
  <c r="V6" i="84"/>
  <c r="U30" i="84"/>
  <c r="W30" i="82"/>
  <c r="AC15" i="83"/>
  <c r="U17" i="85"/>
  <c r="Z39" i="85"/>
  <c r="AB33" i="83"/>
  <c r="U55" i="85"/>
  <c r="N3" i="84"/>
  <c r="AC5" i="85"/>
  <c r="U19" i="84"/>
  <c r="AC53" i="83"/>
  <c r="AC52" i="86"/>
  <c r="AB40" i="86"/>
  <c r="X18" i="82"/>
  <c r="AD3" i="84"/>
  <c r="U30" i="82"/>
  <c r="Y26" i="82"/>
  <c r="AB23" i="82"/>
  <c r="AD43" i="84"/>
  <c r="W31" i="82"/>
  <c r="AA41" i="85"/>
  <c r="AD48" i="82"/>
  <c r="AE32" i="86"/>
  <c r="AE52" i="83"/>
  <c r="AG18" i="86"/>
  <c r="U47" i="82"/>
  <c r="AF26" i="85"/>
  <c r="AC32" i="84"/>
  <c r="AG33" i="82"/>
  <c r="Z29" i="82"/>
  <c r="T32" i="81" a="1"/>
  <c r="Y18" i="85"/>
  <c r="AD54" i="82"/>
  <c r="Z29" i="83"/>
  <c r="X17" i="85"/>
  <c r="W37" i="84"/>
  <c r="K5" i="84"/>
  <c r="AF41" i="86"/>
  <c r="AA6" i="82"/>
  <c r="Z50" i="83"/>
  <c r="AE31" i="85"/>
  <c r="AG46" i="83"/>
  <c r="AA46" i="84"/>
  <c r="AB52" i="86"/>
  <c r="Z3" i="85"/>
  <c r="Y48" i="85"/>
  <c r="S5" i="83"/>
  <c r="AA47" i="82"/>
  <c r="X16" i="82"/>
  <c r="U33" i="82"/>
  <c r="AD6" i="84"/>
  <c r="AA36" i="82"/>
  <c r="AB38" i="86"/>
  <c r="J6" i="81" a="1"/>
  <c r="U32" i="85"/>
  <c r="Y41" i="83"/>
  <c r="Y41" i="85"/>
  <c r="U43" i="86"/>
  <c r="AA27" i="82"/>
  <c r="AA51" i="86"/>
  <c r="R6" i="86"/>
  <c r="U50" i="82"/>
  <c r="AG55" i="81" a="1"/>
  <c r="AF31" i="86"/>
  <c r="AA29" i="83"/>
  <c r="X20" i="83"/>
  <c r="AD43" i="86"/>
  <c r="AB6" i="86"/>
  <c r="AE31" i="84"/>
  <c r="U45" i="85"/>
  <c r="X22" i="85"/>
  <c r="AF41" i="85"/>
  <c r="V5" i="84"/>
  <c r="AG16" i="84"/>
  <c r="T38" i="81" a="1"/>
  <c r="Z48" i="85"/>
  <c r="Y34" i="84"/>
  <c r="U53" i="82"/>
  <c r="X37" i="83"/>
  <c r="Y45" i="86"/>
  <c r="AE3" i="84"/>
  <c r="AC41" i="82"/>
  <c r="U31" i="83"/>
  <c r="Z18" i="84"/>
  <c r="AE45" i="85"/>
  <c r="W31" i="84"/>
  <c r="AE51" i="84"/>
  <c r="W19" i="83"/>
  <c r="N6" i="86"/>
  <c r="AA18" i="82"/>
  <c r="V6" i="83"/>
  <c r="Y47" i="82"/>
  <c r="T48" i="81" a="1"/>
  <c r="AD52" i="85"/>
  <c r="AA15" i="83"/>
  <c r="Y31" i="84"/>
  <c r="AE22" i="85"/>
  <c r="W30" i="86"/>
  <c r="Z37" i="84"/>
  <c r="Y46" i="83"/>
  <c r="AB5" i="81"/>
  <c r="Y50" i="83"/>
  <c r="Z29" i="85"/>
  <c r="Y16" i="85"/>
  <c r="U54" i="85"/>
  <c r="S5" i="85"/>
  <c r="AB30" i="84"/>
  <c r="X45" i="84"/>
  <c r="AC32" i="85"/>
  <c r="U52" i="84"/>
  <c r="W22" i="83"/>
  <c r="AG18" i="83"/>
  <c r="AD46" i="86"/>
  <c r="X53" i="86"/>
  <c r="Z24" i="83"/>
  <c r="S2" i="84"/>
  <c r="AF17" i="83"/>
  <c r="R3" i="81"/>
  <c r="Z26" i="83"/>
  <c r="I48" i="86"/>
  <c r="AA53" i="82"/>
  <c r="X30" i="82"/>
  <c r="AD26" i="86"/>
  <c r="T5" i="84"/>
  <c r="U38" i="82"/>
  <c r="AD23" i="83"/>
  <c r="W44" i="86"/>
  <c r="W52" i="83"/>
  <c r="Y26" i="84"/>
  <c r="AA26" i="82"/>
  <c r="Z22" i="82"/>
  <c r="AA34" i="86"/>
  <c r="Z33" i="83"/>
  <c r="U22" i="82"/>
  <c r="AA52" i="86"/>
  <c r="D48" i="86"/>
  <c r="AE23" i="83"/>
  <c r="AF34" i="85"/>
  <c r="AE24" i="86"/>
  <c r="R2" i="83"/>
  <c r="M34" i="83"/>
  <c r="AC32" i="83"/>
  <c r="W43" i="82"/>
  <c r="AB36" i="85"/>
  <c r="R3" i="83"/>
  <c r="AE48" i="82"/>
  <c r="U22" i="84"/>
  <c r="X15" i="82"/>
  <c r="AE34" i="85"/>
  <c r="AC36" i="86"/>
  <c r="AE17" i="86"/>
  <c r="AA20" i="84"/>
  <c r="AG48" i="85"/>
  <c r="L5" i="86"/>
  <c r="K6" i="82"/>
  <c r="W33" i="86"/>
  <c r="AE6" i="85"/>
  <c r="AA48" i="85"/>
  <c r="AA30" i="82"/>
  <c r="T5" i="85"/>
  <c r="W18" i="83"/>
  <c r="Z19" i="83"/>
  <c r="AB39" i="85"/>
  <c r="X19" i="83"/>
  <c r="AD25" i="82"/>
  <c r="M3" i="82"/>
  <c r="U32" i="83"/>
  <c r="AD23" i="86"/>
  <c r="AG45" i="84"/>
  <c r="AF27" i="86"/>
  <c r="W40" i="84"/>
  <c r="AC50" i="83"/>
  <c r="AA48" i="83"/>
  <c r="Z31" i="85"/>
  <c r="U55" i="86"/>
  <c r="AA32" i="83"/>
  <c r="X22" i="82"/>
  <c r="W25" i="86"/>
  <c r="Z51" i="86"/>
  <c r="AA55" i="83"/>
  <c r="W38" i="83"/>
  <c r="AB2" i="82"/>
  <c r="AB43" i="83"/>
  <c r="AB40" i="83"/>
  <c r="Y18" i="82"/>
  <c r="AC54" i="82"/>
  <c r="AF54" i="84"/>
  <c r="AB37" i="82"/>
  <c r="X44" i="84"/>
  <c r="AC44" i="82"/>
  <c r="AC37" i="86"/>
  <c r="W16" i="85"/>
  <c r="Z46" i="84"/>
  <c r="Y43" i="82"/>
  <c r="AG23" i="86"/>
  <c r="X52" i="82"/>
  <c r="AF48" i="81" a="1"/>
  <c r="AA51" i="84"/>
  <c r="W39" i="85"/>
  <c r="U30" i="83"/>
  <c r="AF34" i="83"/>
  <c r="Y43" i="86"/>
  <c r="Y41" i="86"/>
  <c r="AA6" i="81"/>
  <c r="AC47" i="83"/>
  <c r="V54" i="83"/>
  <c r="U40" i="83"/>
  <c r="X26" i="86"/>
  <c r="AD37" i="84"/>
  <c r="AF52" i="83"/>
  <c r="W19" i="85"/>
  <c r="X25" i="85"/>
  <c r="AG29" i="83"/>
  <c r="AE3" i="81"/>
  <c r="AA50" i="84"/>
  <c r="X54" i="85"/>
  <c r="O3" i="82"/>
  <c r="X46" i="86"/>
  <c r="U24" i="84"/>
  <c r="AD23" i="82"/>
  <c r="Z22" i="83"/>
  <c r="N2" i="83"/>
  <c r="AF24" i="86"/>
  <c r="AB53" i="84"/>
  <c r="AB34" i="83"/>
  <c r="L2" i="83"/>
  <c r="U48" i="82"/>
  <c r="X46" i="82"/>
  <c r="AB52" i="85"/>
  <c r="AC17" i="84"/>
  <c r="AA16" i="86"/>
  <c r="AF22" i="84"/>
  <c r="AA40" i="82"/>
  <c r="U19" i="86"/>
  <c r="U39" i="85"/>
  <c r="AC43" i="85"/>
  <c r="AC26" i="81" a="1"/>
  <c r="AA33" i="83"/>
  <c r="N6" i="81" a="1"/>
  <c r="Y17" i="83"/>
  <c r="AC50" i="82"/>
  <c r="Z55" i="85"/>
  <c r="W50" i="85"/>
  <c r="AD27" i="86"/>
  <c r="M6" i="85"/>
  <c r="Z29" i="84"/>
  <c r="AA17" i="83"/>
  <c r="T46" i="81" a="1"/>
  <c r="AA32" i="84"/>
  <c r="X39" i="84"/>
  <c r="AF37" i="82"/>
  <c r="AG18" i="82"/>
  <c r="AB37" i="85"/>
  <c r="U37" i="84"/>
  <c r="AE19" i="84"/>
  <c r="X50" i="85"/>
  <c r="W38" i="84"/>
  <c r="W32" i="86"/>
  <c r="X27" i="84"/>
  <c r="Z48" i="83"/>
  <c r="U5" i="82"/>
  <c r="K6" i="84"/>
  <c r="X26" i="85"/>
  <c r="W3" i="86"/>
  <c r="Y53" i="84"/>
  <c r="AC29" i="83"/>
  <c r="AE32" i="83"/>
  <c r="Y26" i="83"/>
  <c r="Z6" i="81"/>
  <c r="X54" i="86"/>
  <c r="AB24" i="86"/>
  <c r="AF18" i="84"/>
  <c r="Z43" i="83"/>
  <c r="AD17" i="83"/>
  <c r="W51" i="85"/>
  <c r="X52" i="85"/>
  <c r="X34" i="84"/>
  <c r="Z33" i="85"/>
  <c r="AA39" i="84"/>
  <c r="X30" i="84"/>
  <c r="U19" i="82"/>
  <c r="AC6" i="86"/>
  <c r="AF39" i="86"/>
  <c r="W20" i="83"/>
  <c r="AA29" i="85"/>
  <c r="W45" i="84"/>
  <c r="Y55" i="82"/>
  <c r="X36" i="82"/>
  <c r="U26" i="82"/>
  <c r="Z46" i="83"/>
  <c r="W37" i="86"/>
  <c r="AC3" i="84"/>
  <c r="U53" i="85"/>
  <c r="Y15" i="82"/>
  <c r="AB47" i="86"/>
  <c r="AB33" i="85"/>
  <c r="Y33" i="83"/>
  <c r="AE48" i="84"/>
  <c r="AC15" i="85"/>
  <c r="AE53" i="83"/>
  <c r="J34" i="83"/>
  <c r="AB44" i="82"/>
  <c r="T6" i="83"/>
  <c r="U30" i="86"/>
  <c r="Z45" i="83"/>
  <c r="AD50" i="84"/>
  <c r="AB2" i="81"/>
  <c r="W55" i="85"/>
  <c r="Z20" i="86"/>
  <c r="AF32" i="84"/>
  <c r="N5" i="84"/>
  <c r="Y24" i="83"/>
  <c r="AE33" i="85"/>
  <c r="Y38" i="85"/>
  <c r="X23" i="84"/>
  <c r="AA30" i="83"/>
  <c r="AC48" i="83"/>
  <c r="X45" i="82"/>
  <c r="AC34" i="83"/>
  <c r="N2" i="81"/>
  <c r="Z3" i="82"/>
  <c r="Z52" i="84"/>
  <c r="U24" i="86"/>
  <c r="AG50" i="81" a="1"/>
  <c r="AE16" i="86"/>
  <c r="W53" i="86"/>
  <c r="W32" i="85"/>
  <c r="AG44" i="86"/>
  <c r="W27" i="85"/>
  <c r="X31" i="83"/>
  <c r="J2" i="81"/>
  <c r="U20" i="82"/>
  <c r="U23" i="85"/>
  <c r="AD5" i="85"/>
  <c r="AD20" i="84"/>
  <c r="Z29" i="86"/>
  <c r="Y15" i="84"/>
  <c r="W18" i="86"/>
  <c r="Z52" i="85"/>
  <c r="L6" i="82"/>
  <c r="AD40" i="86"/>
  <c r="AA25" i="84"/>
  <c r="U27" i="85"/>
  <c r="O48" i="86"/>
  <c r="AD6" i="83"/>
  <c r="U6" i="81"/>
  <c r="U52" i="86"/>
  <c r="Z33" i="86"/>
  <c r="W34" i="83"/>
  <c r="AE50" i="84"/>
  <c r="AC39" i="86"/>
  <c r="AG17" i="86"/>
  <c r="U37" i="83"/>
  <c r="AA5" i="85"/>
  <c r="W47" i="83"/>
  <c r="X23" i="83"/>
  <c r="AA3" i="85"/>
  <c r="U6" i="86"/>
  <c r="U30" i="85"/>
  <c r="AA29" i="84"/>
  <c r="Z40" i="85"/>
  <c r="U38" i="85"/>
  <c r="W16" i="86"/>
  <c r="V5" i="83"/>
  <c r="W26" i="83"/>
  <c r="K6" i="83"/>
  <c r="AD5" i="84"/>
  <c r="AA44" i="85"/>
  <c r="Z17" i="86"/>
  <c r="U48" i="83"/>
  <c r="AG36" i="83"/>
  <c r="AD27" i="83"/>
  <c r="Z5" i="82"/>
  <c r="Y16" i="84"/>
  <c r="L3" i="81"/>
  <c r="Y17" i="85"/>
  <c r="U27" i="84"/>
  <c r="W33" i="85"/>
  <c r="Y24" i="84"/>
  <c r="AA45" i="85"/>
  <c r="T3" i="84"/>
  <c r="AC47" i="84"/>
  <c r="L6" i="84"/>
  <c r="Z25" i="84"/>
  <c r="U55" i="82"/>
  <c r="AE30" i="86"/>
  <c r="AB47" i="83"/>
  <c r="Y27" i="82"/>
  <c r="AC33" i="86"/>
  <c r="W47" i="86"/>
  <c r="AD48" i="86"/>
  <c r="U31" i="82"/>
  <c r="Y19" i="83"/>
  <c r="AD46" i="85"/>
  <c r="X24" i="82"/>
  <c r="AG40" i="84"/>
  <c r="AF19" i="85"/>
  <c r="AA38" i="84"/>
  <c r="X37" i="82"/>
  <c r="W15" i="83"/>
  <c r="AB37" i="84"/>
  <c r="AE31" i="86"/>
  <c r="W43" i="84"/>
  <c r="AB26" i="86"/>
  <c r="Z23" i="85"/>
  <c r="AG34" i="85"/>
  <c r="W5" i="82"/>
  <c r="AE27" i="83"/>
  <c r="U36" i="82"/>
  <c r="AA2" i="84"/>
  <c r="AA52" i="84"/>
  <c r="AB55" i="86"/>
  <c r="U3" i="81"/>
  <c r="AC15" i="86"/>
  <c r="T2" i="81"/>
  <c r="AA19" i="84"/>
  <c r="AF17" i="84"/>
  <c r="AD55" i="83"/>
  <c r="W39" i="83"/>
  <c r="Y51" i="83"/>
  <c r="N48" i="86"/>
  <c r="AF46" i="81" a="1"/>
  <c r="Y29" i="82"/>
  <c r="AA50" i="86"/>
  <c r="Y38" i="83"/>
  <c r="W48" i="84"/>
  <c r="W40" i="86"/>
  <c r="AA45" i="84"/>
  <c r="W44" i="84"/>
  <c r="AD45" i="86"/>
  <c r="U25" i="82"/>
  <c r="X54" i="82"/>
  <c r="AA24" i="83"/>
  <c r="X47" i="82"/>
  <c r="AG20" i="86"/>
  <c r="AB51" i="83"/>
  <c r="U15" i="84"/>
  <c r="U25" i="84"/>
  <c r="Z52" i="82"/>
  <c r="J6" i="83"/>
  <c r="Y44" i="82"/>
  <c r="X16" i="83"/>
  <c r="AF16" i="83"/>
  <c r="T52" i="81" a="1"/>
  <c r="Z22" i="86"/>
  <c r="AA23" i="86"/>
  <c r="AC6" i="83"/>
  <c r="X22" i="84"/>
  <c r="U44" i="86"/>
  <c r="X29" i="85"/>
  <c r="Z15" i="85"/>
  <c r="AE46" i="86"/>
  <c r="AG44" i="83"/>
  <c r="AF27" i="82"/>
  <c r="W54" i="82"/>
  <c r="X45" i="83"/>
  <c r="Z50" i="85"/>
  <c r="W20" i="85"/>
  <c r="X31" i="82"/>
  <c r="AC31" i="86"/>
  <c r="X43" i="86"/>
  <c r="X15" i="85"/>
  <c r="AC20" i="86"/>
  <c r="S2" i="81"/>
  <c r="AB47" i="84"/>
  <c r="U46" i="83"/>
  <c r="AE32" i="82"/>
  <c r="X33" i="84"/>
  <c r="Y22" i="86"/>
  <c r="Z25" i="83"/>
  <c r="AF30" i="82"/>
  <c r="Y15" i="83"/>
  <c r="U26" i="83"/>
  <c r="AF30" i="84"/>
  <c r="Z36" i="83"/>
  <c r="Z39" i="82"/>
  <c r="Z44" i="84"/>
  <c r="Z26" i="85"/>
  <c r="F17" i="84"/>
  <c r="X25" i="86"/>
  <c r="Z46" i="85"/>
  <c r="AC6" i="81"/>
  <c r="AD52" i="83"/>
  <c r="AA33" i="84"/>
  <c r="H48" i="86"/>
  <c r="AF24" i="85"/>
  <c r="AD39" i="84"/>
  <c r="Y53" i="85"/>
  <c r="AB27" i="86"/>
  <c r="AF50" i="82"/>
  <c r="AD19" i="86"/>
  <c r="AD52" i="82"/>
  <c r="U46" i="86"/>
  <c r="Z38" i="83"/>
  <c r="W52" i="85"/>
  <c r="AC2" i="81"/>
  <c r="U24" i="85"/>
  <c r="X51" i="85"/>
  <c r="W29" i="82"/>
  <c r="AA51" i="82"/>
  <c r="Z23" i="84"/>
  <c r="AB2" i="84"/>
  <c r="AG19" i="85"/>
  <c r="AE55" i="84"/>
  <c r="Z39" i="83"/>
  <c r="AD51" i="84"/>
  <c r="W41" i="86"/>
  <c r="Y30" i="82"/>
  <c r="W3" i="81"/>
  <c r="Z52" i="86"/>
  <c r="X16" i="86"/>
  <c r="AC43" i="86"/>
  <c r="U54" i="82"/>
  <c r="Z38" i="85"/>
  <c r="O5" i="86"/>
  <c r="W32" i="82"/>
  <c r="AA45" i="83"/>
  <c r="AG45" i="83"/>
  <c r="Z51" i="84"/>
  <c r="N6" i="84"/>
  <c r="R3" i="84"/>
  <c r="X27" i="83"/>
  <c r="U29" i="86"/>
  <c r="AE6" i="86"/>
  <c r="X39" i="85"/>
  <c r="AB32" i="86"/>
  <c r="AC16" i="86"/>
  <c r="Y39" i="84"/>
  <c r="K2" i="83"/>
  <c r="X18" i="86"/>
  <c r="AE46" i="85"/>
  <c r="AC19" i="83"/>
  <c r="U50" i="86"/>
  <c r="U54" i="84"/>
  <c r="Z45" i="82"/>
  <c r="U40" i="82"/>
  <c r="AB46" i="86"/>
  <c r="AG43" i="83"/>
  <c r="W30" i="84"/>
  <c r="W5" i="84"/>
  <c r="Y23" i="84"/>
  <c r="AB22" i="84"/>
  <c r="U44" i="84"/>
  <c r="AB50" i="85"/>
  <c r="Y30" i="84"/>
  <c r="Y16" i="83"/>
  <c r="U29" i="84"/>
  <c r="Z54" i="82"/>
  <c r="W2" i="82"/>
  <c r="AD48" i="83"/>
  <c r="AA54" i="84"/>
  <c r="U53" i="86"/>
  <c r="AC43" i="82"/>
  <c r="AD24" i="85"/>
  <c r="AA2" i="83"/>
  <c r="Z16" i="85"/>
  <c r="W39" i="84"/>
  <c r="X24" i="84"/>
  <c r="W18" i="85"/>
  <c r="Z37" i="85"/>
  <c r="W27" i="84"/>
  <c r="AC43" i="83"/>
  <c r="AB24" i="84"/>
  <c r="X33" i="82"/>
  <c r="AG27" i="85"/>
  <c r="W22" i="82"/>
  <c r="Z48" i="84"/>
  <c r="AF16" i="84"/>
  <c r="U15" i="82"/>
  <c r="AD41" i="84"/>
  <c r="Y36" i="84"/>
  <c r="V3" i="83"/>
  <c r="Z23" i="82"/>
  <c r="Z48" i="82"/>
  <c r="J6" i="82"/>
  <c r="Z43" i="84"/>
  <c r="AA15" i="86"/>
  <c r="X52" i="83"/>
  <c r="U26" i="86"/>
  <c r="AB19" i="81" a="1"/>
  <c r="AE5" i="81"/>
  <c r="W27" i="86"/>
  <c r="Y23" i="85"/>
  <c r="U55" i="83"/>
  <c r="O6" i="85"/>
  <c r="X51" i="83"/>
  <c r="W44" i="83"/>
  <c r="AE5" i="84"/>
  <c r="W50" i="82"/>
  <c r="AA47" i="86"/>
  <c r="Y48" i="82"/>
  <c r="Z26" i="82"/>
  <c r="W27" i="83"/>
  <c r="Y45" i="83"/>
  <c r="Z2" i="84"/>
  <c r="X36" i="83"/>
  <c r="AA18" i="85"/>
  <c r="AA17" i="85"/>
  <c r="AA52" i="85"/>
  <c r="U17" i="83"/>
  <c r="Y25" i="85"/>
  <c r="AD18" i="86"/>
  <c r="AF29" i="85"/>
  <c r="AA36" i="86"/>
  <c r="U20" i="86"/>
  <c r="U54" i="86"/>
  <c r="AA55" i="85"/>
  <c r="Z3" i="81"/>
  <c r="W19" i="86"/>
  <c r="Y15" i="85"/>
  <c r="J6" i="86"/>
  <c r="AA50" i="83"/>
  <c r="Z5" i="85"/>
  <c r="W37" i="82"/>
  <c r="AC6" i="84"/>
  <c r="AF20" i="82"/>
  <c r="AA15" i="85"/>
  <c r="AF31" i="82"/>
  <c r="Z40" i="82"/>
  <c r="AA3" i="81"/>
  <c r="AE18" i="86"/>
  <c r="AD15" i="85"/>
  <c r="X32" i="86"/>
  <c r="U39" i="84"/>
  <c r="Y38" i="86"/>
  <c r="W17" i="85"/>
  <c r="AA18" i="86"/>
  <c r="W39" i="82"/>
  <c r="Y33" i="86"/>
  <c r="Y31" i="86"/>
  <c r="X37" i="85"/>
  <c r="W3" i="84"/>
  <c r="Z36" i="82"/>
  <c r="AE3" i="86"/>
  <c r="AB55" i="83"/>
  <c r="AF19" i="83"/>
  <c r="AC50" i="85"/>
  <c r="AG24" i="82"/>
  <c r="Z38" i="82"/>
  <c r="X55" i="82"/>
  <c r="AA5" i="84"/>
  <c r="AA19" i="86"/>
  <c r="Y17" i="86"/>
  <c r="AD30" i="81" a="1"/>
  <c r="W36" i="84"/>
  <c r="AD46" i="84"/>
  <c r="U51" i="82"/>
  <c r="U45" i="86"/>
  <c r="Z3" i="86"/>
  <c r="AG45" i="86"/>
  <c r="F48" i="86"/>
  <c r="U23" i="82"/>
  <c r="Z5" i="84"/>
  <c r="U46" i="84"/>
  <c r="W30" i="85"/>
  <c r="AC3" i="82"/>
  <c r="Y55" i="86"/>
  <c r="AF40" i="82"/>
  <c r="AG27" i="86"/>
  <c r="X40" i="86"/>
  <c r="W18" i="82"/>
  <c r="AF44" i="81" a="1"/>
  <c r="J6" i="84"/>
  <c r="AD41" i="82"/>
  <c r="AD50" i="85"/>
  <c r="J5" i="84"/>
  <c r="AC52" i="85"/>
  <c r="AG41" i="85"/>
  <c r="AC41" i="86"/>
  <c r="AA48" i="86"/>
  <c r="U15" i="86"/>
  <c r="AC38" i="82"/>
  <c r="AE40" i="81" a="1"/>
  <c r="K34" i="83"/>
  <c r="AG52" i="81" a="1"/>
  <c r="AD15" i="84"/>
  <c r="J3" i="81"/>
  <c r="W53" i="84"/>
  <c r="AF53" i="83"/>
  <c r="U47" i="85"/>
  <c r="X39" i="86"/>
  <c r="Y37" i="82"/>
  <c r="U43" i="82"/>
  <c r="AD5" i="81"/>
  <c r="AF33" i="82"/>
  <c r="U6" i="83"/>
  <c r="Y22" i="85"/>
  <c r="AD40" i="83"/>
  <c r="Z51" i="83"/>
  <c r="Y23" i="82"/>
  <c r="AD44" i="84"/>
  <c r="U16" i="83"/>
  <c r="U41" i="86"/>
  <c r="AF38" i="83"/>
  <c r="AF32" i="85"/>
  <c r="AE36" i="81" a="1"/>
  <c r="AC19" i="84"/>
  <c r="W52" i="82"/>
  <c r="AB25" i="86"/>
  <c r="X38" i="83"/>
  <c r="Y22" i="84"/>
  <c r="W51" i="86"/>
  <c r="Z24" i="86"/>
  <c r="W36" i="82"/>
  <c r="AC37" i="85"/>
  <c r="S3" i="86"/>
  <c r="Z24" i="85"/>
  <c r="AC40" i="85"/>
  <c r="U48" i="86"/>
  <c r="AD16" i="83"/>
  <c r="W17" i="86"/>
  <c r="AC30" i="85"/>
  <c r="W29" i="86"/>
  <c r="AA55" i="84"/>
  <c r="AG36" i="84"/>
  <c r="AF52" i="86"/>
  <c r="AA22" i="83"/>
  <c r="Z15" i="84"/>
  <c r="AE30" i="84"/>
  <c r="AG24" i="83"/>
  <c r="U3" i="84"/>
  <c r="X39" i="83"/>
  <c r="AE51" i="82"/>
  <c r="AB16" i="81" a="1"/>
  <c r="Z43" i="82"/>
  <c r="AC5" i="86"/>
  <c r="AG36" i="86"/>
  <c r="AA39" i="83"/>
  <c r="AD45" i="82"/>
  <c r="Y39" i="83"/>
  <c r="AD17" i="82"/>
  <c r="X47" i="86"/>
  <c r="Y20" i="82"/>
  <c r="X24" i="85"/>
  <c r="Y46" i="82"/>
  <c r="AG48" i="86"/>
  <c r="AC3" i="81"/>
  <c r="L3" i="84"/>
  <c r="U33" i="83"/>
  <c r="AA34" i="85"/>
  <c r="Z41" i="82"/>
  <c r="AD22" i="82"/>
  <c r="Z16" i="83"/>
  <c r="Y40" i="86"/>
  <c r="Z54" i="85"/>
  <c r="AD44" i="83"/>
  <c r="W17" i="82"/>
  <c r="J5" i="85"/>
  <c r="W50" i="84"/>
  <c r="Y33" i="84"/>
  <c r="AD24" i="83"/>
  <c r="AB24" i="85"/>
  <c r="AG36" i="82"/>
  <c r="U55" i="84"/>
  <c r="W31" i="86"/>
  <c r="AA43" i="83"/>
  <c r="AG31" i="84"/>
  <c r="M5" i="82"/>
  <c r="W29" i="85"/>
  <c r="AD39" i="85"/>
  <c r="AD16" i="86"/>
  <c r="W37" i="85"/>
  <c r="Y22" i="82"/>
  <c r="Z17" i="82"/>
  <c r="AC2" i="85"/>
  <c r="AB31" i="85"/>
  <c r="U23" i="83"/>
  <c r="U31" i="85"/>
  <c r="U41" i="84"/>
  <c r="Z34" i="83"/>
  <c r="T47" i="81" a="1"/>
  <c r="X38" i="86"/>
  <c r="AD17" i="85"/>
  <c r="AG53" i="81" a="1"/>
  <c r="U47" i="86"/>
  <c r="AE20" i="84"/>
  <c r="AG32" i="86"/>
  <c r="AF16" i="82"/>
  <c r="AA32" i="85"/>
  <c r="Y52" i="85"/>
  <c r="AE55" i="82"/>
  <c r="J48" i="86"/>
  <c r="W43" i="86"/>
  <c r="W32" i="84"/>
  <c r="X19" i="85"/>
  <c r="AC51" i="82"/>
  <c r="S6" i="85"/>
  <c r="AB46" i="85"/>
  <c r="W45" i="85"/>
  <c r="AD6" i="85"/>
  <c r="W54" i="85"/>
  <c r="U48" i="85"/>
  <c r="W24" i="82"/>
  <c r="Z20" i="84"/>
  <c r="Y24" i="82"/>
  <c r="Y27" i="86"/>
  <c r="T2" i="85"/>
  <c r="X51" i="82"/>
  <c r="AE53" i="84"/>
  <c r="L6" i="86"/>
  <c r="W51" i="82"/>
  <c r="AA23" i="85"/>
  <c r="AA54" i="82"/>
  <c r="X44" i="86"/>
  <c r="Y37" i="86"/>
  <c r="Y19" i="85"/>
  <c r="U18" i="83"/>
  <c r="U46" i="82"/>
  <c r="AG33" i="85"/>
  <c r="AG44" i="82"/>
  <c r="AB36" i="86"/>
  <c r="W34" i="86"/>
  <c r="AG37" i="82"/>
  <c r="U17" i="82"/>
  <c r="Y25" i="86"/>
  <c r="AG15" i="85"/>
  <c r="AC55" i="84"/>
  <c r="AB54" i="85"/>
  <c r="AD25" i="83"/>
  <c r="W15" i="86"/>
  <c r="V6" i="86"/>
  <c r="U47" i="83"/>
  <c r="AF50" i="84"/>
  <c r="U16" i="84"/>
  <c r="X43" i="85"/>
  <c r="X20" i="82"/>
  <c r="AE20" i="82"/>
  <c r="X51" i="86"/>
  <c r="AA31" i="82"/>
  <c r="Z16" i="82"/>
  <c r="AD2" i="86"/>
  <c r="W22" i="86"/>
  <c r="AC15" i="84"/>
  <c r="X36" i="86"/>
  <c r="U29" i="83"/>
  <c r="Z27" i="83"/>
  <c r="X24" i="83"/>
  <c r="Y23" i="83"/>
  <c r="X34" i="83"/>
  <c r="AG43" i="84"/>
  <c r="U32" i="84"/>
  <c r="Y33" i="82"/>
  <c r="AC16" i="85"/>
  <c r="AG44" i="84"/>
  <c r="X15" i="84"/>
  <c r="I34" i="83"/>
  <c r="X47" i="85"/>
  <c r="AB47" i="85"/>
  <c r="U40" i="85"/>
  <c r="AB25" i="84"/>
  <c r="W43" i="85"/>
  <c r="AA33" i="82"/>
  <c r="U18" i="84"/>
  <c r="AA31" i="84"/>
  <c r="AA20" i="86"/>
  <c r="Y24" i="85"/>
  <c r="Z53" i="82"/>
  <c r="T40" i="81" a="1"/>
  <c r="AA44" i="82"/>
  <c r="Z23" i="83"/>
  <c r="Z53" i="86"/>
  <c r="AF54" i="86"/>
  <c r="Z44" i="86"/>
  <c r="X50" i="86"/>
  <c r="U3" i="83"/>
  <c r="AC3" i="85"/>
  <c r="AD51" i="82"/>
  <c r="X20" i="85"/>
  <c r="AB3" i="81"/>
  <c r="W46" i="84"/>
  <c r="AF17" i="85"/>
  <c r="AA2" i="82"/>
  <c r="X17" i="83"/>
  <c r="AB3" i="85"/>
  <c r="X26" i="83"/>
  <c r="X54" i="84"/>
  <c r="AA23" i="84"/>
  <c r="U52" i="85"/>
  <c r="AE27" i="82"/>
  <c r="O2" i="81"/>
  <c r="Z41" i="84"/>
  <c r="U41" i="82"/>
  <c r="U29" i="85"/>
  <c r="W24" i="85"/>
  <c r="AF36" i="82"/>
  <c r="AE16" i="82"/>
  <c r="AD38" i="84"/>
  <c r="K2" i="86"/>
  <c r="U20" i="83"/>
  <c r="U50" i="85"/>
  <c r="X55" i="85"/>
  <c r="G17" i="84"/>
  <c r="J2" i="82"/>
  <c r="AF36" i="83"/>
  <c r="Y44" i="83"/>
  <c r="Y45" i="85"/>
  <c r="W38" i="85"/>
  <c r="AF25" i="86"/>
  <c r="AA31" i="86"/>
  <c r="AA19" i="83"/>
  <c r="U16" i="86"/>
  <c r="AA22" i="85"/>
  <c r="W17" i="84"/>
  <c r="AB37" i="83"/>
  <c r="W26" i="85"/>
  <c r="K2" i="84"/>
  <c r="X34" i="85"/>
  <c r="T3" i="83"/>
  <c r="Z2" i="86"/>
  <c r="Z47" i="82"/>
  <c r="AD54" i="86"/>
  <c r="W40" i="85"/>
  <c r="Z37" i="83"/>
  <c r="Y19" i="86"/>
  <c r="W31" i="85"/>
  <c r="R2" i="82"/>
  <c r="AF33" i="83"/>
  <c r="Z55" i="82"/>
  <c r="AF20" i="85"/>
  <c r="U37" i="85"/>
  <c r="AF15" i="83"/>
  <c r="AG30" i="84"/>
  <c r="AB5" i="84"/>
  <c r="AE51" i="83"/>
  <c r="AB36" i="83"/>
  <c r="AA3" i="84"/>
  <c r="Z31" i="86"/>
  <c r="AD23" i="85"/>
  <c r="T23" i="81" a="1"/>
  <c r="W15" i="84"/>
  <c r="AE33" i="83"/>
  <c r="X23" i="85"/>
  <c r="W23" i="85"/>
  <c r="M3" i="86"/>
  <c r="AG30" i="86"/>
  <c r="AF52" i="84"/>
  <c r="AB48" i="85"/>
  <c r="U6" i="84"/>
  <c r="T6" i="85"/>
  <c r="AD20" i="85"/>
  <c r="AB51" i="85"/>
  <c r="AC20" i="85"/>
  <c r="J17" i="84"/>
  <c r="X41" i="86"/>
  <c r="AB40" i="82"/>
  <c r="AF29" i="83"/>
  <c r="N3" i="81"/>
  <c r="AG20" i="82"/>
  <c r="X43" i="83"/>
  <c r="V5" i="82"/>
  <c r="AF50" i="86"/>
  <c r="J2" i="85"/>
  <c r="Y54" i="85"/>
  <c r="U25" i="86"/>
  <c r="Z16" i="86"/>
  <c r="W26" i="86"/>
  <c r="AB33" i="84"/>
  <c r="AB3" i="84"/>
  <c r="W51" i="84"/>
  <c r="AE5" i="86"/>
  <c r="AC34" i="86"/>
  <c r="AA48" i="84"/>
  <c r="Z39" i="86"/>
  <c r="W44" i="85"/>
  <c r="W53" i="82"/>
  <c r="AA2" i="81"/>
  <c r="Y52" i="83"/>
  <c r="AF24" i="83"/>
  <c r="AC51" i="83"/>
  <c r="AB41" i="85"/>
  <c r="R5" i="82"/>
  <c r="AA29" i="82"/>
  <c r="AC17" i="82"/>
  <c r="AC5" i="83"/>
  <c r="Z27" i="85"/>
  <c r="S6" i="84"/>
  <c r="U2" i="84"/>
  <c r="AE25" i="83"/>
  <c r="AF30" i="85"/>
  <c r="U18" i="85"/>
  <c r="AE52" i="82"/>
  <c r="AA43" i="86"/>
  <c r="N2" i="85"/>
  <c r="V3" i="85"/>
  <c r="AD18" i="84"/>
  <c r="AA6" i="83"/>
  <c r="AE33" i="84"/>
  <c r="V6" i="85"/>
  <c r="Z22" i="84"/>
  <c r="AB46" i="83"/>
  <c r="Z55" i="84"/>
  <c r="AD40" i="84"/>
  <c r="AG34" i="84"/>
  <c r="Y30" i="86"/>
  <c r="Z44" i="83"/>
  <c r="AA53" i="83"/>
  <c r="AB34" i="84"/>
  <c r="AA2" i="85"/>
  <c r="W25" i="82"/>
  <c r="Z18" i="83"/>
  <c r="T36" i="81" a="1"/>
  <c r="Z41" i="85"/>
  <c r="AB3" i="83"/>
  <c r="AE53" i="82"/>
  <c r="K5" i="82"/>
  <c r="X48" i="83"/>
  <c r="T2" i="84"/>
  <c r="X50" i="83"/>
  <c r="Z30" i="82"/>
  <c r="W6" i="84"/>
  <c r="AA19" i="85"/>
  <c r="W36" i="86"/>
  <c r="K5" i="81"/>
  <c r="J3" i="82"/>
  <c r="Z43" i="85"/>
  <c r="O5" i="82"/>
  <c r="AA24" i="82"/>
  <c r="AG24" i="84"/>
  <c r="Y16" i="86"/>
  <c r="U40" i="84"/>
  <c r="AE30" i="83"/>
  <c r="W2" i="83"/>
  <c r="AE17" i="84"/>
  <c r="AE6" i="81"/>
  <c r="AA17" i="86"/>
  <c r="T30" i="81" a="1"/>
  <c r="AA20" i="85"/>
  <c r="AD37" i="86"/>
  <c r="AA51" i="83"/>
  <c r="AG40" i="86"/>
  <c r="M6" i="82"/>
  <c r="Z55" i="86"/>
  <c r="Z52" i="83"/>
  <c r="W33" i="84"/>
  <c r="AD5" i="86"/>
  <c r="N5" i="85"/>
  <c r="AC31" i="85"/>
  <c r="Z50" i="86"/>
  <c r="W55" i="84"/>
  <c r="AF47" i="81" a="1"/>
  <c r="AC55" i="86"/>
  <c r="AE6" i="83"/>
  <c r="AG38" i="85"/>
  <c r="AF38" i="84"/>
  <c r="U27" i="82"/>
  <c r="Y46" i="84"/>
  <c r="Z6" i="85"/>
  <c r="AE6" i="82"/>
  <c r="AC24" i="81" a="1"/>
  <c r="W23" i="82"/>
  <c r="AF19" i="82"/>
  <c r="N6" i="83"/>
  <c r="AD18" i="82"/>
  <c r="AE43" i="85"/>
  <c r="AB48" i="86"/>
  <c r="U6" i="82"/>
  <c r="U18" i="86"/>
  <c r="R5" i="86"/>
  <c r="U26" i="85"/>
  <c r="U34" i="83"/>
  <c r="AA26" i="84"/>
  <c r="AG23" i="85"/>
  <c r="Y45" i="84"/>
  <c r="Z6" i="82"/>
  <c r="T18" i="81" a="1"/>
  <c r="U36" i="85"/>
  <c r="AA43" i="84"/>
  <c r="AD6" i="81"/>
  <c r="AD20" i="86"/>
  <c r="AE44" i="82"/>
  <c r="AB33" i="86"/>
  <c r="L5" i="83"/>
  <c r="AB32" i="82"/>
  <c r="AD3" i="85"/>
  <c r="U5" i="84"/>
  <c r="AD53" i="84"/>
  <c r="AE52" i="86"/>
  <c r="Z39" i="84"/>
  <c r="Y34" i="83"/>
  <c r="AB55" i="85"/>
  <c r="AB29" i="83"/>
  <c r="AG16" i="86"/>
  <c r="Y31" i="85"/>
  <c r="O3" i="83"/>
  <c r="AE5" i="83"/>
  <c r="AB43" i="85"/>
  <c r="U53" i="84"/>
  <c r="AF38" i="86"/>
  <c r="AA41" i="84"/>
  <c r="Z53" i="84"/>
  <c r="Y34" i="86"/>
  <c r="Z5" i="86"/>
  <c r="W25" i="85"/>
  <c r="AA38" i="85"/>
  <c r="AA46" i="85"/>
  <c r="T37" i="81" a="1"/>
  <c r="Y46" i="86"/>
  <c r="AF18" i="82"/>
  <c r="Y38" i="82"/>
  <c r="AF40" i="85"/>
  <c r="M3" i="81"/>
  <c r="AC6" i="82"/>
  <c r="X44" i="85"/>
  <c r="AD16" i="84"/>
  <c r="AG24" i="85"/>
  <c r="U5" i="83"/>
  <c r="AD50" i="82"/>
  <c r="AA6" i="84"/>
  <c r="AF53" i="84"/>
  <c r="AG15" i="86"/>
  <c r="AD36" i="84"/>
  <c r="AC6" i="85"/>
  <c r="AB52" i="83"/>
  <c r="Z33" i="84"/>
  <c r="AE43" i="83"/>
  <c r="L5" i="81"/>
  <c r="Y36" i="86"/>
  <c r="X31" i="85"/>
  <c r="Y50" i="84"/>
  <c r="T5" i="86"/>
  <c r="AF15" i="84"/>
  <c r="Y41" i="82"/>
  <c r="AD27" i="85"/>
  <c r="W50" i="83"/>
  <c r="AA25" i="85"/>
  <c r="AF33" i="86"/>
  <c r="H17" i="84"/>
  <c r="U34" i="86"/>
  <c r="AG39" i="84"/>
  <c r="W36" i="85"/>
  <c r="S5" i="81"/>
  <c r="W32" i="83"/>
  <c r="AD27" i="84"/>
  <c r="W18" i="84"/>
  <c r="AD52" i="84"/>
  <c r="AF15" i="86"/>
  <c r="X45" i="86"/>
  <c r="AE48" i="85"/>
  <c r="AA47" i="83"/>
  <c r="AE29" i="85"/>
  <c r="S5" i="82"/>
  <c r="AB6" i="84"/>
  <c r="Z18" i="85"/>
  <c r="W31" i="83"/>
  <c r="AC46" i="86"/>
  <c r="AE51" i="86"/>
  <c r="L2" i="81"/>
  <c r="U45" i="84"/>
  <c r="W52" i="84"/>
  <c r="D17" i="84"/>
  <c r="AC29" i="84"/>
  <c r="AB34" i="86"/>
  <c r="M5" i="84"/>
  <c r="X41" i="82"/>
  <c r="AE2" i="82"/>
  <c r="Z51" i="82"/>
  <c r="O5" i="81"/>
  <c r="AF29" i="84"/>
  <c r="AE31" i="83"/>
  <c r="Z30" i="86"/>
  <c r="AC19" i="86"/>
  <c r="AE44" i="83"/>
  <c r="O2" i="85"/>
  <c r="R5" i="84"/>
  <c r="AF51" i="82"/>
  <c r="Z44" i="82"/>
  <c r="AA15" i="82"/>
  <c r="X48" i="84"/>
  <c r="Y31" i="83"/>
  <c r="W55" i="82"/>
  <c r="AE17" i="83"/>
  <c r="U26" i="84"/>
  <c r="AB53" i="85"/>
  <c r="AA17" i="84"/>
  <c r="AF24" i="82"/>
  <c r="U31" i="86"/>
  <c r="U20" i="85"/>
  <c r="X53" i="84"/>
  <c r="U51" i="84"/>
  <c r="AE23" i="85"/>
  <c r="X47" i="84"/>
  <c r="AD33" i="81" a="1"/>
  <c r="T43" i="81" a="1"/>
  <c r="W23" i="83"/>
  <c r="Z2" i="81"/>
  <c r="AB55" i="82"/>
  <c r="X23" i="82"/>
  <c r="AC27" i="81" a="1"/>
  <c r="L5" i="84"/>
  <c r="AA40" i="86"/>
  <c r="AC30" i="83"/>
  <c r="AB41" i="82"/>
  <c r="Z25" i="82"/>
  <c r="AE17" i="82"/>
  <c r="AA36" i="84"/>
  <c r="W51" i="83"/>
  <c r="AE55" i="83"/>
  <c r="U44" i="85"/>
  <c r="T20" i="81" a="1"/>
  <c r="AF24" i="84"/>
  <c r="AC5" i="82"/>
  <c r="X52" i="86"/>
  <c r="W2" i="85"/>
  <c r="R6" i="85"/>
  <c r="Z54" i="84"/>
  <c r="AC16" i="82"/>
  <c r="AC36" i="84"/>
  <c r="O6" i="82"/>
  <c r="AA43" i="85"/>
  <c r="K3" i="83"/>
  <c r="R2" i="86"/>
  <c r="AD17" i="86"/>
  <c r="AB5" i="83"/>
  <c r="X23" i="86"/>
  <c r="AG32" i="85"/>
  <c r="AG16" i="83"/>
  <c r="X22" i="86"/>
  <c r="V2" i="84"/>
  <c r="AB41" i="84"/>
  <c r="W41" i="82"/>
  <c r="AA3" i="82"/>
  <c r="T51" i="81" a="1"/>
  <c r="W20" i="82"/>
  <c r="Z25" i="86"/>
  <c r="AA31" i="85"/>
  <c r="U16" i="82"/>
  <c r="AB44" i="83"/>
  <c r="U39" i="83"/>
  <c r="Y45" i="82"/>
  <c r="AD46" i="83"/>
  <c r="AG26" i="86"/>
  <c r="S6" i="81"/>
  <c r="AB6" i="81"/>
  <c r="AB46" i="84"/>
  <c r="AA19" i="82"/>
  <c r="AA32" i="86"/>
  <c r="AD52" i="86"/>
  <c r="AE45" i="84"/>
  <c r="AB5" i="82"/>
  <c r="W48" i="85"/>
  <c r="AB45" i="82"/>
  <c r="AG19" i="83"/>
  <c r="U46" i="85"/>
  <c r="AF52" i="82"/>
  <c r="AF36" i="84"/>
  <c r="Y44" i="85"/>
  <c r="U34" i="84"/>
  <c r="AF45" i="81" a="1"/>
  <c r="AE26" i="83"/>
  <c r="AA38" i="86"/>
  <c r="AB52" i="84"/>
  <c r="X30" i="85"/>
  <c r="U51" i="83"/>
  <c r="AA55" i="86"/>
  <c r="U43" i="84"/>
  <c r="AB45" i="83"/>
  <c r="U5" i="85"/>
  <c r="AC55" i="82"/>
  <c r="W6" i="85"/>
  <c r="U53" i="83"/>
  <c r="W45" i="86"/>
  <c r="AD48" i="85"/>
  <c r="Y38" i="84"/>
  <c r="AE26" i="82"/>
  <c r="L2" i="86"/>
  <c r="AD46" i="82"/>
  <c r="Z31" i="82"/>
  <c r="X41" i="83"/>
  <c r="Z47" i="86"/>
  <c r="AA5" i="83"/>
  <c r="X22" i="83"/>
  <c r="W27" i="82"/>
  <c r="T34" i="81" a="1"/>
  <c r="AE27" i="84"/>
  <c r="AA5" i="82"/>
  <c r="Y43" i="85"/>
  <c r="AA50" i="82"/>
  <c r="U51" i="85"/>
  <c r="AE16" i="83"/>
  <c r="U39" i="86"/>
  <c r="Z5" i="81"/>
  <c r="AC45" i="83"/>
  <c r="X52" i="84"/>
  <c r="Z17" i="85"/>
  <c r="AA38" i="82"/>
  <c r="T33" i="81" a="1"/>
  <c r="AG24" i="86"/>
  <c r="W19" i="84"/>
  <c r="AA47" i="84"/>
  <c r="AE24" i="84"/>
  <c r="AF31" i="84"/>
  <c r="V2" i="82"/>
  <c r="Z46" i="86"/>
  <c r="Z45" i="86"/>
  <c r="X24" i="86"/>
  <c r="AA40" i="83"/>
  <c r="I17" i="84"/>
  <c r="AC51" i="86"/>
  <c r="AF39" i="82"/>
  <c r="U18" i="82"/>
  <c r="AE3" i="83"/>
  <c r="W48" i="83"/>
  <c r="AB6" i="85"/>
  <c r="AE33" i="86"/>
  <c r="AA30" i="84"/>
  <c r="Y55" i="83"/>
  <c r="W26" i="84"/>
  <c r="AD5" i="82"/>
  <c r="Z2" i="82"/>
  <c r="AA5" i="86"/>
  <c r="U16" i="85"/>
  <c r="R5" i="85"/>
  <c r="AA50" i="85"/>
  <c r="L2" i="85"/>
  <c r="X16" i="85"/>
  <c r="M3" i="84"/>
  <c r="W55" i="83"/>
  <c r="AE46" i="82"/>
  <c r="AB24" i="83"/>
  <c r="T5" i="82"/>
  <c r="AA18" i="83"/>
  <c r="AA53" i="85"/>
  <c r="AE37" i="81" a="1"/>
  <c r="Y32" i="86"/>
  <c r="AC45" i="85"/>
  <c r="AE19" i="83"/>
  <c r="Z33" i="82"/>
  <c r="Y44" i="84"/>
  <c r="AB29" i="82"/>
  <c r="AA2" i="86"/>
  <c r="AG46" i="82"/>
  <c r="X41" i="85"/>
  <c r="T50" i="81" a="1"/>
  <c r="U2" i="82"/>
  <c r="AG38" i="82"/>
  <c r="Y53" i="83"/>
  <c r="S6" i="83"/>
  <c r="AA6" i="86"/>
  <c r="AG27" i="84"/>
  <c r="Y31" i="82"/>
  <c r="W23" i="86"/>
  <c r="AC38" i="83"/>
  <c r="AC48" i="84"/>
  <c r="X17" i="82"/>
  <c r="Y40" i="85"/>
  <c r="Z2" i="83"/>
  <c r="J2" i="86"/>
  <c r="Y16" i="82"/>
  <c r="U6" i="85"/>
  <c r="AC31" i="82"/>
  <c r="Y54" i="84"/>
  <c r="O6" i="84"/>
  <c r="T44" i="81" a="1"/>
  <c r="AC34" i="85"/>
  <c r="N6" i="82"/>
  <c r="AG47" i="85"/>
  <c r="AA24" i="85"/>
  <c r="AB39" i="86"/>
  <c r="AE46" i="83"/>
  <c r="AA45" i="82"/>
  <c r="M2" i="84"/>
  <c r="AA27" i="85"/>
  <c r="X55" i="83"/>
  <c r="Z32" i="86"/>
  <c r="W40" i="82"/>
  <c r="T45" i="81" a="1"/>
  <c r="AF32" i="86"/>
  <c r="N3" i="85"/>
  <c r="AA34" i="84"/>
  <c r="S2" i="82"/>
  <c r="AA30" i="85"/>
  <c r="Y40" i="83"/>
  <c r="Z45" i="85"/>
  <c r="K6" i="85"/>
  <c r="AE48" i="83"/>
  <c r="AA52" i="82"/>
  <c r="AA20" i="83"/>
  <c r="Z2" i="85"/>
  <c r="AA16" i="85"/>
  <c r="Y32" i="84"/>
  <c r="Y27" i="83"/>
  <c r="Z6" i="84"/>
  <c r="AD3" i="83"/>
  <c r="T3" i="82"/>
  <c r="Z19" i="85"/>
  <c r="AE3" i="85"/>
  <c r="AC40" i="84"/>
  <c r="U31" i="84"/>
  <c r="AE41" i="81" a="1"/>
  <c r="T3" i="81"/>
  <c r="T2" i="86"/>
  <c r="AC54" i="86"/>
  <c r="AG47" i="84"/>
  <c r="J6" i="85"/>
  <c r="Z55" i="83"/>
  <c r="T19" i="81" a="1"/>
  <c r="U36" i="83"/>
  <c r="X40" i="85"/>
  <c r="AF15" i="82"/>
  <c r="AB45" i="84"/>
  <c r="W37" i="83"/>
  <c r="W20" i="86"/>
  <c r="AF34" i="86"/>
  <c r="AG26" i="85"/>
  <c r="U24" i="82"/>
  <c r="X37" i="84"/>
  <c r="V6" i="82"/>
  <c r="Y37" i="84"/>
  <c r="X48" i="85"/>
  <c r="U45" i="82"/>
  <c r="AD26" i="83"/>
  <c r="AF19" i="84"/>
  <c r="AD20" i="83"/>
  <c r="AA23" i="83"/>
  <c r="AD2" i="83"/>
  <c r="AD36" i="83"/>
  <c r="AG23" i="83"/>
  <c r="AB26" i="83"/>
  <c r="X15" i="83"/>
  <c r="L48" i="86"/>
  <c r="X17" i="86"/>
  <c r="AA44" i="83"/>
  <c r="AD15" i="86"/>
  <c r="AE50" i="82"/>
  <c r="AG15" i="82"/>
  <c r="Y47" i="84"/>
  <c r="Z30" i="84"/>
  <c r="AA27" i="84"/>
  <c r="R6" i="82"/>
  <c r="P17" i="84"/>
  <c r="L2" i="82"/>
  <c r="Y47" i="85"/>
  <c r="AC2" i="82"/>
  <c r="O34" i="83"/>
  <c r="Y18" i="83"/>
  <c r="AF51" i="83"/>
  <c r="Z37" i="82"/>
  <c r="Z18" i="86"/>
  <c r="T24" i="81" a="1"/>
  <c r="K2" i="85"/>
  <c r="Y51" i="86"/>
  <c r="AE47" i="86"/>
  <c r="AC18" i="83"/>
  <c r="AF53" i="86"/>
  <c r="AA43" i="82"/>
  <c r="AG39" i="83"/>
  <c r="W22" i="85"/>
  <c r="AG41" i="84"/>
  <c r="AF38" i="82"/>
  <c r="AF51" i="85"/>
  <c r="Z6" i="83"/>
  <c r="AB5" i="86"/>
  <c r="Z19" i="82"/>
  <c r="AG26" i="84"/>
  <c r="AD34" i="81" a="1"/>
  <c r="Y25" i="82"/>
  <c r="AG31" i="83"/>
  <c r="T39" i="81" a="1"/>
  <c r="AA38" i="83"/>
  <c r="AE53" i="86"/>
  <c r="U33" i="85"/>
  <c r="AA40" i="85"/>
  <c r="W41" i="84"/>
  <c r="P34" i="83"/>
  <c r="AF15" i="85"/>
  <c r="AD3" i="86"/>
  <c r="W46" i="82"/>
  <c r="AD45" i="83"/>
  <c r="AB54" i="84"/>
  <c r="Y36" i="82"/>
  <c r="R3" i="85"/>
  <c r="AA41" i="83"/>
  <c r="Y34" i="85"/>
  <c r="AD19" i="82"/>
  <c r="Y19" i="84"/>
  <c r="AF41" i="83"/>
  <c r="L5" i="82"/>
  <c r="K2" i="81"/>
  <c r="W29" i="84"/>
  <c r="U50" i="83"/>
  <c r="N3" i="83"/>
  <c r="AF55" i="83"/>
  <c r="J2" i="83"/>
  <c r="M5" i="81"/>
  <c r="AC5" i="84"/>
  <c r="AC45" i="86"/>
  <c r="AG34" i="83"/>
  <c r="Z27" i="84"/>
  <c r="AE47" i="85"/>
  <c r="M2" i="82"/>
  <c r="AG15" i="83"/>
  <c r="L3" i="82"/>
  <c r="R2" i="84"/>
  <c r="T55" i="81" a="1"/>
  <c r="W24" i="83"/>
  <c r="AD24" i="82"/>
  <c r="AB45" i="86"/>
  <c r="W5" i="85"/>
  <c r="AA29" i="86"/>
  <c r="R2" i="85"/>
  <c r="R6" i="81"/>
  <c r="U32" i="82"/>
  <c r="Y52" i="86"/>
  <c r="T31" i="81" a="1"/>
  <c r="R6" i="83"/>
  <c r="W53" i="83"/>
  <c r="K3" i="85"/>
  <c r="O2" i="82"/>
  <c r="AB53" i="83"/>
  <c r="J5" i="82"/>
  <c r="D34" i="83"/>
  <c r="Z34" i="84"/>
  <c r="AD18" i="85"/>
  <c r="W54" i="84"/>
  <c r="AF32" i="82"/>
  <c r="X34" i="86"/>
  <c r="S6" i="82"/>
  <c r="X38" i="84"/>
  <c r="AF31" i="85"/>
  <c r="W22" i="84"/>
  <c r="AG20" i="83"/>
  <c r="W43" i="83"/>
  <c r="K3" i="84"/>
  <c r="X38" i="85"/>
  <c r="W50" i="86"/>
  <c r="AC23" i="81" a="1"/>
  <c r="AD23" i="84"/>
  <c r="AG41" i="86"/>
  <c r="AB22" i="86"/>
  <c r="R2" i="81"/>
  <c r="AB2" i="83"/>
  <c r="AD25" i="84"/>
  <c r="S2" i="83"/>
  <c r="J5" i="86"/>
  <c r="AD19" i="83"/>
  <c r="AD18" i="83"/>
  <c r="AG46" i="84"/>
  <c r="AC20" i="83"/>
  <c r="Z50" i="82"/>
  <c r="U36" i="86"/>
  <c r="G48" i="86"/>
  <c r="X32" i="82"/>
  <c r="K6" i="81" a="1"/>
  <c r="V5" i="86"/>
  <c r="W16" i="84"/>
  <c r="AG26" i="82"/>
  <c r="X43" i="84"/>
  <c r="M2" i="85"/>
  <c r="Y39" i="86"/>
  <c r="V3" i="86"/>
  <c r="U17" i="84"/>
  <c r="AB15" i="81" a="1"/>
  <c r="AG16" i="82"/>
  <c r="W53" i="85"/>
  <c r="Y29" i="86"/>
  <c r="T2" i="83"/>
  <c r="AD5" i="83"/>
  <c r="AC5" i="81"/>
  <c r="X50" i="82"/>
  <c r="U32" i="86"/>
  <c r="Y37" i="83"/>
  <c r="M6" i="81" a="1"/>
  <c r="AA23" i="82"/>
  <c r="M5" i="85"/>
  <c r="AA30" i="86"/>
  <c r="AE30" i="82"/>
  <c r="AC44" i="85"/>
  <c r="Z31" i="84"/>
  <c r="T54" i="81" a="1"/>
  <c r="Y32" i="83"/>
  <c r="T3" i="86"/>
  <c r="Y27" i="84"/>
  <c r="Y19" i="82"/>
  <c r="Y50" i="82"/>
  <c r="T15" i="81" a="1"/>
  <c r="N3" i="82"/>
  <c r="X48" i="86"/>
  <c r="AB18" i="81" a="1"/>
  <c r="AC51" i="85"/>
  <c r="W38" i="86"/>
  <c r="X27" i="85"/>
  <c r="M5" i="83"/>
  <c r="AG40" i="82"/>
  <c r="X32" i="83"/>
  <c r="U52" i="83"/>
  <c r="Y32" i="85"/>
  <c r="W6" i="81"/>
  <c r="H34" i="83"/>
  <c r="U44" i="82"/>
  <c r="X29" i="84"/>
  <c r="W6" i="82"/>
  <c r="Y30" i="85"/>
  <c r="AG22" i="83"/>
  <c r="AC40" i="82"/>
  <c r="Y37" i="85"/>
  <c r="M3" i="85"/>
  <c r="AA53" i="84"/>
  <c r="AG16" i="85"/>
  <c r="AC36" i="85"/>
  <c r="AE30" i="85"/>
  <c r="U2" i="85"/>
  <c r="AB38" i="85"/>
  <c r="X43" i="82"/>
  <c r="S5" i="84"/>
  <c r="Y17" i="82"/>
  <c r="AD47" i="83"/>
  <c r="X53" i="82"/>
  <c r="Y43" i="83"/>
  <c r="W5" i="86"/>
  <c r="AD31" i="81" a="1"/>
  <c r="AA40" i="84"/>
  <c r="P48" i="86"/>
  <c r="AE19" i="82"/>
  <c r="Z3" i="83"/>
  <c r="AD55" i="86"/>
  <c r="V2" i="81"/>
  <c r="AG19" i="86"/>
  <c r="T5" i="83"/>
  <c r="AE45" i="82"/>
  <c r="W3" i="83"/>
  <c r="U3" i="82"/>
  <c r="W48" i="86"/>
  <c r="N2" i="84"/>
  <c r="T6" i="86"/>
  <c r="AC55" i="83"/>
  <c r="Y29" i="85"/>
  <c r="J6" i="90"/>
  <c r="AB48" i="84"/>
  <c r="W26" i="82"/>
  <c r="AC3" i="86"/>
  <c r="AC44" i="86"/>
  <c r="AF50" i="83"/>
  <c r="AC52" i="84"/>
  <c r="X40" i="83"/>
  <c r="AE29" i="84"/>
  <c r="AC2" i="83"/>
  <c r="S5" i="86"/>
  <c r="X46" i="85"/>
  <c r="AA3" i="83"/>
  <c r="AE2" i="81"/>
  <c r="X51" i="84"/>
  <c r="Z40" i="84"/>
  <c r="X26" i="84"/>
  <c r="L5" i="85"/>
  <c r="U17" i="86"/>
  <c r="L3" i="83"/>
  <c r="T6" i="84"/>
  <c r="L6" i="81" a="1"/>
  <c r="AD41" i="83"/>
  <c r="Z15" i="83"/>
  <c r="AC31" i="83"/>
  <c r="V3" i="82"/>
  <c r="AD32" i="81" a="1"/>
  <c r="AB38" i="82"/>
  <c r="T17" i="81" a="1"/>
  <c r="W2" i="86"/>
  <c r="AA44" i="84"/>
  <c r="AA39" i="82"/>
  <c r="Y46" i="85"/>
  <c r="M17" i="84"/>
  <c r="AE6" i="84"/>
  <c r="Z48" i="86"/>
  <c r="AE15" i="85"/>
  <c r="W34" i="84"/>
  <c r="O2" i="84"/>
  <c r="AE39" i="81" a="1"/>
  <c r="AG30" i="82"/>
  <c r="K17" i="84"/>
  <c r="AF20" i="84"/>
  <c r="AE22" i="83"/>
  <c r="AB54" i="86"/>
  <c r="AD55" i="85"/>
  <c r="Y26" i="85"/>
  <c r="T29" i="81" a="1"/>
  <c r="S3" i="81"/>
  <c r="AA26" i="85"/>
  <c r="AF26" i="82"/>
  <c r="AD36" i="82"/>
  <c r="W24" i="84"/>
  <c r="W16" i="83"/>
  <c r="V5" i="85"/>
  <c r="Z32" i="84"/>
  <c r="AG22" i="85"/>
  <c r="O6" i="83"/>
  <c r="U2" i="86"/>
  <c r="U29" i="82"/>
  <c r="N5" i="83"/>
  <c r="V2" i="85"/>
  <c r="U2" i="83"/>
  <c r="Z32" i="83"/>
  <c r="U33" i="84"/>
  <c r="AA22" i="82"/>
  <c r="AC22" i="81" a="1"/>
  <c r="AC19" i="82"/>
  <c r="O5" i="83"/>
  <c r="AC38" i="85"/>
  <c r="Z40" i="83"/>
  <c r="K3" i="82"/>
  <c r="L34" i="83"/>
  <c r="R3" i="82"/>
  <c r="Y15" i="86"/>
  <c r="AA36" i="85"/>
  <c r="AA54" i="86"/>
  <c r="X33" i="86"/>
  <c r="AB3" i="82"/>
  <c r="AB43" i="82"/>
  <c r="L2" i="84"/>
  <c r="W19" i="82"/>
  <c r="L17" i="84"/>
  <c r="AD43" i="82"/>
  <c r="Z41" i="86"/>
  <c r="Y52" i="82"/>
  <c r="AA15" i="84"/>
  <c r="O6" i="81" a="1"/>
  <c r="AE15" i="86"/>
  <c r="AA24" i="84"/>
  <c r="N2" i="82"/>
  <c r="AD53" i="83"/>
  <c r="U45" i="83"/>
  <c r="W3" i="85"/>
  <c r="AA46" i="83"/>
  <c r="AD3" i="82"/>
  <c r="U36" i="84"/>
  <c r="AD55" i="82"/>
  <c r="AE5" i="82"/>
  <c r="AF27" i="84"/>
  <c r="AG30" i="85"/>
  <c r="AD2" i="84"/>
  <c r="AA37" i="86"/>
  <c r="AG18" i="84"/>
  <c r="AA3" i="86"/>
  <c r="Y23" i="86"/>
  <c r="AC44" i="84"/>
  <c r="AF20" i="86"/>
  <c r="M6" i="84"/>
  <c r="W33" i="82"/>
  <c r="X16" i="84"/>
  <c r="X25" i="82"/>
  <c r="U22" i="85"/>
  <c r="AE17" i="85"/>
  <c r="AE55" i="86"/>
  <c r="AA46" i="82"/>
  <c r="J5" i="81"/>
  <c r="AE2" i="85"/>
  <c r="AG38" i="84"/>
  <c r="U3" i="86"/>
  <c r="J5" i="83"/>
  <c r="AB27" i="82"/>
  <c r="AF18" i="85"/>
  <c r="AA33" i="85"/>
  <c r="AF37" i="86"/>
  <c r="X31" i="84"/>
  <c r="W46" i="85"/>
  <c r="Y55" i="84"/>
  <c r="U27" i="86"/>
  <c r="Y27" i="85"/>
  <c r="W54" i="86"/>
  <c r="AD51" i="83"/>
  <c r="AB40" i="85"/>
  <c r="AA45" i="86"/>
  <c r="AG38" i="83"/>
  <c r="W36" i="83"/>
  <c r="S3" i="84"/>
  <c r="X29" i="82"/>
  <c r="AC51" i="84"/>
  <c r="Y39" i="82"/>
  <c r="AB31" i="84"/>
  <c r="AB25" i="83"/>
  <c r="AC30" i="86"/>
  <c r="AA39" i="85"/>
  <c r="AD19" i="84"/>
  <c r="W23" i="84"/>
  <c r="U15" i="83"/>
  <c r="U27" i="83"/>
  <c r="Y48" i="86"/>
  <c r="AF30" i="86"/>
  <c r="W29" i="83"/>
  <c r="AA24" i="86"/>
  <c r="Z15" i="86"/>
  <c r="X27" i="82"/>
  <c r="S6" i="86"/>
  <c r="Y18" i="84"/>
  <c r="X30" i="83"/>
  <c r="AE22" i="84"/>
  <c r="AB44" i="84"/>
  <c r="AD2" i="85"/>
  <c r="AE24" i="82"/>
  <c r="AD51" i="86"/>
  <c r="Z46" i="82"/>
  <c r="U38" i="84"/>
  <c r="AB50" i="82"/>
  <c r="U34" i="85"/>
  <c r="AD17" i="84"/>
  <c r="U38" i="83"/>
  <c r="AC54" i="84"/>
  <c r="U19" i="85"/>
  <c r="AE25" i="82"/>
  <c r="AA37" i="82"/>
  <c r="AA5" i="81"/>
  <c r="T25" i="81" a="1"/>
  <c r="X29" i="86"/>
  <c r="X18" i="85"/>
  <c r="X44" i="83"/>
  <c r="AF23" i="83"/>
  <c r="AG46" i="85"/>
  <c r="Y20" i="83"/>
  <c r="N3" i="86"/>
  <c r="Z31" i="83"/>
  <c r="AG25" i="85"/>
  <c r="L3" i="86"/>
  <c r="AG17" i="82"/>
  <c r="AE25" i="84"/>
  <c r="Y32" i="82"/>
  <c r="AF18" i="83"/>
  <c r="Y52" i="84"/>
  <c r="AC55" i="85"/>
  <c r="W3" i="82"/>
  <c r="AE5" i="85"/>
  <c r="T6" i="81"/>
  <c r="K5" i="83"/>
  <c r="AB20" i="81" a="1"/>
  <c r="AC33" i="83"/>
  <c r="AG22" i="84"/>
  <c r="U47" i="84"/>
  <c r="J3" i="84"/>
  <c r="AE31" i="82"/>
  <c r="W16" i="82"/>
  <c r="U33" i="86"/>
  <c r="AC37" i="82"/>
  <c r="U50" i="84"/>
  <c r="AD2" i="82"/>
  <c r="AB31" i="82"/>
  <c r="Y29" i="84"/>
  <c r="V2" i="83"/>
  <c r="X46" i="83"/>
  <c r="AC41" i="84"/>
  <c r="Y47" i="86"/>
  <c r="AD29" i="81" a="1"/>
  <c r="S3" i="85"/>
  <c r="Z20" i="82"/>
  <c r="Z5" i="83"/>
  <c r="Y20" i="84"/>
  <c r="AC18" i="86"/>
  <c r="Z36" i="86"/>
  <c r="AB26" i="84"/>
  <c r="AA17" i="82"/>
  <c r="S2" i="86"/>
  <c r="AA26" i="86"/>
  <c r="Y54" i="82"/>
  <c r="AA16" i="82"/>
  <c r="M6" i="83"/>
  <c r="W2" i="84"/>
  <c r="L6" i="83"/>
  <c r="AB39" i="84"/>
  <c r="AG31" i="86"/>
  <c r="X19" i="84"/>
  <c r="O2" i="83"/>
  <c r="W5" i="83"/>
  <c r="Y55" i="85"/>
  <c r="AC45" i="82"/>
  <c r="Z47" i="84"/>
  <c r="AE43" i="84"/>
  <c r="J2" i="84"/>
  <c r="AD15" i="83"/>
  <c r="Y50" i="85"/>
  <c r="AE19" i="85"/>
  <c r="Z19" i="84"/>
  <c r="U15" i="85"/>
  <c r="AC17" i="83"/>
  <c r="X53" i="83"/>
  <c r="O3" i="86"/>
  <c r="X18" i="83"/>
  <c r="AG17" i="85"/>
  <c r="X17" i="84"/>
  <c r="AG17" i="83"/>
  <c r="U22" i="83"/>
  <c r="T41" i="81" a="1"/>
  <c r="Y54" i="86"/>
  <c r="AD2" i="81"/>
  <c r="U48" i="84"/>
  <c r="AB5" i="85"/>
  <c r="U40" i="86"/>
  <c r="W41" i="85"/>
  <c r="V2" i="86"/>
  <c r="W15" i="82"/>
  <c r="AC15" i="82"/>
  <c r="X36" i="85"/>
  <c r="Y36" i="85"/>
  <c r="U2" i="81"/>
  <c r="AE47" i="82"/>
  <c r="W40" i="83"/>
  <c r="Z47" i="83"/>
  <c r="AG37" i="83"/>
  <c r="R6" i="84"/>
  <c r="K48" i="86"/>
  <c r="M5" i="86"/>
  <c r="X55" i="86"/>
  <c r="X48" i="82"/>
  <c r="Y51" i="84"/>
  <c r="K5" i="85"/>
  <c r="AB47" i="82"/>
  <c r="AG27" i="82"/>
  <c r="AA37" i="84"/>
  <c r="N5" i="81"/>
  <c r="X40" i="84"/>
  <c r="AA25" i="86"/>
  <c r="AF37" i="84"/>
  <c r="AB32" i="83"/>
  <c r="Y29" i="83"/>
  <c r="U25" i="85"/>
  <c r="AE2" i="86"/>
  <c r="T26" i="81" a="1"/>
  <c r="X15" i="86"/>
  <c r="Y40" i="82"/>
  <c r="Z26" i="86"/>
  <c r="N34" i="83"/>
  <c r="W47" i="82"/>
  <c r="AG27" i="83"/>
  <c r="W17" i="83"/>
  <c r="Z44" i="85"/>
  <c r="Z43" i="86"/>
  <c r="AA27" i="83"/>
  <c r="J3" i="83"/>
  <c r="AA39" i="86"/>
  <c r="AF52" i="85"/>
  <c r="Y24" i="86"/>
  <c r="X46" i="84"/>
  <c r="AF27" i="83"/>
  <c r="AE29" i="82"/>
  <c r="M2" i="83"/>
  <c r="N2" i="86"/>
  <c r="O3" i="81"/>
  <c r="AD44" i="86"/>
  <c r="AF23" i="82"/>
  <c r="Y51" i="85"/>
  <c r="W44" i="82"/>
  <c r="C50" i="81" l="1"/>
  <c r="C15" i="83"/>
  <c r="T26" i="81"/>
  <c r="C19" i="84"/>
  <c r="T41" i="81"/>
  <c r="C50" i="86"/>
  <c r="C32" i="83"/>
  <c r="C39" i="83"/>
  <c r="C23" i="85"/>
  <c r="AD29" i="81"/>
  <c r="C15" i="84"/>
  <c r="AB20" i="81"/>
  <c r="C33" i="81"/>
  <c r="C51" i="82"/>
  <c r="C29" i="86"/>
  <c r="C43" i="86"/>
  <c r="T25" i="81"/>
  <c r="C26" i="86"/>
  <c r="C23" i="84"/>
  <c r="C37" i="86"/>
  <c r="C39" i="84"/>
  <c r="C24" i="86"/>
  <c r="C45" i="82"/>
  <c r="C51" i="85"/>
  <c r="O6" i="81"/>
  <c r="C53" i="81" s="1"/>
  <c r="C31" i="82"/>
  <c r="C16" i="82"/>
  <c r="C22" i="82"/>
  <c r="AC22" i="81"/>
  <c r="C53" i="83"/>
  <c r="C23" i="81"/>
  <c r="T29" i="81"/>
  <c r="AE39" i="81"/>
  <c r="C55" i="84"/>
  <c r="T17" i="81"/>
  <c r="AD32" i="81"/>
  <c r="C44" i="82"/>
  <c r="L6" i="81"/>
  <c r="C32" i="81" s="1"/>
  <c r="C33" i="84"/>
  <c r="C29" i="83"/>
  <c r="C24" i="83"/>
  <c r="C38" i="86"/>
  <c r="C33" i="86"/>
  <c r="C37" i="82"/>
  <c r="C51" i="83"/>
  <c r="C17" i="83"/>
  <c r="AD31" i="81"/>
  <c r="C36" i="85"/>
  <c r="C54" i="82"/>
  <c r="C54" i="81"/>
  <c r="AB18" i="81"/>
  <c r="C43" i="82"/>
  <c r="T15" i="81"/>
  <c r="C30" i="86"/>
  <c r="T54" i="81"/>
  <c r="M6" i="81"/>
  <c r="C39" i="81" s="1"/>
  <c r="AB15" i="81"/>
  <c r="C44" i="86"/>
  <c r="K6" i="81"/>
  <c r="C25" i="81" s="1"/>
  <c r="AC23" i="81"/>
  <c r="C22" i="84"/>
  <c r="C26" i="82"/>
  <c r="C22" i="85"/>
  <c r="C19" i="83"/>
  <c r="T31" i="81"/>
  <c r="C19" i="81"/>
  <c r="T55" i="81"/>
  <c r="C29" i="82"/>
  <c r="C43" i="83"/>
  <c r="C16" i="85"/>
  <c r="C45" i="86"/>
  <c r="T39" i="81"/>
  <c r="AD34" i="81"/>
  <c r="C20" i="83"/>
  <c r="T24" i="81"/>
  <c r="C19" i="82"/>
  <c r="C47" i="82"/>
  <c r="T19" i="81"/>
  <c r="C18" i="85"/>
  <c r="C30" i="81"/>
  <c r="AE41" i="81"/>
  <c r="C52" i="85"/>
  <c r="C30" i="82"/>
  <c r="C45" i="83"/>
  <c r="C20" i="84"/>
  <c r="C25" i="85"/>
  <c r="C43" i="85"/>
  <c r="T45" i="81"/>
  <c r="C46" i="82"/>
  <c r="T44" i="81"/>
  <c r="C53" i="84"/>
  <c r="C40" i="85"/>
  <c r="C27" i="86"/>
  <c r="C26" i="83"/>
  <c r="T50" i="81"/>
  <c r="AE37" i="81"/>
  <c r="C36" i="84"/>
  <c r="C34" i="85"/>
  <c r="C52" i="83"/>
  <c r="T33" i="81"/>
  <c r="T34" i="81"/>
  <c r="C54" i="85"/>
  <c r="AF45" i="81"/>
  <c r="C34" i="81"/>
  <c r="C26" i="81"/>
  <c r="T51" i="81"/>
  <c r="C24" i="82"/>
  <c r="C22" i="83"/>
  <c r="C53" i="82"/>
  <c r="C19" i="85"/>
  <c r="T20" i="81"/>
  <c r="AC27" i="81"/>
  <c r="T43" i="81"/>
  <c r="AD33" i="81"/>
  <c r="C34" i="84"/>
  <c r="C41" i="85"/>
  <c r="C27" i="84"/>
  <c r="C41" i="82"/>
  <c r="C36" i="81"/>
  <c r="T37" i="81"/>
  <c r="C50" i="83"/>
  <c r="C45" i="85"/>
  <c r="C48" i="81"/>
  <c r="T18" i="81"/>
  <c r="C20" i="82"/>
  <c r="C40" i="82"/>
  <c r="C46" i="83"/>
  <c r="AC24" i="81"/>
  <c r="C55" i="82"/>
  <c r="C20" i="85"/>
  <c r="C55" i="83"/>
  <c r="AF47" i="81"/>
  <c r="C39" i="82"/>
  <c r="T30" i="81"/>
  <c r="C55" i="81"/>
  <c r="C15" i="82"/>
  <c r="C54" i="84"/>
  <c r="C31" i="83"/>
  <c r="T36" i="81"/>
  <c r="C47" i="85"/>
  <c r="C27" i="83"/>
  <c r="C44" i="85"/>
  <c r="C26" i="84"/>
  <c r="C31" i="84"/>
  <c r="C43" i="81"/>
  <c r="C33" i="85"/>
  <c r="C40" i="84"/>
  <c r="C36" i="86"/>
  <c r="T23" i="81"/>
  <c r="C24" i="84"/>
  <c r="C30" i="83"/>
  <c r="C31" i="85"/>
  <c r="C31" i="81"/>
  <c r="C38" i="85"/>
  <c r="C37" i="83"/>
  <c r="T40" i="81"/>
  <c r="C47" i="86"/>
  <c r="C32" i="86"/>
  <c r="C48" i="85"/>
  <c r="C26" i="85"/>
  <c r="AG53" i="81"/>
  <c r="T47" i="81"/>
  <c r="C29" i="84"/>
  <c r="C38" i="81"/>
  <c r="AB16" i="81"/>
  <c r="C37" i="84"/>
  <c r="C23" i="86"/>
  <c r="AE36" i="81"/>
  <c r="C40" i="83"/>
  <c r="C15" i="81"/>
  <c r="AG52" i="81"/>
  <c r="AE40" i="81"/>
  <c r="C18" i="84"/>
  <c r="AF44" i="81"/>
  <c r="C38" i="82"/>
  <c r="C17" i="86"/>
  <c r="AD30" i="81"/>
  <c r="C52" i="86"/>
  <c r="C51" i="84"/>
  <c r="C24" i="81"/>
  <c r="C41" i="84"/>
  <c r="C18" i="86"/>
  <c r="C17" i="81"/>
  <c r="C53" i="85"/>
  <c r="AB19" i="81"/>
  <c r="C18" i="82"/>
  <c r="C44" i="83"/>
  <c r="C55" i="86"/>
  <c r="C16" i="84"/>
  <c r="C46" i="84"/>
  <c r="C51" i="81"/>
  <c r="C41" i="81"/>
  <c r="C41" i="83"/>
  <c r="T52" i="81"/>
  <c r="C18" i="83"/>
  <c r="AF46" i="81"/>
  <c r="C37" i="81"/>
  <c r="C32" i="84"/>
  <c r="C30" i="84"/>
  <c r="C29" i="81"/>
  <c r="C25" i="83"/>
  <c r="C40" i="86"/>
  <c r="C24" i="85"/>
  <c r="C40" i="81"/>
  <c r="C48" i="83"/>
  <c r="C32" i="82"/>
  <c r="AG50" i="81"/>
  <c r="C17" i="82"/>
  <c r="C33" i="83"/>
  <c r="C38" i="84"/>
  <c r="C41" i="86"/>
  <c r="C20" i="81"/>
  <c r="C51" i="86"/>
  <c r="C25" i="84"/>
  <c r="T46" i="81"/>
  <c r="C39" i="85"/>
  <c r="N6" i="81"/>
  <c r="C46" i="81" s="1"/>
  <c r="AC26" i="81"/>
  <c r="C50" i="82"/>
  <c r="C52" i="81"/>
  <c r="C27" i="81"/>
  <c r="AF48" i="81"/>
  <c r="C36" i="82"/>
  <c r="C55" i="85"/>
  <c r="C25" i="82"/>
  <c r="C16" i="83"/>
  <c r="C16" i="81"/>
  <c r="T48" i="81"/>
  <c r="C47" i="83"/>
  <c r="C46" i="86"/>
  <c r="C52" i="84"/>
  <c r="T38" i="81"/>
  <c r="C34" i="86"/>
  <c r="AG55" i="81"/>
  <c r="C19" i="86"/>
  <c r="J6" i="81"/>
  <c r="C18" i="81" s="1"/>
  <c r="C48" i="84"/>
  <c r="C17" i="85"/>
  <c r="C27" i="82"/>
  <c r="T32" i="81"/>
  <c r="C45" i="84"/>
  <c r="C43" i="84"/>
  <c r="C47" i="84"/>
  <c r="C15" i="86"/>
  <c r="AF43" i="81"/>
  <c r="C27" i="85"/>
  <c r="C38" i="83"/>
  <c r="C36" i="83"/>
  <c r="C20" i="86"/>
  <c r="C34" i="82"/>
  <c r="C46" i="85"/>
  <c r="C23" i="83"/>
  <c r="AB17" i="81"/>
  <c r="C30" i="85"/>
  <c r="AG54" i="81"/>
  <c r="C22" i="81"/>
  <c r="C54" i="86"/>
  <c r="C45" i="81"/>
  <c r="T22" i="81"/>
  <c r="C16" i="86"/>
  <c r="C25" i="86"/>
  <c r="C53" i="86"/>
  <c r="C54" i="83"/>
  <c r="C50" i="84"/>
  <c r="C32" i="85"/>
  <c r="AE38" i="81"/>
  <c r="AG51" i="81"/>
  <c r="C31" i="86"/>
  <c r="C47" i="81"/>
  <c r="T27" i="81"/>
  <c r="C15" i="85"/>
  <c r="C44" i="81"/>
  <c r="AC25" i="81"/>
  <c r="C23" i="82"/>
  <c r="C50" i="85"/>
  <c r="C22" i="86"/>
  <c r="C33" i="82"/>
  <c r="C39" i="86"/>
  <c r="C44" i="84"/>
  <c r="T16" i="81"/>
  <c r="C29" i="85"/>
  <c r="C48" i="82"/>
  <c r="C52" i="82"/>
  <c r="T53" i="81"/>
  <c r="C37" i="85"/>
  <c r="V29" i="82"/>
  <c r="V17" i="86"/>
  <c r="G92" i="90" a="1"/>
  <c r="G123" i="90" a="1"/>
  <c r="G52" i="90" a="1"/>
  <c r="G94" i="90" a="1"/>
  <c r="G149" i="90" a="1"/>
  <c r="G118" i="90" a="1"/>
  <c r="G23" i="90" a="1"/>
  <c r="G77" i="90" a="1"/>
  <c r="V52" i="83"/>
  <c r="V36" i="86"/>
  <c r="V24" i="82"/>
  <c r="V34" i="84"/>
  <c r="V44" i="85"/>
  <c r="V34" i="83"/>
  <c r="V20" i="83"/>
  <c r="V29" i="83"/>
  <c r="V15" i="82"/>
  <c r="V25" i="82"/>
  <c r="V38" i="85"/>
  <c r="V40" i="83"/>
  <c r="V22" i="82"/>
  <c r="V45" i="85"/>
  <c r="V19" i="83"/>
  <c r="V36" i="83"/>
  <c r="V19" i="85"/>
  <c r="G39" i="90" a="1"/>
  <c r="G117" i="90" a="1"/>
  <c r="G135" i="90" a="1"/>
  <c r="G143" i="90" a="1"/>
  <c r="G88" i="90" a="1"/>
  <c r="G103" i="90" a="1"/>
  <c r="G95" i="90" a="1"/>
  <c r="G137" i="90" a="1"/>
  <c r="V50" i="83"/>
  <c r="V46" i="85"/>
  <c r="V38" i="83"/>
  <c r="V36" i="84"/>
  <c r="G160" i="90" a="1"/>
  <c r="G150" i="90" a="1"/>
  <c r="G64" i="90" a="1"/>
  <c r="G104" i="90" a="1"/>
  <c r="G93" i="90" a="1"/>
  <c r="G116" i="90" a="1"/>
  <c r="G108" i="90" a="1"/>
  <c r="G22" i="90" a="1"/>
  <c r="V18" i="82"/>
  <c r="V25" i="85"/>
  <c r="V50" i="84"/>
  <c r="V34" i="85"/>
  <c r="G158" i="90" a="1"/>
  <c r="G119" i="90" a="1"/>
  <c r="G146" i="90" a="1"/>
  <c r="G21" i="90" a="1"/>
  <c r="G53" i="90" a="1"/>
  <c r="G163" i="90" a="1"/>
  <c r="G34" i="90" a="1"/>
  <c r="G120" i="90" a="1"/>
  <c r="G63" i="90" a="1"/>
  <c r="V33" i="86"/>
  <c r="V38" i="84"/>
  <c r="G145" i="90" a="1"/>
  <c r="G159" i="90" a="1"/>
  <c r="G102" i="90" a="1"/>
  <c r="G47" i="90" a="1"/>
  <c r="G33" i="90" a="1"/>
  <c r="G36" i="90" a="1"/>
  <c r="G136" i="90" a="1"/>
  <c r="G73" i="90" a="1"/>
  <c r="G162" i="90" a="1"/>
  <c r="E34" i="83"/>
  <c r="V33" i="85"/>
  <c r="V39" i="86"/>
  <c r="V39" i="83"/>
  <c r="V51" i="84"/>
  <c r="V17" i="82"/>
  <c r="V23" i="83"/>
  <c r="V20" i="86"/>
  <c r="V40" i="82"/>
  <c r="V26" i="83"/>
  <c r="V31" i="82"/>
  <c r="V37" i="83"/>
  <c r="V55" i="86"/>
  <c r="V54" i="85"/>
  <c r="V19" i="84"/>
  <c r="V16" i="82"/>
  <c r="V53" i="84"/>
  <c r="V55" i="84"/>
  <c r="V45" i="86"/>
  <c r="V54" i="84"/>
  <c r="V55" i="82"/>
  <c r="V53" i="85"/>
  <c r="V32" i="83"/>
  <c r="V40" i="86"/>
  <c r="V45" i="83"/>
  <c r="G78" i="90" a="1"/>
  <c r="G60" i="90" a="1"/>
  <c r="G164" i="90" a="1"/>
  <c r="G62" i="90" a="1"/>
  <c r="G151" i="90" a="1"/>
  <c r="G132" i="90" a="1"/>
  <c r="G24" i="90" a="1"/>
  <c r="G157" i="90" a="1"/>
  <c r="G74" i="90" a="1"/>
  <c r="V51" i="85"/>
  <c r="V20" i="85"/>
  <c r="V46" i="82"/>
  <c r="V43" i="82"/>
  <c r="V17" i="83"/>
  <c r="V46" i="83"/>
  <c r="V52" i="86"/>
  <c r="V43" i="86"/>
  <c r="V52" i="82"/>
  <c r="V48" i="84"/>
  <c r="V47" i="84"/>
  <c r="V27" i="83"/>
  <c r="G48" i="90" a="1"/>
  <c r="G89" i="90" a="1"/>
  <c r="G81" i="90" a="1"/>
  <c r="G144" i="90" a="1"/>
  <c r="G61" i="90" a="1"/>
  <c r="G31" i="90" a="1"/>
  <c r="G19" i="90" a="1"/>
  <c r="G107" i="90" a="1"/>
  <c r="V31" i="84"/>
  <c r="V31" i="86"/>
  <c r="V18" i="83"/>
  <c r="V33" i="83"/>
  <c r="V47" i="85"/>
  <c r="V51" i="82"/>
  <c r="V50" i="86"/>
  <c r="V44" i="86"/>
  <c r="V39" i="85"/>
  <c r="V32" i="85"/>
  <c r="V55" i="85"/>
  <c r="V51" i="86"/>
  <c r="V37" i="82"/>
  <c r="V27" i="82"/>
  <c r="V48" i="85"/>
  <c r="V27" i="85"/>
  <c r="V30" i="84"/>
  <c r="V23" i="84"/>
  <c r="V18" i="84"/>
  <c r="V15" i="83"/>
  <c r="G65" i="90" a="1"/>
  <c r="G18" i="90" a="1"/>
  <c r="G20" i="90" a="1"/>
  <c r="G131" i="90" a="1"/>
  <c r="G106" i="90" a="1"/>
  <c r="G148" i="90" a="1"/>
  <c r="G75" i="90" a="1"/>
  <c r="G35" i="90" a="1"/>
  <c r="V32" i="86"/>
  <c r="V53" i="83"/>
  <c r="V26" i="84"/>
  <c r="V55" i="83"/>
  <c r="V26" i="82"/>
  <c r="V19" i="86"/>
  <c r="V17" i="85"/>
  <c r="V24" i="83"/>
  <c r="V38" i="86"/>
  <c r="V32" i="82"/>
  <c r="E17" i="84"/>
  <c r="V27" i="84"/>
  <c r="V48" i="82"/>
  <c r="V45" i="84"/>
  <c r="V22" i="83"/>
  <c r="G91" i="90" a="1"/>
  <c r="G32" i="90" a="1"/>
  <c r="G115" i="90" a="1"/>
  <c r="G46" i="90" a="1"/>
  <c r="G50" i="90" a="1"/>
  <c r="G147" i="90" a="1"/>
  <c r="G87" i="90" a="1"/>
  <c r="G130" i="90" a="1"/>
  <c r="V37" i="85"/>
  <c r="V29" i="86"/>
  <c r="V31" i="83"/>
  <c r="V36" i="85"/>
  <c r="V27" i="86"/>
  <c r="G161" i="90" a="1"/>
  <c r="G76" i="90" a="1"/>
  <c r="G133" i="90" a="1"/>
  <c r="G49" i="90" a="1"/>
  <c r="G101" i="90" a="1"/>
  <c r="G38" i="90" a="1"/>
  <c r="G134" i="90" a="1"/>
  <c r="G79" i="90" a="1"/>
  <c r="V17" i="84"/>
  <c r="V43" i="84"/>
  <c r="V15" i="85"/>
  <c r="G109" i="90" a="1"/>
  <c r="G17" i="90" a="1"/>
  <c r="G122" i="90" a="1"/>
  <c r="G90" i="90" a="1"/>
  <c r="G66" i="90" a="1"/>
  <c r="G80" i="90" a="1"/>
  <c r="G25" i="90" a="1"/>
  <c r="G45" i="90" a="1"/>
  <c r="V44" i="82"/>
  <c r="V45" i="82"/>
  <c r="V51" i="83"/>
  <c r="V18" i="85"/>
  <c r="V16" i="86"/>
  <c r="V40" i="85"/>
  <c r="V15" i="86"/>
  <c r="V39" i="84"/>
  <c r="V25" i="84"/>
  <c r="V48" i="83"/>
  <c r="V23" i="85"/>
  <c r="V53" i="82"/>
  <c r="G59" i="90" a="1"/>
  <c r="V16" i="85"/>
  <c r="V22" i="85"/>
  <c r="V33" i="84"/>
  <c r="G51" i="90" a="1"/>
  <c r="G129" i="90" a="1"/>
  <c r="G121" i="90" a="1"/>
  <c r="G37" i="90" a="1"/>
  <c r="G165" i="90" a="1"/>
  <c r="G105" i="90" a="1"/>
  <c r="G67" i="90" a="1"/>
  <c r="V52" i="85"/>
  <c r="V30" i="85"/>
  <c r="V25" i="86"/>
  <c r="V47" i="86"/>
  <c r="V41" i="86"/>
  <c r="V33" i="82"/>
  <c r="V53" i="86"/>
  <c r="V19" i="82"/>
  <c r="V39" i="82"/>
  <c r="V40" i="84"/>
  <c r="V29" i="84"/>
  <c r="V30" i="83"/>
  <c r="V15" i="84"/>
  <c r="V26" i="85"/>
  <c r="V32" i="84"/>
  <c r="V20" i="82"/>
  <c r="V37" i="84"/>
  <c r="V30" i="82"/>
  <c r="V20" i="84"/>
  <c r="V24" i="86"/>
  <c r="V50" i="85"/>
  <c r="V50" i="82"/>
  <c r="V29" i="85"/>
  <c r="V24" i="85"/>
  <c r="E48" i="86"/>
  <c r="V37" i="86"/>
  <c r="V41" i="84"/>
  <c r="V16" i="84"/>
  <c r="V36" i="82"/>
  <c r="V25" i="83"/>
  <c r="V47" i="83"/>
  <c r="V54" i="86"/>
  <c r="V54" i="82"/>
  <c r="V22" i="84"/>
  <c r="V48" i="86"/>
  <c r="V30" i="86"/>
  <c r="V44" i="84"/>
  <c r="V43" i="85"/>
  <c r="V46" i="84"/>
  <c r="V41" i="85"/>
  <c r="V18" i="86"/>
  <c r="V47" i="82"/>
  <c r="V41" i="82"/>
  <c r="V23" i="82"/>
  <c r="V26" i="86"/>
  <c r="V46" i="86"/>
  <c r="V24" i="84"/>
  <c r="V38" i="82"/>
  <c r="V23" i="86"/>
  <c r="V44" i="83"/>
  <c r="V52" i="84"/>
  <c r="V22" i="86"/>
  <c r="V16" i="83"/>
  <c r="V43" i="83"/>
  <c r="V41" i="83"/>
  <c r="V34" i="86"/>
  <c r="V31" i="85"/>
  <c r="G67" i="90" l="1"/>
  <c r="G105" i="90"/>
  <c r="G165" i="90"/>
  <c r="G37" i="90"/>
  <c r="G121" i="90"/>
  <c r="G129" i="90"/>
  <c r="G51" i="90"/>
  <c r="G59" i="90"/>
  <c r="G45" i="90"/>
  <c r="G25" i="90"/>
  <c r="G80" i="90"/>
  <c r="G66" i="90"/>
  <c r="G90" i="90"/>
  <c r="G122" i="90"/>
  <c r="G17" i="90"/>
  <c r="G109" i="90"/>
  <c r="G79" i="90"/>
  <c r="G134" i="90"/>
  <c r="G38" i="90"/>
  <c r="G101" i="90"/>
  <c r="G49" i="90"/>
  <c r="G133" i="90"/>
  <c r="G76" i="90"/>
  <c r="G161" i="90"/>
  <c r="G130" i="90"/>
  <c r="G87" i="90"/>
  <c r="G147" i="90"/>
  <c r="G50" i="90"/>
  <c r="G46" i="90"/>
  <c r="G115" i="90"/>
  <c r="G32" i="90"/>
  <c r="G91" i="90"/>
  <c r="G35" i="90"/>
  <c r="G75" i="90"/>
  <c r="G148" i="90"/>
  <c r="G106" i="90"/>
  <c r="G131" i="90"/>
  <c r="G20" i="90"/>
  <c r="G18" i="90"/>
  <c r="G65" i="90"/>
  <c r="G107" i="90"/>
  <c r="G19" i="90"/>
  <c r="G31" i="90"/>
  <c r="G61" i="90"/>
  <c r="G144" i="90"/>
  <c r="G81" i="90"/>
  <c r="G89" i="90"/>
  <c r="G48" i="90"/>
  <c r="G74" i="90"/>
  <c r="G157" i="90"/>
  <c r="G24" i="90"/>
  <c r="G132" i="90"/>
  <c r="G151" i="90"/>
  <c r="G62" i="90"/>
  <c r="G164" i="90"/>
  <c r="G60" i="90"/>
  <c r="G78" i="90"/>
  <c r="G162" i="90"/>
  <c r="G73" i="90"/>
  <c r="G136" i="90"/>
  <c r="G36" i="90"/>
  <c r="G33" i="90"/>
  <c r="G47" i="90"/>
  <c r="G102" i="90"/>
  <c r="G159" i="90"/>
  <c r="G145" i="90"/>
  <c r="G63" i="90"/>
  <c r="G120" i="90"/>
  <c r="G34" i="90"/>
  <c r="G163" i="90"/>
  <c r="G53" i="90"/>
  <c r="G21" i="90"/>
  <c r="G146" i="90"/>
  <c r="G119" i="90"/>
  <c r="G158" i="90"/>
  <c r="G22" i="90"/>
  <c r="G108" i="90"/>
  <c r="G116" i="90"/>
  <c r="G93" i="90"/>
  <c r="G104" i="90"/>
  <c r="G64" i="90"/>
  <c r="G150" i="90"/>
  <c r="G160" i="90"/>
  <c r="G137" i="90"/>
  <c r="G95" i="90"/>
  <c r="G103" i="90"/>
  <c r="G88" i="90"/>
  <c r="G143" i="90"/>
  <c r="G135" i="90"/>
  <c r="G117" i="90"/>
  <c r="G39" i="90"/>
  <c r="G77" i="90"/>
  <c r="G23" i="90"/>
  <c r="G118" i="90"/>
  <c r="G149" i="90"/>
  <c r="G94" i="90"/>
  <c r="G52" i="90"/>
  <c r="G123" i="90"/>
  <c r="G92" i="90"/>
  <c r="D67" i="90"/>
  <c r="D90" i="90"/>
  <c r="D130" i="90"/>
  <c r="D131" i="90"/>
  <c r="D74" i="90"/>
  <c r="D36" i="90"/>
  <c r="D146" i="90"/>
  <c r="D95" i="90"/>
  <c r="D52" i="90"/>
  <c r="G27" i="82"/>
  <c r="L18" i="83"/>
  <c r="M51" i="84"/>
  <c r="AC47" i="81"/>
  <c r="J33" i="85"/>
  <c r="H27" i="81"/>
  <c r="H24" i="85"/>
  <c r="D55" i="81"/>
  <c r="K23" i="82"/>
  <c r="I25" i="83"/>
  <c r="F48" i="85"/>
  <c r="M26" i="84"/>
  <c r="M51" i="86"/>
  <c r="H26" i="82"/>
  <c r="J34" i="81"/>
  <c r="M29" i="81"/>
  <c r="I48" i="82"/>
  <c r="G54" i="83"/>
  <c r="L47" i="84"/>
  <c r="O17" i="82"/>
  <c r="O38" i="82"/>
  <c r="O47" i="86"/>
  <c r="N39" i="85"/>
  <c r="I36" i="81"/>
  <c r="N25" i="86"/>
  <c r="H45" i="84"/>
  <c r="D34" i="86"/>
  <c r="W46" i="81"/>
  <c r="F17" i="81"/>
  <c r="I18" i="84"/>
  <c r="O41" i="82"/>
  <c r="L45" i="86"/>
  <c r="G32" i="82"/>
  <c r="M40" i="82"/>
  <c r="M29" i="85"/>
  <c r="J44" i="81"/>
  <c r="N23" i="83"/>
  <c r="Z38" i="81"/>
  <c r="H37" i="81"/>
  <c r="N16" i="84"/>
  <c r="K18" i="86"/>
  <c r="K26" i="81"/>
  <c r="P24" i="81"/>
  <c r="H38" i="83"/>
  <c r="P18" i="85"/>
  <c r="M52" i="84"/>
  <c r="H15" i="82"/>
  <c r="L33" i="86"/>
  <c r="H43" i="81"/>
  <c r="N20" i="82"/>
  <c r="AE44" i="81"/>
  <c r="D22" i="81"/>
  <c r="F52" i="81"/>
  <c r="O40" i="86"/>
  <c r="I44" i="83"/>
  <c r="X43" i="81"/>
  <c r="AF15" i="81"/>
  <c r="O50" i="85"/>
  <c r="I32" i="85"/>
  <c r="H16" i="81"/>
  <c r="D41" i="81"/>
  <c r="I39" i="82"/>
  <c r="X33" i="81"/>
  <c r="F25" i="85"/>
  <c r="K25" i="81"/>
  <c r="G29" i="83"/>
  <c r="L43" i="86"/>
  <c r="D32" i="83"/>
  <c r="AE20" i="81"/>
  <c r="F47" i="82"/>
  <c r="L29" i="82"/>
  <c r="F54" i="81"/>
  <c r="D44" i="84"/>
  <c r="L15" i="85"/>
  <c r="G53" i="86"/>
  <c r="P15" i="86"/>
  <c r="H17" i="85"/>
  <c r="L16" i="83"/>
  <c r="K50" i="82"/>
  <c r="N20" i="81"/>
  <c r="P46" i="84"/>
  <c r="N18" i="82"/>
  <c r="O37" i="84"/>
  <c r="D26" i="85"/>
  <c r="AG18" i="81"/>
  <c r="H34" i="84"/>
  <c r="G19" i="85"/>
  <c r="P36" i="84"/>
  <c r="L20" i="84"/>
  <c r="AE55" i="81"/>
  <c r="J44" i="86"/>
  <c r="J33" i="84"/>
  <c r="G37" i="86"/>
  <c r="H29" i="86"/>
  <c r="N54" i="82"/>
  <c r="P32" i="81"/>
  <c r="N22" i="82"/>
  <c r="K51" i="82"/>
  <c r="P50" i="86"/>
  <c r="I30" i="83"/>
  <c r="O45" i="83"/>
  <c r="W27" i="81"/>
  <c r="M48" i="81"/>
  <c r="D54" i="85"/>
  <c r="O30" i="82"/>
  <c r="D44" i="82"/>
  <c r="F16" i="82"/>
  <c r="O23" i="84"/>
  <c r="M33" i="81"/>
  <c r="D19" i="82"/>
  <c r="O39" i="86"/>
  <c r="P46" i="85"/>
  <c r="D38" i="81"/>
  <c r="J27" i="83"/>
  <c r="AF50" i="81"/>
  <c r="O36" i="85"/>
  <c r="I47" i="81"/>
  <c r="M16" i="86"/>
  <c r="D105" i="90"/>
  <c r="D122" i="90"/>
  <c r="D87" i="90"/>
  <c r="D20" i="90"/>
  <c r="D157" i="90"/>
  <c r="D33" i="90"/>
  <c r="D165" i="90"/>
  <c r="D17" i="90"/>
  <c r="D147" i="90"/>
  <c r="D18" i="90"/>
  <c r="D24" i="90"/>
  <c r="D47" i="90"/>
  <c r="D158" i="90"/>
  <c r="D88" i="90"/>
  <c r="D92" i="90"/>
  <c r="D27" i="82"/>
  <c r="D37" i="90"/>
  <c r="D109" i="90"/>
  <c r="D50" i="90"/>
  <c r="D65" i="90"/>
  <c r="D132" i="90"/>
  <c r="D102" i="90"/>
  <c r="D22" i="90"/>
  <c r="D143" i="90"/>
  <c r="J27" i="82"/>
  <c r="D121" i="90"/>
  <c r="D79" i="90"/>
  <c r="D46" i="90"/>
  <c r="D107" i="90"/>
  <c r="D151" i="90"/>
  <c r="D159" i="90"/>
  <c r="D108" i="90"/>
  <c r="D135" i="90"/>
  <c r="M27" i="82"/>
  <c r="D129" i="90"/>
  <c r="D134" i="90"/>
  <c r="D115" i="90"/>
  <c r="D19" i="90"/>
  <c r="D62" i="90"/>
  <c r="D145" i="90"/>
  <c r="D116" i="90"/>
  <c r="D117" i="90"/>
  <c r="L27" i="82"/>
  <c r="D51" i="90"/>
  <c r="D38" i="90"/>
  <c r="D32" i="90"/>
  <c r="D31" i="90"/>
  <c r="D164" i="90"/>
  <c r="D63" i="90"/>
  <c r="D93" i="90"/>
  <c r="D39" i="90"/>
  <c r="O27" i="82"/>
  <c r="K18" i="83"/>
  <c r="G51" i="84"/>
  <c r="AD47" i="81"/>
  <c r="O33" i="85"/>
  <c r="G27" i="81"/>
  <c r="P24" i="85"/>
  <c r="O55" i="81"/>
  <c r="J23" i="82"/>
  <c r="P25" i="83"/>
  <c r="P48" i="85"/>
  <c r="H26" i="84"/>
  <c r="G51" i="86"/>
  <c r="D26" i="82"/>
  <c r="M34" i="81"/>
  <c r="P29" i="81"/>
  <c r="O48" i="82"/>
  <c r="K54" i="83"/>
  <c r="K47" i="84"/>
  <c r="J17" i="82"/>
  <c r="K38" i="82"/>
  <c r="H47" i="86"/>
  <c r="D39" i="85"/>
  <c r="J36" i="81"/>
  <c r="H25" i="86"/>
  <c r="L45" i="84"/>
  <c r="J34" i="86"/>
  <c r="AB46" i="81"/>
  <c r="G17" i="81"/>
  <c r="L18" i="84"/>
  <c r="I41" i="82"/>
  <c r="N45" i="86"/>
  <c r="K32" i="82"/>
  <c r="F40" i="82"/>
  <c r="P29" i="85"/>
  <c r="F44" i="81"/>
  <c r="I23" i="83"/>
  <c r="AA16" i="81"/>
  <c r="AC38" i="81"/>
  <c r="I37" i="81"/>
  <c r="F16" i="84"/>
  <c r="J18" i="86"/>
  <c r="G26" i="81"/>
  <c r="H24" i="81"/>
  <c r="L38" i="83"/>
  <c r="J18" i="85"/>
  <c r="N52" i="84"/>
  <c r="F15" i="82"/>
  <c r="N33" i="86"/>
  <c r="O43" i="81"/>
  <c r="M20" i="82"/>
  <c r="Z44" i="81"/>
  <c r="H22" i="81"/>
  <c r="D52" i="81"/>
  <c r="J40" i="86"/>
  <c r="P44" i="83"/>
  <c r="U43" i="81"/>
  <c r="W15" i="81"/>
  <c r="J50" i="85"/>
  <c r="G32" i="85"/>
  <c r="O16" i="81"/>
  <c r="N41" i="81"/>
  <c r="J39" i="82"/>
  <c r="Y33" i="81"/>
  <c r="L25" i="85"/>
  <c r="J25" i="81"/>
  <c r="L29" i="83"/>
  <c r="F43" i="86"/>
  <c r="N32" i="83"/>
  <c r="J47" i="82"/>
  <c r="G29" i="82"/>
  <c r="N54" i="81"/>
  <c r="I44" i="84"/>
  <c r="N15" i="85"/>
  <c r="L53" i="86"/>
  <c r="G15" i="86"/>
  <c r="L17" i="85"/>
  <c r="J16" i="83"/>
  <c r="I50" i="82"/>
  <c r="P20" i="81"/>
  <c r="I46" i="84"/>
  <c r="D18" i="82"/>
  <c r="D37" i="84"/>
  <c r="M26" i="85"/>
  <c r="AA18" i="81"/>
  <c r="L34" i="84"/>
  <c r="P19" i="85"/>
  <c r="H36" i="84"/>
  <c r="I20" i="84"/>
  <c r="Z55" i="81"/>
  <c r="K44" i="86"/>
  <c r="H33" i="84"/>
  <c r="H37" i="86"/>
  <c r="M29" i="86"/>
  <c r="M54" i="82"/>
  <c r="M32" i="81"/>
  <c r="H22" i="82"/>
  <c r="O51" i="82"/>
  <c r="K50" i="86"/>
  <c r="N30" i="83"/>
  <c r="N45" i="83"/>
  <c r="AG27" i="81"/>
  <c r="P48" i="81"/>
  <c r="N54" i="85"/>
  <c r="G30" i="82"/>
  <c r="J44" i="82"/>
  <c r="K16" i="82"/>
  <c r="D23" i="84"/>
  <c r="I33" i="81"/>
  <c r="I19" i="82"/>
  <c r="F39" i="86"/>
  <c r="O46" i="85"/>
  <c r="I38" i="81"/>
  <c r="N27" i="83"/>
  <c r="W50" i="81"/>
  <c r="D36" i="85"/>
  <c r="G47" i="81"/>
  <c r="J16" i="86"/>
  <c r="D34" i="82"/>
  <c r="F18" i="81"/>
  <c r="D46" i="86"/>
  <c r="F55" i="85"/>
  <c r="P48" i="83"/>
  <c r="D59" i="90"/>
  <c r="D101" i="90"/>
  <c r="D91" i="90"/>
  <c r="D61" i="90"/>
  <c r="D60" i="90"/>
  <c r="D120" i="90"/>
  <c r="D104" i="90"/>
  <c r="D77" i="90"/>
  <c r="H27" i="82"/>
  <c r="D18" i="83"/>
  <c r="L51" i="84"/>
  <c r="U47" i="81"/>
  <c r="H33" i="85"/>
  <c r="O27" i="81"/>
  <c r="M24" i="85"/>
  <c r="H55" i="81"/>
  <c r="H23" i="82"/>
  <c r="H25" i="83"/>
  <c r="G48" i="85"/>
  <c r="D26" i="84"/>
  <c r="O51" i="86"/>
  <c r="G26" i="82"/>
  <c r="O34" i="81"/>
  <c r="J29" i="81"/>
  <c r="F48" i="82"/>
  <c r="L54" i="83"/>
  <c r="G47" i="84"/>
  <c r="N17" i="82"/>
  <c r="G38" i="82"/>
  <c r="I47" i="86"/>
  <c r="K39" i="85"/>
  <c r="M36" i="81"/>
  <c r="P25" i="86"/>
  <c r="G45" i="84"/>
  <c r="O34" i="86"/>
  <c r="AG46" i="81"/>
  <c r="J17" i="81"/>
  <c r="P18" i="84"/>
  <c r="P41" i="82"/>
  <c r="I45" i="86"/>
  <c r="N32" i="82"/>
  <c r="K40" i="82"/>
  <c r="N29" i="85"/>
  <c r="M44" i="81"/>
  <c r="J23" i="83"/>
  <c r="AD16" i="81"/>
  <c r="AB38" i="81"/>
  <c r="N37" i="81"/>
  <c r="J16" i="84"/>
  <c r="M18" i="86"/>
  <c r="H26" i="81"/>
  <c r="F24" i="81"/>
  <c r="I38" i="83"/>
  <c r="G18" i="85"/>
  <c r="D52" i="84"/>
  <c r="G15" i="82"/>
  <c r="I33" i="86"/>
  <c r="G43" i="81"/>
  <c r="F20" i="82"/>
  <c r="Y44" i="81"/>
  <c r="J22" i="81"/>
  <c r="M52" i="81"/>
  <c r="P40" i="86"/>
  <c r="J44" i="83"/>
  <c r="Y43" i="81"/>
  <c r="AA15" i="81"/>
  <c r="G50" i="85"/>
  <c r="N32" i="85"/>
  <c r="G16" i="81"/>
  <c r="G41" i="81"/>
  <c r="O39" i="82"/>
  <c r="D25" i="85"/>
  <c r="I25" i="81"/>
  <c r="D29" i="83"/>
  <c r="O43" i="86"/>
  <c r="K32" i="83"/>
  <c r="Y20" i="81"/>
  <c r="D47" i="82"/>
  <c r="K29" i="82"/>
  <c r="H54" i="81"/>
  <c r="N44" i="84"/>
  <c r="G15" i="85"/>
  <c r="P53" i="86"/>
  <c r="L15" i="86"/>
  <c r="G17" i="85"/>
  <c r="N16" i="83"/>
  <c r="G50" i="82"/>
  <c r="G20" i="81"/>
  <c r="D46" i="84"/>
  <c r="K18" i="82"/>
  <c r="H37" i="84"/>
  <c r="F26" i="85"/>
  <c r="Z18" i="81"/>
  <c r="P34" i="84"/>
  <c r="H19" i="85"/>
  <c r="N36" i="84"/>
  <c r="N20" i="84"/>
  <c r="W55" i="81"/>
  <c r="M44" i="86"/>
  <c r="G33" i="84"/>
  <c r="I37" i="86"/>
  <c r="I29" i="86"/>
  <c r="D54" i="82"/>
  <c r="H32" i="81"/>
  <c r="D22" i="82"/>
  <c r="M51" i="82"/>
  <c r="G50" i="86"/>
  <c r="D30" i="83"/>
  <c r="I45" i="83"/>
  <c r="AA27" i="81"/>
  <c r="I48" i="81"/>
  <c r="L54" i="85"/>
  <c r="H30" i="82"/>
  <c r="L44" i="82"/>
  <c r="I16" i="82"/>
  <c r="M23" i="84"/>
  <c r="L33" i="81"/>
  <c r="F19" i="82"/>
  <c r="N39" i="86"/>
  <c r="M46" i="85"/>
  <c r="G38" i="81"/>
  <c r="G27" i="83"/>
  <c r="Z50" i="81"/>
  <c r="L36" i="85"/>
  <c r="F47" i="81"/>
  <c r="G16" i="86"/>
  <c r="K34" i="82"/>
  <c r="D45" i="90"/>
  <c r="D49" i="90"/>
  <c r="D35" i="90"/>
  <c r="D144" i="90"/>
  <c r="D78" i="90"/>
  <c r="D34" i="90"/>
  <c r="D25" i="90"/>
  <c r="D133" i="90"/>
  <c r="D75" i="90"/>
  <c r="D81" i="90"/>
  <c r="D162" i="90"/>
  <c r="D163" i="90"/>
  <c r="D150" i="90"/>
  <c r="D118" i="90"/>
  <c r="I27" i="82"/>
  <c r="D80" i="90"/>
  <c r="D76" i="90"/>
  <c r="D148" i="90"/>
  <c r="D89" i="90"/>
  <c r="D73" i="90"/>
  <c r="D53" i="90"/>
  <c r="D160" i="90"/>
  <c r="D149" i="90"/>
  <c r="N27" i="82"/>
  <c r="G18" i="83"/>
  <c r="J51" i="84"/>
  <c r="AE47" i="81"/>
  <c r="G33" i="85"/>
  <c r="M27" i="81"/>
  <c r="L24" i="85"/>
  <c r="G55" i="81"/>
  <c r="D23" i="82"/>
  <c r="F25" i="83"/>
  <c r="K48" i="85"/>
  <c r="I26" i="84"/>
  <c r="I51" i="86"/>
  <c r="N26" i="82"/>
  <c r="P34" i="81"/>
  <c r="F29" i="81"/>
  <c r="D48" i="82"/>
  <c r="I54" i="83"/>
  <c r="M47" i="84"/>
  <c r="F17" i="82"/>
  <c r="J38" i="82"/>
  <c r="K47" i="86"/>
  <c r="J39" i="85"/>
  <c r="L36" i="81"/>
  <c r="L25" i="86"/>
  <c r="J45" i="84"/>
  <c r="H34" i="86"/>
  <c r="U46" i="81"/>
  <c r="P17" i="81"/>
  <c r="F18" i="84"/>
  <c r="D41" i="82"/>
  <c r="D45" i="86"/>
  <c r="I32" i="82"/>
  <c r="O40" i="82"/>
  <c r="G29" i="85"/>
  <c r="K44" i="81"/>
  <c r="L23" i="83"/>
  <c r="U16" i="81"/>
  <c r="AF38" i="81"/>
  <c r="P37" i="81"/>
  <c r="K16" i="84"/>
  <c r="H18" i="86"/>
  <c r="N26" i="81"/>
  <c r="M24" i="81"/>
  <c r="P38" i="83"/>
  <c r="D18" i="85"/>
  <c r="G52" i="84"/>
  <c r="P15" i="82"/>
  <c r="F33" i="86"/>
  <c r="N43" i="81"/>
  <c r="G20" i="82"/>
  <c r="L22" i="81"/>
  <c r="P52" i="81"/>
  <c r="L40" i="86"/>
  <c r="D44" i="83"/>
  <c r="AD43" i="81"/>
  <c r="X15" i="81"/>
  <c r="F50" i="85"/>
  <c r="M32" i="85"/>
  <c r="J16" i="81"/>
  <c r="P41" i="81"/>
  <c r="M39" i="82"/>
  <c r="AC33" i="81"/>
  <c r="I25" i="85"/>
  <c r="M25" i="81"/>
  <c r="O29" i="83"/>
  <c r="D43" i="86"/>
  <c r="J32" i="83"/>
  <c r="AD20" i="81"/>
  <c r="H47" i="82"/>
  <c r="D29" i="82"/>
  <c r="K54" i="81"/>
  <c r="G44" i="84"/>
  <c r="K15" i="85"/>
  <c r="M53" i="86"/>
  <c r="I15" i="86"/>
  <c r="M17" i="85"/>
  <c r="O16" i="83"/>
  <c r="J50" i="82"/>
  <c r="F20" i="81"/>
  <c r="J46" i="84"/>
  <c r="F18" i="82"/>
  <c r="L37" i="84"/>
  <c r="P26" i="85"/>
  <c r="AC18" i="81"/>
  <c r="D34" i="84"/>
  <c r="O19" i="85"/>
  <c r="D36" i="84"/>
  <c r="J20" i="84"/>
  <c r="AA55" i="81"/>
  <c r="F44" i="86"/>
  <c r="P33" i="84"/>
  <c r="M37" i="86"/>
  <c r="D29" i="86"/>
  <c r="J54" i="82"/>
  <c r="K32" i="81"/>
  <c r="G22" i="82"/>
  <c r="D51" i="82"/>
  <c r="F50" i="86"/>
  <c r="G30" i="83"/>
  <c r="K45" i="83"/>
  <c r="AE27" i="81"/>
  <c r="H48" i="81"/>
  <c r="O54" i="85"/>
  <c r="F30" i="82"/>
  <c r="P44" i="82"/>
  <c r="O16" i="82"/>
  <c r="K23" i="84"/>
  <c r="J33" i="81"/>
  <c r="K19" i="82"/>
  <c r="L39" i="86"/>
  <c r="H46" i="85"/>
  <c r="P38" i="81"/>
  <c r="D27" i="83"/>
  <c r="AC50" i="81"/>
  <c r="I36" i="85"/>
  <c r="O47" i="81"/>
  <c r="N16" i="86"/>
  <c r="P34" i="82"/>
  <c r="H18" i="81"/>
  <c r="O46" i="86"/>
  <c r="K55" i="85"/>
  <c r="N48" i="83"/>
  <c r="D66" i="90"/>
  <c r="D161" i="90"/>
  <c r="D106" i="90"/>
  <c r="D48" i="90"/>
  <c r="D136" i="90"/>
  <c r="D21" i="90"/>
  <c r="D137" i="90"/>
  <c r="D94" i="90"/>
  <c r="P27" i="82"/>
  <c r="D119" i="90"/>
  <c r="D103" i="90"/>
  <c r="D123" i="90"/>
  <c r="O51" i="84"/>
  <c r="X47" i="81"/>
  <c r="D27" i="81"/>
  <c r="N24" i="85"/>
  <c r="F23" i="82"/>
  <c r="M25" i="83"/>
  <c r="O26" i="84"/>
  <c r="F51" i="86"/>
  <c r="K34" i="81"/>
  <c r="I29" i="81"/>
  <c r="D54" i="83"/>
  <c r="N47" i="84"/>
  <c r="F38" i="82"/>
  <c r="P47" i="86"/>
  <c r="P36" i="81"/>
  <c r="O25" i="86"/>
  <c r="F34" i="86"/>
  <c r="AC46" i="81"/>
  <c r="K18" i="84"/>
  <c r="J41" i="82"/>
  <c r="D32" i="82"/>
  <c r="J40" i="82"/>
  <c r="P44" i="81"/>
  <c r="M23" i="83"/>
  <c r="W38" i="81"/>
  <c r="F37" i="81"/>
  <c r="I18" i="86"/>
  <c r="L26" i="81"/>
  <c r="O38" i="83"/>
  <c r="N18" i="85"/>
  <c r="L15" i="82"/>
  <c r="D33" i="86"/>
  <c r="H20" i="82"/>
  <c r="AB44" i="81"/>
  <c r="J52" i="81"/>
  <c r="F40" i="86"/>
  <c r="AC43" i="81"/>
  <c r="P50" i="85"/>
  <c r="O32" i="85"/>
  <c r="L41" i="81"/>
  <c r="H39" i="82"/>
  <c r="O25" i="85"/>
  <c r="O25" i="81"/>
  <c r="G43" i="86"/>
  <c r="I32" i="83"/>
  <c r="N47" i="82"/>
  <c r="N29" i="82"/>
  <c r="J44" i="84"/>
  <c r="D15" i="85"/>
  <c r="F15" i="86"/>
  <c r="J17" i="85"/>
  <c r="H50" i="82"/>
  <c r="M20" i="81"/>
  <c r="J18" i="82"/>
  <c r="F37" i="84"/>
  <c r="AD18" i="81"/>
  <c r="M34" i="84"/>
  <c r="I36" i="84"/>
  <c r="H20" i="84"/>
  <c r="N44" i="86"/>
  <c r="K33" i="84"/>
  <c r="K29" i="86"/>
  <c r="P54" i="82"/>
  <c r="K22" i="82"/>
  <c r="J51" i="82"/>
  <c r="K30" i="83"/>
  <c r="M45" i="83"/>
  <c r="K48" i="81"/>
  <c r="K30" i="82"/>
  <c r="G44" i="82"/>
  <c r="G23" i="84"/>
  <c r="G33" i="81"/>
  <c r="M39" i="86"/>
  <c r="G46" i="85"/>
  <c r="O27" i="83"/>
  <c r="X50" i="81"/>
  <c r="L47" i="81"/>
  <c r="D16" i="86"/>
  <c r="O18" i="81"/>
  <c r="J46" i="86"/>
  <c r="P55" i="85"/>
  <c r="I48" i="83"/>
  <c r="J30" i="84"/>
  <c r="M41" i="83"/>
  <c r="J55" i="86"/>
  <c r="D15" i="81"/>
  <c r="F29" i="84"/>
  <c r="I32" i="86"/>
  <c r="O37" i="83"/>
  <c r="D24" i="84"/>
  <c r="J47" i="85"/>
  <c r="I20" i="85"/>
  <c r="J45" i="85"/>
  <c r="O24" i="82"/>
  <c r="L26" i="83"/>
  <c r="M52" i="85"/>
  <c r="G20" i="83"/>
  <c r="AF31" i="81"/>
  <c r="P31" i="82"/>
  <c r="Y41" i="81"/>
  <c r="K55" i="83"/>
  <c r="J53" i="82"/>
  <c r="P19" i="81"/>
  <c r="I37" i="85"/>
  <c r="K48" i="84"/>
  <c r="O25" i="82"/>
  <c r="AF52" i="81"/>
  <c r="M22" i="83"/>
  <c r="AC53" i="81"/>
  <c r="F51" i="84"/>
  <c r="W47" i="81"/>
  <c r="I27" i="81"/>
  <c r="K24" i="85"/>
  <c r="P23" i="82"/>
  <c r="D25" i="83"/>
  <c r="N26" i="84"/>
  <c r="N51" i="86"/>
  <c r="D34" i="81"/>
  <c r="H29" i="81"/>
  <c r="O54" i="83"/>
  <c r="P47" i="84"/>
  <c r="L38" i="82"/>
  <c r="D47" i="86"/>
  <c r="N36" i="81"/>
  <c r="I25" i="86"/>
  <c r="G34" i="86"/>
  <c r="X46" i="81"/>
  <c r="D18" i="84"/>
  <c r="H41" i="82"/>
  <c r="H32" i="82"/>
  <c r="D40" i="82"/>
  <c r="D44" i="81"/>
  <c r="D23" i="83"/>
  <c r="AA38" i="81"/>
  <c r="M16" i="84"/>
  <c r="L18" i="86"/>
  <c r="I24" i="81"/>
  <c r="D38" i="83"/>
  <c r="L52" i="84"/>
  <c r="J15" i="82"/>
  <c r="F43" i="81"/>
  <c r="O20" i="82"/>
  <c r="G22" i="81"/>
  <c r="K52" i="81"/>
  <c r="O44" i="83"/>
  <c r="AA43" i="81"/>
  <c r="L50" i="85"/>
  <c r="H32" i="85"/>
  <c r="I41" i="81"/>
  <c r="K39" i="82"/>
  <c r="N25" i="85"/>
  <c r="N25" i="81"/>
  <c r="I43" i="86"/>
  <c r="O32" i="83"/>
  <c r="K47" i="82"/>
  <c r="M29" i="82"/>
  <c r="M44" i="84"/>
  <c r="H15" i="85"/>
  <c r="N15" i="86"/>
  <c r="F17" i="85"/>
  <c r="O50" i="82"/>
  <c r="H20" i="81"/>
  <c r="L18" i="82"/>
  <c r="P37" i="84"/>
  <c r="AE18" i="81"/>
  <c r="F34" i="84"/>
  <c r="K36" i="84"/>
  <c r="P20" i="84"/>
  <c r="O44" i="86"/>
  <c r="D37" i="86"/>
  <c r="F29" i="86"/>
  <c r="I32" i="81"/>
  <c r="O22" i="82"/>
  <c r="L50" i="86"/>
  <c r="H30" i="83"/>
  <c r="AF27" i="81"/>
  <c r="L48" i="81"/>
  <c r="D30" i="82"/>
  <c r="K44" i="82"/>
  <c r="N23" i="84"/>
  <c r="O33" i="81"/>
  <c r="P39" i="86"/>
  <c r="I46" i="85"/>
  <c r="F27" i="83"/>
  <c r="AE50" i="81"/>
  <c r="J47" i="81"/>
  <c r="I16" i="86"/>
  <c r="M18" i="81"/>
  <c r="I46" i="86"/>
  <c r="N55" i="85"/>
  <c r="F48" i="83"/>
  <c r="P30" i="84"/>
  <c r="P41" i="83"/>
  <c r="L55" i="86"/>
  <c r="L15" i="81"/>
  <c r="K29" i="84"/>
  <c r="J32" i="86"/>
  <c r="J37" i="83"/>
  <c r="L24" i="84"/>
  <c r="G47" i="85"/>
  <c r="K20" i="85"/>
  <c r="M45" i="85"/>
  <c r="L24" i="82"/>
  <c r="K26" i="83"/>
  <c r="D52" i="85"/>
  <c r="F20" i="83"/>
  <c r="AG31" i="81"/>
  <c r="K31" i="82"/>
  <c r="W41" i="81"/>
  <c r="I44" i="85"/>
  <c r="L55" i="83"/>
  <c r="N53" i="82"/>
  <c r="L19" i="81"/>
  <c r="K37" i="85"/>
  <c r="G48" i="84"/>
  <c r="M25" i="82"/>
  <c r="K41" i="86"/>
  <c r="M52" i="86"/>
  <c r="AA40" i="81"/>
  <c r="H22" i="83"/>
  <c r="AA24" i="81"/>
  <c r="X53" i="81"/>
  <c r="M31" i="86"/>
  <c r="AB22" i="81"/>
  <c r="P47" i="83"/>
  <c r="I36" i="82"/>
  <c r="P38" i="84"/>
  <c r="I40" i="81"/>
  <c r="H32" i="84"/>
  <c r="N53" i="85"/>
  <c r="F38" i="85"/>
  <c r="AF23" i="81"/>
  <c r="Z36" i="81"/>
  <c r="F27" i="82"/>
  <c r="P51" i="84"/>
  <c r="AA47" i="81"/>
  <c r="F27" i="81"/>
  <c r="F24" i="85"/>
  <c r="L23" i="82"/>
  <c r="L25" i="83"/>
  <c r="K26" i="84"/>
  <c r="P51" i="86"/>
  <c r="L34" i="81"/>
  <c r="K29" i="81"/>
  <c r="J54" i="83"/>
  <c r="O47" i="84"/>
  <c r="P38" i="82"/>
  <c r="G47" i="86"/>
  <c r="K36" i="81"/>
  <c r="D25" i="86"/>
  <c r="P34" i="86"/>
  <c r="N17" i="81"/>
  <c r="J18" i="84"/>
  <c r="P45" i="86"/>
  <c r="M32" i="82"/>
  <c r="F29" i="85"/>
  <c r="O44" i="81"/>
  <c r="X16" i="81"/>
  <c r="X38" i="81"/>
  <c r="O16" i="84"/>
  <c r="P18" i="86"/>
  <c r="O24" i="81"/>
  <c r="F38" i="83"/>
  <c r="K52" i="84"/>
  <c r="I15" i="82"/>
  <c r="J43" i="81"/>
  <c r="P20" i="82"/>
  <c r="M22" i="81"/>
  <c r="L52" i="81"/>
  <c r="M44" i="83"/>
  <c r="AG43" i="81"/>
  <c r="K50" i="85"/>
  <c r="P32" i="85"/>
  <c r="F41" i="81"/>
  <c r="G39" i="82"/>
  <c r="M25" i="85"/>
  <c r="P25" i="81"/>
  <c r="J43" i="86"/>
  <c r="F32" i="83"/>
  <c r="M47" i="82"/>
  <c r="F29" i="82"/>
  <c r="O44" i="84"/>
  <c r="J15" i="85"/>
  <c r="H15" i="86"/>
  <c r="N17" i="85"/>
  <c r="P50" i="82"/>
  <c r="D20" i="81"/>
  <c r="P18" i="82"/>
  <c r="I37" i="84"/>
  <c r="U18" i="81"/>
  <c r="M19" i="85"/>
  <c r="L36" i="84"/>
  <c r="AB55" i="81"/>
  <c r="G44" i="86"/>
  <c r="L37" i="86"/>
  <c r="P29" i="86"/>
  <c r="F32" i="81"/>
  <c r="I22" i="82"/>
  <c r="J50" i="86"/>
  <c r="F30" i="83"/>
  <c r="X27" i="81"/>
  <c r="F48" i="81"/>
  <c r="I30" i="82"/>
  <c r="N44" i="82"/>
  <c r="J23" i="84"/>
  <c r="H33" i="81"/>
  <c r="H39" i="86"/>
  <c r="L46" i="85"/>
  <c r="M27" i="83"/>
  <c r="AD50" i="81"/>
  <c r="D47" i="81"/>
  <c r="O16" i="86"/>
  <c r="J18" i="81"/>
  <c r="P46" i="86"/>
  <c r="D55" i="85"/>
  <c r="H48" i="83"/>
  <c r="K30" i="84"/>
  <c r="D41" i="83"/>
  <c r="N55" i="86"/>
  <c r="P15" i="81"/>
  <c r="O29" i="84"/>
  <c r="O32" i="86"/>
  <c r="D37" i="83"/>
  <c r="G24" i="84"/>
  <c r="H47" i="85"/>
  <c r="J20" i="85"/>
  <c r="G45" i="85"/>
  <c r="D24" i="82"/>
  <c r="O26" i="83"/>
  <c r="P52" i="85"/>
  <c r="I20" i="83"/>
  <c r="W31" i="81"/>
  <c r="N31" i="82"/>
  <c r="K44" i="85"/>
  <c r="M55" i="83"/>
  <c r="H53" i="82"/>
  <c r="J19" i="81"/>
  <c r="H37" i="85"/>
  <c r="J48" i="84"/>
  <c r="K25" i="82"/>
  <c r="P41" i="86"/>
  <c r="U52" i="81"/>
  <c r="I52" i="86"/>
  <c r="AD40" i="81"/>
  <c r="L22" i="83"/>
  <c r="U24" i="81"/>
  <c r="AE53" i="81"/>
  <c r="P31" i="86"/>
  <c r="AE22" i="81"/>
  <c r="H47" i="83"/>
  <c r="P36" i="82"/>
  <c r="O38" i="84"/>
  <c r="N40" i="81"/>
  <c r="L32" i="84"/>
  <c r="L53" i="85"/>
  <c r="K38" i="85"/>
  <c r="X23" i="81"/>
  <c r="U36" i="81"/>
  <c r="K27" i="82"/>
  <c r="I51" i="84"/>
  <c r="K33" i="85"/>
  <c r="P27" i="81"/>
  <c r="P55" i="81"/>
  <c r="O23" i="82"/>
  <c r="N48" i="85"/>
  <c r="G26" i="84"/>
  <c r="J26" i="82"/>
  <c r="N34" i="81"/>
  <c r="L48" i="82"/>
  <c r="F54" i="83"/>
  <c r="H17" i="82"/>
  <c r="M38" i="82"/>
  <c r="F39" i="85"/>
  <c r="O36" i="81"/>
  <c r="M45" i="84"/>
  <c r="M34" i="86"/>
  <c r="M17" i="81"/>
  <c r="N18" i="84"/>
  <c r="M45" i="86"/>
  <c r="F32" i="82"/>
  <c r="I29" i="85"/>
  <c r="L44" i="81"/>
  <c r="AE16" i="81"/>
  <c r="U38" i="81"/>
  <c r="G16" i="84"/>
  <c r="F18" i="86"/>
  <c r="K24" i="81"/>
  <c r="M38" i="83"/>
  <c r="O52" i="84"/>
  <c r="O15" i="82"/>
  <c r="D43" i="81"/>
  <c r="L20" i="82"/>
  <c r="P22" i="81"/>
  <c r="G52" i="81"/>
  <c r="K44" i="83"/>
  <c r="W43" i="81"/>
  <c r="N50" i="85"/>
  <c r="K16" i="81"/>
  <c r="H41" i="81"/>
  <c r="Z33" i="81"/>
  <c r="H25" i="85"/>
  <c r="M29" i="83"/>
  <c r="P43" i="86"/>
  <c r="U20" i="81"/>
  <c r="O47" i="82"/>
  <c r="J54" i="81"/>
  <c r="P44" i="84"/>
  <c r="F53" i="86"/>
  <c r="O15" i="86"/>
  <c r="I16" i="83"/>
  <c r="M50" i="82"/>
  <c r="L46" i="84"/>
  <c r="I18" i="82"/>
  <c r="J26" i="85"/>
  <c r="Y18" i="81"/>
  <c r="J19" i="85"/>
  <c r="M36" i="84"/>
  <c r="AD55" i="81"/>
  <c r="P44" i="86"/>
  <c r="O37" i="86"/>
  <c r="L29" i="86"/>
  <c r="G32" i="81"/>
  <c r="J22" i="82"/>
  <c r="D50" i="86"/>
  <c r="O30" i="83"/>
  <c r="AB27" i="81"/>
  <c r="J48" i="81"/>
  <c r="J30" i="82"/>
  <c r="F44" i="82"/>
  <c r="F23" i="84"/>
  <c r="D33" i="81"/>
  <c r="D39" i="86"/>
  <c r="N46" i="85"/>
  <c r="P27" i="83"/>
  <c r="J36" i="85"/>
  <c r="M47" i="81"/>
  <c r="L34" i="82"/>
  <c r="D18" i="81"/>
  <c r="F46" i="86"/>
  <c r="L55" i="85"/>
  <c r="O48" i="83"/>
  <c r="F30" i="84"/>
  <c r="N41" i="83"/>
  <c r="D55" i="86"/>
  <c r="F15" i="81"/>
  <c r="D29" i="84"/>
  <c r="F32" i="86"/>
  <c r="P37" i="83"/>
  <c r="J24" i="84"/>
  <c r="I47" i="85"/>
  <c r="N20" i="85"/>
  <c r="I45" i="85"/>
  <c r="G24" i="82"/>
  <c r="N26" i="83"/>
  <c r="F52" i="85"/>
  <c r="H20" i="83"/>
  <c r="L31" i="82"/>
  <c r="U41" i="81"/>
  <c r="P44" i="85"/>
  <c r="H55" i="83"/>
  <c r="K53" i="82"/>
  <c r="I19" i="81"/>
  <c r="L37" i="85"/>
  <c r="P48" i="84"/>
  <c r="H25" i="82"/>
  <c r="G41" i="86"/>
  <c r="AD52" i="81"/>
  <c r="P52" i="86"/>
  <c r="X40" i="81"/>
  <c r="D22" i="83"/>
  <c r="AD24" i="81"/>
  <c r="AF53" i="81"/>
  <c r="G31" i="86"/>
  <c r="AD22" i="81"/>
  <c r="L47" i="83"/>
  <c r="G36" i="82"/>
  <c r="M18" i="83"/>
  <c r="H51" i="84"/>
  <c r="M33" i="85"/>
  <c r="J27" i="81"/>
  <c r="F55" i="81"/>
  <c r="G23" i="82"/>
  <c r="I48" i="85"/>
  <c r="J26" i="84"/>
  <c r="K26" i="82"/>
  <c r="F34" i="81"/>
  <c r="K48" i="82"/>
  <c r="N54" i="83"/>
  <c r="M17" i="82"/>
  <c r="H38" i="82"/>
  <c r="H39" i="85"/>
  <c r="G36" i="81"/>
  <c r="F45" i="84"/>
  <c r="K34" i="86"/>
  <c r="L17" i="81"/>
  <c r="O18" i="84"/>
  <c r="K45" i="86"/>
  <c r="J32" i="82"/>
  <c r="K29" i="85"/>
  <c r="I44" i="81"/>
  <c r="AG16" i="81"/>
  <c r="AG38" i="81"/>
  <c r="I16" i="84"/>
  <c r="N18" i="86"/>
  <c r="G24" i="81"/>
  <c r="K38" i="83"/>
  <c r="J52" i="84"/>
  <c r="M15" i="82"/>
  <c r="P43" i="81"/>
  <c r="D20" i="82"/>
  <c r="K22" i="81"/>
  <c r="N52" i="81"/>
  <c r="G44" i="83"/>
  <c r="AG15" i="81"/>
  <c r="I50" i="85"/>
  <c r="D16" i="81"/>
  <c r="M41" i="81"/>
  <c r="U33" i="81"/>
  <c r="K25" i="85"/>
  <c r="K29" i="83"/>
  <c r="H43" i="86"/>
  <c r="AA20" i="81"/>
  <c r="P47" i="82"/>
  <c r="P54" i="81"/>
  <c r="H44" i="84"/>
  <c r="O53" i="86"/>
  <c r="M15" i="86"/>
  <c r="H16" i="83"/>
  <c r="D50" i="82"/>
  <c r="K46" i="84"/>
  <c r="M18" i="82"/>
  <c r="N26" i="85"/>
  <c r="AF18" i="81"/>
  <c r="N19" i="85"/>
  <c r="O36" i="84"/>
  <c r="AC55" i="81"/>
  <c r="L44" i="86"/>
  <c r="F37" i="86"/>
  <c r="N29" i="86"/>
  <c r="O32" i="81"/>
  <c r="F22" i="82"/>
  <c r="M50" i="86"/>
  <c r="M30" i="83"/>
  <c r="AD27" i="81"/>
  <c r="F54" i="85"/>
  <c r="P30" i="82"/>
  <c r="P16" i="82"/>
  <c r="P23" i="84"/>
  <c r="G19" i="82"/>
  <c r="J39" i="86"/>
  <c r="L38" i="81"/>
  <c r="I27" i="83"/>
  <c r="H36" i="85"/>
  <c r="H47" i="81"/>
  <c r="O34" i="82"/>
  <c r="N18" i="81"/>
  <c r="G46" i="86"/>
  <c r="M55" i="85"/>
  <c r="M30" i="84"/>
  <c r="O41" i="83"/>
  <c r="H55" i="86"/>
  <c r="M15" i="81"/>
  <c r="J29" i="84"/>
  <c r="L32" i="86"/>
  <c r="M37" i="83"/>
  <c r="M24" i="84"/>
  <c r="O47" i="85"/>
  <c r="P20" i="85"/>
  <c r="L45" i="85"/>
  <c r="K24" i="82"/>
  <c r="P26" i="83"/>
  <c r="K52" i="85"/>
  <c r="D20" i="83"/>
  <c r="Z31" i="81"/>
  <c r="J31" i="82"/>
  <c r="AG41" i="81"/>
  <c r="N44" i="85"/>
  <c r="J55" i="83"/>
  <c r="P53" i="82"/>
  <c r="G19" i="81"/>
  <c r="N37" i="85"/>
  <c r="I48" i="84"/>
  <c r="N25" i="82"/>
  <c r="O41" i="86"/>
  <c r="Z52" i="81"/>
  <c r="N52" i="86"/>
  <c r="Y40" i="81"/>
  <c r="P22" i="83"/>
  <c r="W24" i="81"/>
  <c r="Z53" i="81"/>
  <c r="D31" i="86"/>
  <c r="I18" i="83"/>
  <c r="D51" i="84"/>
  <c r="I33" i="85"/>
  <c r="K27" i="81"/>
  <c r="I55" i="81"/>
  <c r="I23" i="82"/>
  <c r="L48" i="85"/>
  <c r="P26" i="84"/>
  <c r="F26" i="82"/>
  <c r="G34" i="81"/>
  <c r="J48" i="82"/>
  <c r="M54" i="83"/>
  <c r="I17" i="82"/>
  <c r="D38" i="82"/>
  <c r="O39" i="85"/>
  <c r="H36" i="81"/>
  <c r="I45" i="84"/>
  <c r="I34" i="86"/>
  <c r="I17" i="81"/>
  <c r="M18" i="84"/>
  <c r="H45" i="86"/>
  <c r="O32" i="82"/>
  <c r="O29" i="85"/>
  <c r="G44" i="81"/>
  <c r="AC16" i="81"/>
  <c r="K37" i="81"/>
  <c r="P16" i="84"/>
  <c r="J26" i="81"/>
  <c r="L24" i="81"/>
  <c r="M18" i="85"/>
  <c r="I52" i="84"/>
  <c r="O33" i="86"/>
  <c r="M43" i="81"/>
  <c r="U44" i="81"/>
  <c r="O22" i="81"/>
  <c r="H40" i="86"/>
  <c r="N44" i="83"/>
  <c r="AE15" i="81"/>
  <c r="M50" i="85"/>
  <c r="P16" i="81"/>
  <c r="J41" i="81"/>
  <c r="AA33" i="81"/>
  <c r="G25" i="85"/>
  <c r="N29" i="83"/>
  <c r="M43" i="86"/>
  <c r="Z20" i="81"/>
  <c r="L47" i="82"/>
  <c r="L54" i="81"/>
  <c r="L44" i="84"/>
  <c r="H53" i="86"/>
  <c r="D15" i="86"/>
  <c r="K16" i="83"/>
  <c r="L50" i="82"/>
  <c r="N46" i="84"/>
  <c r="H18" i="82"/>
  <c r="K26" i="85"/>
  <c r="X18" i="81"/>
  <c r="F19" i="85"/>
  <c r="F36" i="84"/>
  <c r="U55" i="81"/>
  <c r="O33" i="84"/>
  <c r="P37" i="86"/>
  <c r="K54" i="82"/>
  <c r="N32" i="81"/>
  <c r="L51" i="82"/>
  <c r="N50" i="86"/>
  <c r="F45" i="83"/>
  <c r="Y27" i="81"/>
  <c r="K54" i="85"/>
  <c r="M30" i="82"/>
  <c r="H16" i="82"/>
  <c r="H23" i="84"/>
  <c r="O19" i="82"/>
  <c r="G39" i="86"/>
  <c r="O38" i="81"/>
  <c r="L27" i="83"/>
  <c r="K36" i="85"/>
  <c r="P47" i="81"/>
  <c r="I34" i="82"/>
  <c r="G18" i="81"/>
  <c r="M46" i="86"/>
  <c r="H55" i="85"/>
  <c r="G30" i="84"/>
  <c r="F41" i="83"/>
  <c r="G55" i="86"/>
  <c r="N15" i="81"/>
  <c r="I29" i="84"/>
  <c r="H32" i="86"/>
  <c r="L37" i="83"/>
  <c r="H24" i="84"/>
  <c r="K47" i="85"/>
  <c r="L20" i="85"/>
  <c r="F45" i="85"/>
  <c r="I24" i="82"/>
  <c r="D26" i="83"/>
  <c r="N52" i="85"/>
  <c r="N20" i="83"/>
  <c r="AA31" i="81"/>
  <c r="F31" i="82"/>
  <c r="AF41" i="81"/>
  <c r="O44" i="85"/>
  <c r="G55" i="83"/>
  <c r="M53" i="82"/>
  <c r="D19" i="81"/>
  <c r="F37" i="85"/>
  <c r="N48" i="84"/>
  <c r="G25" i="82"/>
  <c r="F41" i="86"/>
  <c r="AC52" i="81"/>
  <c r="K52" i="86"/>
  <c r="AB40" i="81"/>
  <c r="K22" i="83"/>
  <c r="AF24" i="81"/>
  <c r="W53" i="81"/>
  <c r="H31" i="86"/>
  <c r="X22" i="81"/>
  <c r="G47" i="83"/>
  <c r="H36" i="82"/>
  <c r="G38" i="84"/>
  <c r="O40" i="81"/>
  <c r="G32" i="84"/>
  <c r="F53" i="85"/>
  <c r="G38" i="85"/>
  <c r="Y23" i="81"/>
  <c r="AD36" i="81"/>
  <c r="F18" i="83"/>
  <c r="K51" i="84"/>
  <c r="L33" i="85"/>
  <c r="L27" i="81"/>
  <c r="L55" i="81"/>
  <c r="M23" i="82"/>
  <c r="M48" i="85"/>
  <c r="L26" i="84"/>
  <c r="M26" i="82"/>
  <c r="I34" i="81"/>
  <c r="P48" i="82"/>
  <c r="H54" i="83"/>
  <c r="D17" i="82"/>
  <c r="I38" i="82"/>
  <c r="L39" i="85"/>
  <c r="F36" i="81"/>
  <c r="K45" i="84"/>
  <c r="N34" i="86"/>
  <c r="H17" i="81"/>
  <c r="L41" i="82"/>
  <c r="O45" i="86"/>
  <c r="I40" i="82"/>
  <c r="H29" i="85"/>
  <c r="K23" i="83"/>
  <c r="W16" i="81"/>
  <c r="J37" i="81"/>
  <c r="D16" i="84"/>
  <c r="I26" i="81"/>
  <c r="D24" i="81"/>
  <c r="H18" i="85"/>
  <c r="P52" i="84"/>
  <c r="J33" i="86"/>
  <c r="I43" i="81"/>
  <c r="AA44" i="81"/>
  <c r="F22" i="81"/>
  <c r="N40" i="86"/>
  <c r="L44" i="83"/>
  <c r="Y15" i="81"/>
  <c r="H50" i="85"/>
  <c r="N16" i="81"/>
  <c r="O41" i="81"/>
  <c r="AB33" i="81"/>
  <c r="J25" i="85"/>
  <c r="I29" i="83"/>
  <c r="N43" i="86"/>
  <c r="AF20" i="81"/>
  <c r="G47" i="82"/>
  <c r="I54" i="81"/>
  <c r="K44" i="84"/>
  <c r="K53" i="86"/>
  <c r="K15" i="86"/>
  <c r="D16" i="83"/>
  <c r="N50" i="82"/>
  <c r="M46" i="84"/>
  <c r="G18" i="82"/>
  <c r="G26" i="85"/>
  <c r="O34" i="84"/>
  <c r="D19" i="85"/>
  <c r="G20" i="84"/>
  <c r="Y55" i="81"/>
  <c r="I33" i="84"/>
  <c r="N37" i="86"/>
  <c r="G54" i="82"/>
  <c r="D32" i="81"/>
  <c r="N51" i="82"/>
  <c r="O50" i="86"/>
  <c r="D45" i="83"/>
  <c r="U27" i="81"/>
  <c r="I54" i="85"/>
  <c r="L30" i="82"/>
  <c r="D16" i="82"/>
  <c r="L23" i="84"/>
  <c r="H19" i="82"/>
  <c r="K39" i="86"/>
  <c r="H38" i="81"/>
  <c r="H27" i="83"/>
  <c r="P36" i="85"/>
  <c r="N47" i="81"/>
  <c r="N34" i="82"/>
  <c r="L18" i="81"/>
  <c r="L46" i="86"/>
  <c r="M48" i="83"/>
  <c r="N30" i="84"/>
  <c r="H41" i="83"/>
  <c r="F55" i="86"/>
  <c r="H15" i="81"/>
  <c r="H29" i="84"/>
  <c r="P32" i="86"/>
  <c r="N37" i="83"/>
  <c r="N24" i="84"/>
  <c r="M47" i="85"/>
  <c r="O20" i="85"/>
  <c r="D45" i="85"/>
  <c r="H24" i="82"/>
  <c r="F26" i="83"/>
  <c r="L52" i="85"/>
  <c r="J20" i="83"/>
  <c r="Y31" i="81"/>
  <c r="D31" i="82"/>
  <c r="AC41" i="81"/>
  <c r="M44" i="85"/>
  <c r="D55" i="83"/>
  <c r="L53" i="82"/>
  <c r="H19" i="81"/>
  <c r="P37" i="85"/>
  <c r="O48" i="84"/>
  <c r="L25" i="82"/>
  <c r="I41" i="86"/>
  <c r="Y52" i="81"/>
  <c r="O52" i="86"/>
  <c r="AG40" i="81"/>
  <c r="I22" i="83"/>
  <c r="AB24" i="81"/>
  <c r="U53" i="81"/>
  <c r="O31" i="86"/>
  <c r="W22" i="81"/>
  <c r="N47" i="83"/>
  <c r="L36" i="82"/>
  <c r="H38" i="84"/>
  <c r="G40" i="81"/>
  <c r="K32" i="84"/>
  <c r="H53" i="85"/>
  <c r="H38" i="85"/>
  <c r="AG23" i="81"/>
  <c r="AC36" i="81"/>
  <c r="P55" i="82"/>
  <c r="F50" i="83"/>
  <c r="U34" i="81"/>
  <c r="O27" i="86"/>
  <c r="P19" i="83"/>
  <c r="H39" i="81"/>
  <c r="I17" i="83"/>
  <c r="Y17" i="81"/>
  <c r="M53" i="81"/>
  <c r="I20" i="86"/>
  <c r="AG48" i="81"/>
  <c r="P36" i="86"/>
  <c r="AG39" i="81"/>
  <c r="AA54" i="81"/>
  <c r="P55" i="84"/>
  <c r="H26" i="86"/>
  <c r="N15" i="84"/>
  <c r="P33" i="82"/>
  <c r="J45" i="81"/>
  <c r="N43" i="84"/>
  <c r="K31" i="81"/>
  <c r="H31" i="83"/>
  <c r="F40" i="85"/>
  <c r="P22" i="85"/>
  <c r="J51" i="83"/>
  <c r="M52" i="82"/>
  <c r="I22" i="86"/>
  <c r="F54" i="86"/>
  <c r="N36" i="83"/>
  <c r="F19" i="86"/>
  <c r="I46" i="81"/>
  <c r="I33" i="83"/>
  <c r="H17" i="86"/>
  <c r="H40" i="83"/>
  <c r="P31" i="85"/>
  <c r="J40" i="84"/>
  <c r="D54" i="84"/>
  <c r="J46" i="83"/>
  <c r="W37" i="81"/>
  <c r="I53" i="84"/>
  <c r="N30" i="81"/>
  <c r="O30" i="86"/>
  <c r="H37" i="82"/>
  <c r="M51" i="85"/>
  <c r="M19" i="84"/>
  <c r="AB29" i="81"/>
  <c r="G45" i="82"/>
  <c r="I46" i="82"/>
  <c r="AF19" i="81"/>
  <c r="I16" i="85"/>
  <c r="D22" i="84"/>
  <c r="H43" i="82"/>
  <c r="I38" i="86"/>
  <c r="D23" i="81"/>
  <c r="AF26" i="81"/>
  <c r="O24" i="83"/>
  <c r="D53" i="83"/>
  <c r="M24" i="86"/>
  <c r="O23" i="85"/>
  <c r="O15" i="83"/>
  <c r="K27" i="84"/>
  <c r="H52" i="83"/>
  <c r="Y45" i="81"/>
  <c r="K50" i="84"/>
  <c r="O30" i="85"/>
  <c r="F27" i="85"/>
  <c r="AG32" i="81"/>
  <c r="H25" i="84"/>
  <c r="M51" i="81"/>
  <c r="M41" i="84"/>
  <c r="M23" i="86"/>
  <c r="M31" i="84"/>
  <c r="I41" i="85"/>
  <c r="F34" i="85"/>
  <c r="G43" i="85"/>
  <c r="K43" i="83"/>
  <c r="G39" i="84"/>
  <c r="AD25" i="81"/>
  <c r="K39" i="83"/>
  <c r="M50" i="81"/>
  <c r="G22" i="83"/>
  <c r="F32" i="84"/>
  <c r="U23" i="81"/>
  <c r="N50" i="83"/>
  <c r="AC51" i="81"/>
  <c r="P27" i="86"/>
  <c r="D64" i="90"/>
  <c r="D23" i="90"/>
  <c r="N18" i="83"/>
  <c r="N51" i="84"/>
  <c r="D33" i="85"/>
  <c r="O24" i="85"/>
  <c r="K55" i="81"/>
  <c r="K25" i="83"/>
  <c r="O48" i="85"/>
  <c r="L51" i="86"/>
  <c r="L26" i="82"/>
  <c r="G29" i="81"/>
  <c r="H48" i="82"/>
  <c r="J47" i="84"/>
  <c r="K17" i="82"/>
  <c r="M47" i="86"/>
  <c r="I39" i="85"/>
  <c r="F25" i="86"/>
  <c r="D45" i="84"/>
  <c r="AD46" i="81"/>
  <c r="O17" i="81"/>
  <c r="M41" i="82"/>
  <c r="F45" i="86"/>
  <c r="G40" i="82"/>
  <c r="J29" i="85"/>
  <c r="G23" i="83"/>
  <c r="Z16" i="81"/>
  <c r="D37" i="81"/>
  <c r="H16" i="84"/>
  <c r="F26" i="81"/>
  <c r="N24" i="81"/>
  <c r="I18" i="85"/>
  <c r="F52" i="84"/>
  <c r="M33" i="86"/>
  <c r="K43" i="81"/>
  <c r="AD44" i="81"/>
  <c r="N22" i="81"/>
  <c r="D40" i="86"/>
  <c r="H44" i="83"/>
  <c r="AC15" i="81"/>
  <c r="D32" i="85"/>
  <c r="L16" i="81"/>
  <c r="L39" i="82"/>
  <c r="W33" i="81"/>
  <c r="H25" i="81"/>
  <c r="H29" i="83"/>
  <c r="G32" i="83"/>
  <c r="W20" i="81"/>
  <c r="J29" i="82"/>
  <c r="G54" i="81"/>
  <c r="O15" i="85"/>
  <c r="D53" i="86"/>
  <c r="P17" i="85"/>
  <c r="P16" i="83"/>
  <c r="L20" i="81"/>
  <c r="F46" i="84"/>
  <c r="K37" i="84"/>
  <c r="H26" i="85"/>
  <c r="J34" i="84"/>
  <c r="K19" i="85"/>
  <c r="D20" i="84"/>
  <c r="X55" i="81"/>
  <c r="N33" i="84"/>
  <c r="J37" i="86"/>
  <c r="L54" i="82"/>
  <c r="L32" i="81"/>
  <c r="G51" i="82"/>
  <c r="H50" i="86"/>
  <c r="J45" i="83"/>
  <c r="Z27" i="81"/>
  <c r="M54" i="85"/>
  <c r="N30" i="82"/>
  <c r="G16" i="82"/>
  <c r="I23" i="84"/>
  <c r="L19" i="82"/>
  <c r="I39" i="86"/>
  <c r="N38" i="81"/>
  <c r="K27" i="83"/>
  <c r="G36" i="85"/>
  <c r="F16" i="86"/>
  <c r="J34" i="82"/>
  <c r="I18" i="81"/>
  <c r="K46" i="86"/>
  <c r="L48" i="83"/>
  <c r="D30" i="84"/>
  <c r="I41" i="83"/>
  <c r="O55" i="86"/>
  <c r="G15" i="81"/>
  <c r="L29" i="84"/>
  <c r="K32" i="86"/>
  <c r="H37" i="83"/>
  <c r="K24" i="84"/>
  <c r="D47" i="85"/>
  <c r="D20" i="85"/>
  <c r="N45" i="85"/>
  <c r="P24" i="82"/>
  <c r="I26" i="83"/>
  <c r="O52" i="85"/>
  <c r="P20" i="83"/>
  <c r="AE31" i="81"/>
  <c r="I31" i="82"/>
  <c r="AA41" i="81"/>
  <c r="J44" i="85"/>
  <c r="I55" i="83"/>
  <c r="O53" i="82"/>
  <c r="F19" i="81"/>
  <c r="D37" i="85"/>
  <c r="D48" i="84"/>
  <c r="D25" i="82"/>
  <c r="M41" i="86"/>
  <c r="AB52" i="81"/>
  <c r="H52" i="86"/>
  <c r="Z40" i="81"/>
  <c r="AG24" i="81"/>
  <c r="Y53" i="81"/>
  <c r="J31" i="86"/>
  <c r="AF22" i="81"/>
  <c r="O47" i="83"/>
  <c r="F36" i="82"/>
  <c r="L38" i="84"/>
  <c r="P40" i="81"/>
  <c r="J53" i="85"/>
  <c r="I38" i="85"/>
  <c r="F55" i="82"/>
  <c r="Z34" i="81"/>
  <c r="O18" i="83"/>
  <c r="Z47" i="81"/>
  <c r="N33" i="85"/>
  <c r="D24" i="85"/>
  <c r="N55" i="81"/>
  <c r="O25" i="83"/>
  <c r="J48" i="85"/>
  <c r="J51" i="86"/>
  <c r="O26" i="82"/>
  <c r="N29" i="81"/>
  <c r="G48" i="82"/>
  <c r="D47" i="84"/>
  <c r="G17" i="82"/>
  <c r="J47" i="86"/>
  <c r="M39" i="85"/>
  <c r="M25" i="86"/>
  <c r="P45" i="84"/>
  <c r="AE46" i="81"/>
  <c r="K17" i="81"/>
  <c r="F41" i="82"/>
  <c r="J45" i="86"/>
  <c r="L40" i="82"/>
  <c r="L29" i="85"/>
  <c r="P23" i="83"/>
  <c r="Y16" i="81"/>
  <c r="M37" i="81"/>
  <c r="L16" i="84"/>
  <c r="D26" i="81"/>
  <c r="J24" i="81"/>
  <c r="F18" i="85"/>
  <c r="H52" i="84"/>
  <c r="H33" i="86"/>
  <c r="L43" i="81"/>
  <c r="W44" i="81"/>
  <c r="I22" i="81"/>
  <c r="K40" i="86"/>
  <c r="F44" i="83"/>
  <c r="Z15" i="81"/>
  <c r="L32" i="85"/>
  <c r="F16" i="81"/>
  <c r="N39" i="82"/>
  <c r="AG33" i="81"/>
  <c r="D25" i="81"/>
  <c r="J29" i="83"/>
  <c r="M32" i="83"/>
  <c r="X20" i="81"/>
  <c r="I29" i="82"/>
  <c r="D54" i="81"/>
  <c r="M15" i="85"/>
  <c r="N53" i="86"/>
  <c r="K17" i="85"/>
  <c r="M16" i="83"/>
  <c r="J20" i="81"/>
  <c r="G46" i="84"/>
  <c r="N37" i="84"/>
  <c r="L26" i="85"/>
  <c r="I34" i="84"/>
  <c r="L19" i="85"/>
  <c r="M20" i="84"/>
  <c r="AF55" i="81"/>
  <c r="D33" i="84"/>
  <c r="K37" i="86"/>
  <c r="F54" i="82"/>
  <c r="J32" i="81"/>
  <c r="F51" i="82"/>
  <c r="I50" i="86"/>
  <c r="P45" i="83"/>
  <c r="D48" i="81"/>
  <c r="P54" i="85"/>
  <c r="H44" i="82"/>
  <c r="N16" i="82"/>
  <c r="N33" i="81"/>
  <c r="J19" i="82"/>
  <c r="D46" i="85"/>
  <c r="J38" i="81"/>
  <c r="U50" i="81"/>
  <c r="F36" i="85"/>
  <c r="K16" i="86"/>
  <c r="M34" i="82"/>
  <c r="P18" i="81"/>
  <c r="J55" i="85"/>
  <c r="G48" i="83"/>
  <c r="I30" i="84"/>
  <c r="K41" i="83"/>
  <c r="P55" i="86"/>
  <c r="J15" i="81"/>
  <c r="N29" i="84"/>
  <c r="G32" i="86"/>
  <c r="I37" i="83"/>
  <c r="I24" i="84"/>
  <c r="N47" i="85"/>
  <c r="F20" i="85"/>
  <c r="O45" i="85"/>
  <c r="F24" i="82"/>
  <c r="J26" i="83"/>
  <c r="G52" i="85"/>
  <c r="K20" i="83"/>
  <c r="X31" i="81"/>
  <c r="M31" i="82"/>
  <c r="AD41" i="81"/>
  <c r="G44" i="85"/>
  <c r="N55" i="83"/>
  <c r="I53" i="82"/>
  <c r="O19" i="81"/>
  <c r="M37" i="85"/>
  <c r="H48" i="84"/>
  <c r="F25" i="82"/>
  <c r="J41" i="86"/>
  <c r="AA52" i="81"/>
  <c r="F52" i="86"/>
  <c r="AF40" i="81"/>
  <c r="J22" i="83"/>
  <c r="AE24" i="81"/>
  <c r="AB53" i="81"/>
  <c r="K31" i="86"/>
  <c r="Y22" i="81"/>
  <c r="M47" i="83"/>
  <c r="K36" i="82"/>
  <c r="M38" i="84"/>
  <c r="L40" i="81"/>
  <c r="M32" i="84"/>
  <c r="D53" i="85"/>
  <c r="L38" i="85"/>
  <c r="AG36" i="81"/>
  <c r="H55" i="82"/>
  <c r="H50" i="83"/>
  <c r="AE51" i="81"/>
  <c r="J18" i="83"/>
  <c r="AG47" i="81"/>
  <c r="F33" i="85"/>
  <c r="G24" i="85"/>
  <c r="M55" i="81"/>
  <c r="G25" i="83"/>
  <c r="D48" i="85"/>
  <c r="D51" i="86"/>
  <c r="I26" i="82"/>
  <c r="O29" i="81"/>
  <c r="M48" i="82"/>
  <c r="F47" i="84"/>
  <c r="P17" i="82"/>
  <c r="F47" i="86"/>
  <c r="P39" i="85"/>
  <c r="G25" i="86"/>
  <c r="N45" i="84"/>
  <c r="Y46" i="81"/>
  <c r="D17" i="81"/>
  <c r="N41" i="82"/>
  <c r="G45" i="86"/>
  <c r="P40" i="82"/>
  <c r="D29" i="85"/>
  <c r="F23" i="83"/>
  <c r="AF16" i="81"/>
  <c r="O37" i="81"/>
  <c r="G18" i="86"/>
  <c r="P26" i="81"/>
  <c r="J38" i="83"/>
  <c r="K18" i="85"/>
  <c r="K15" i="82"/>
  <c r="P33" i="86"/>
  <c r="K20" i="82"/>
  <c r="X44" i="81"/>
  <c r="O52" i="81"/>
  <c r="M40" i="86"/>
  <c r="AB43" i="81"/>
  <c r="U15" i="81"/>
  <c r="F32" i="85"/>
  <c r="I16" i="81"/>
  <c r="P39" i="82"/>
  <c r="AE33" i="81"/>
  <c r="G25" i="81"/>
  <c r="F29" i="83"/>
  <c r="H32" i="83"/>
  <c r="AC20" i="81"/>
  <c r="P29" i="82"/>
  <c r="O54" i="81"/>
  <c r="I15" i="85"/>
  <c r="I53" i="86"/>
  <c r="D17" i="85"/>
  <c r="G16" i="83"/>
  <c r="I20" i="81"/>
  <c r="H46" i="84"/>
  <c r="J37" i="84"/>
  <c r="O26" i="85"/>
  <c r="K34" i="84"/>
  <c r="I19" i="85"/>
  <c r="K20" i="84"/>
  <c r="I44" i="86"/>
  <c r="L33" i="84"/>
  <c r="J29" i="86"/>
  <c r="H54" i="82"/>
  <c r="L22" i="82"/>
  <c r="P51" i="82"/>
  <c r="L30" i="83"/>
  <c r="G45" i="83"/>
  <c r="N48" i="81"/>
  <c r="H54" i="85"/>
  <c r="O44" i="82"/>
  <c r="L16" i="82"/>
  <c r="F33" i="81"/>
  <c r="P19" i="82"/>
  <c r="F46" i="85"/>
  <c r="M38" i="81"/>
  <c r="Y50" i="81"/>
  <c r="M36" i="85"/>
  <c r="P16" i="86"/>
  <c r="G34" i="82"/>
  <c r="K18" i="81"/>
  <c r="G55" i="85"/>
  <c r="K48" i="83"/>
  <c r="O30" i="84"/>
  <c r="G41" i="83"/>
  <c r="M55" i="86"/>
  <c r="O15" i="81"/>
  <c r="M29" i="84"/>
  <c r="N32" i="86"/>
  <c r="G37" i="83"/>
  <c r="P24" i="84"/>
  <c r="F47" i="85"/>
  <c r="M20" i="85"/>
  <c r="P45" i="85"/>
  <c r="N24" i="82"/>
  <c r="H26" i="83"/>
  <c r="J52" i="85"/>
  <c r="M20" i="83"/>
  <c r="AB31" i="81"/>
  <c r="G31" i="82"/>
  <c r="X41" i="81"/>
  <c r="F44" i="85"/>
  <c r="P55" i="83"/>
  <c r="F53" i="82"/>
  <c r="N19" i="81"/>
  <c r="O37" i="85"/>
  <c r="L48" i="84"/>
  <c r="I25" i="82"/>
  <c r="H41" i="86"/>
  <c r="AE52" i="81"/>
  <c r="J52" i="86"/>
  <c r="AC40" i="81"/>
  <c r="N22" i="83"/>
  <c r="Y24" i="81"/>
  <c r="AD53" i="81"/>
  <c r="L31" i="86"/>
  <c r="I47" i="83"/>
  <c r="J36" i="82"/>
  <c r="F38" i="84"/>
  <c r="M40" i="81"/>
  <c r="P32" i="84"/>
  <c r="M53" i="85"/>
  <c r="O38" i="85"/>
  <c r="AA23" i="81"/>
  <c r="W36" i="81"/>
  <c r="J55" i="82"/>
  <c r="K50" i="83"/>
  <c r="AF51" i="81"/>
  <c r="P18" i="83"/>
  <c r="AB47" i="81"/>
  <c r="P33" i="85"/>
  <c r="J24" i="85"/>
  <c r="J55" i="81"/>
  <c r="J25" i="83"/>
  <c r="H48" i="85"/>
  <c r="K51" i="86"/>
  <c r="P26" i="82"/>
  <c r="L29" i="81"/>
  <c r="N48" i="82"/>
  <c r="I47" i="84"/>
  <c r="L17" i="82"/>
  <c r="N47" i="86"/>
  <c r="G39" i="85"/>
  <c r="K25" i="86"/>
  <c r="O45" i="84"/>
  <c r="AA46" i="81"/>
  <c r="H18" i="84"/>
  <c r="G41" i="82"/>
  <c r="L32" i="82"/>
  <c r="N40" i="82"/>
  <c r="H44" i="81"/>
  <c r="H23" i="83"/>
  <c r="AD38" i="81"/>
  <c r="L37" i="81"/>
  <c r="D18" i="86"/>
  <c r="M26" i="81"/>
  <c r="G38" i="83"/>
  <c r="L18" i="85"/>
  <c r="N15" i="82"/>
  <c r="G33" i="86"/>
  <c r="J20" i="82"/>
  <c r="AC44" i="81"/>
  <c r="I52" i="81"/>
  <c r="I40" i="86"/>
  <c r="AE43" i="81"/>
  <c r="AD15" i="81"/>
  <c r="J32" i="85"/>
  <c r="M16" i="81"/>
  <c r="D39" i="82"/>
  <c r="AF33" i="81"/>
  <c r="F25" i="81"/>
  <c r="P29" i="83"/>
  <c r="P32" i="83"/>
  <c r="AG20" i="81"/>
  <c r="O29" i="82"/>
  <c r="M54" i="81"/>
  <c r="F15" i="85"/>
  <c r="J53" i="86"/>
  <c r="O17" i="85"/>
  <c r="F16" i="83"/>
  <c r="O20" i="81"/>
  <c r="O46" i="84"/>
  <c r="M37" i="84"/>
  <c r="I26" i="85"/>
  <c r="G34" i="84"/>
  <c r="G36" i="84"/>
  <c r="O20" i="84"/>
  <c r="H44" i="86"/>
  <c r="F33" i="84"/>
  <c r="O29" i="86"/>
  <c r="O54" i="82"/>
  <c r="P22" i="82"/>
  <c r="H51" i="82"/>
  <c r="J30" i="83"/>
  <c r="H45" i="83"/>
  <c r="G48" i="81"/>
  <c r="G54" i="85"/>
  <c r="I44" i="82"/>
  <c r="M16" i="82"/>
  <c r="K33" i="81"/>
  <c r="M19" i="82"/>
  <c r="J46" i="85"/>
  <c r="K38" i="81"/>
  <c r="AB50" i="81"/>
  <c r="N36" i="85"/>
  <c r="L16" i="86"/>
  <c r="F34" i="82"/>
  <c r="H46" i="86"/>
  <c r="I55" i="85"/>
  <c r="D48" i="83"/>
  <c r="H30" i="84"/>
  <c r="L41" i="83"/>
  <c r="I55" i="86"/>
  <c r="K15" i="81"/>
  <c r="P29" i="84"/>
  <c r="D32" i="86"/>
  <c r="K37" i="83"/>
  <c r="O24" i="84"/>
  <c r="P47" i="85"/>
  <c r="H20" i="85"/>
  <c r="K45" i="85"/>
  <c r="M24" i="82"/>
  <c r="M26" i="83"/>
  <c r="H52" i="85"/>
  <c r="O20" i="83"/>
  <c r="U31" i="81"/>
  <c r="O31" i="82"/>
  <c r="AB41" i="81"/>
  <c r="D44" i="85"/>
  <c r="O55" i="83"/>
  <c r="G53" i="82"/>
  <c r="M19" i="81"/>
  <c r="G37" i="85"/>
  <c r="M48" i="84"/>
  <c r="P25" i="82"/>
  <c r="N41" i="86"/>
  <c r="W52" i="81"/>
  <c r="G52" i="86"/>
  <c r="W40" i="81"/>
  <c r="O22" i="83"/>
  <c r="X24" i="81"/>
  <c r="I31" i="86"/>
  <c r="AA22" i="81"/>
  <c r="K47" i="83"/>
  <c r="O36" i="82"/>
  <c r="N38" i="84"/>
  <c r="K40" i="81"/>
  <c r="N32" i="84"/>
  <c r="I53" i="85"/>
  <c r="J38" i="85"/>
  <c r="AD23" i="81"/>
  <c r="AF36" i="81"/>
  <c r="D55" i="82"/>
  <c r="H18" i="83"/>
  <c r="Y47" i="81"/>
  <c r="N27" i="81"/>
  <c r="I24" i="85"/>
  <c r="N23" i="82"/>
  <c r="N25" i="83"/>
  <c r="F26" i="84"/>
  <c r="H51" i="86"/>
  <c r="H34" i="81"/>
  <c r="D29" i="81"/>
  <c r="P54" i="83"/>
  <c r="H47" i="84"/>
  <c r="N38" i="82"/>
  <c r="L47" i="86"/>
  <c r="D36" i="81"/>
  <c r="J25" i="86"/>
  <c r="L34" i="86"/>
  <c r="Z46" i="81"/>
  <c r="G18" i="84"/>
  <c r="K41" i="82"/>
  <c r="P32" i="82"/>
  <c r="H40" i="82"/>
  <c r="N44" i="81"/>
  <c r="O23" i="83"/>
  <c r="Y38" i="81"/>
  <c r="G37" i="81"/>
  <c r="O18" i="86"/>
  <c r="O26" i="81"/>
  <c r="N38" i="83"/>
  <c r="O18" i="85"/>
  <c r="D15" i="82"/>
  <c r="K33" i="86"/>
  <c r="I20" i="82"/>
  <c r="AG44" i="81"/>
  <c r="H52" i="81"/>
  <c r="G40" i="86"/>
  <c r="Z43" i="81"/>
  <c r="D50" i="85"/>
  <c r="K32" i="85"/>
  <c r="K41" i="81"/>
  <c r="F39" i="82"/>
  <c r="P25" i="85"/>
  <c r="L25" i="81"/>
  <c r="K43" i="86"/>
  <c r="L32" i="83"/>
  <c r="I47" i="82"/>
  <c r="H29" i="82"/>
  <c r="F44" i="84"/>
  <c r="P15" i="85"/>
  <c r="J15" i="86"/>
  <c r="I17" i="85"/>
  <c r="F50" i="82"/>
  <c r="K20" i="81"/>
  <c r="O18" i="82"/>
  <c r="G37" i="84"/>
  <c r="W18" i="81"/>
  <c r="N34" i="84"/>
  <c r="J36" i="84"/>
  <c r="F20" i="84"/>
  <c r="D44" i="86"/>
  <c r="M33" i="84"/>
  <c r="G29" i="86"/>
  <c r="I54" i="82"/>
  <c r="M22" i="82"/>
  <c r="I51" i="82"/>
  <c r="P30" i="83"/>
  <c r="L45" i="83"/>
  <c r="O48" i="81"/>
  <c r="J54" i="85"/>
  <c r="M44" i="82"/>
  <c r="J16" i="82"/>
  <c r="P33" i="81"/>
  <c r="N19" i="82"/>
  <c r="K46" i="85"/>
  <c r="F38" i="81"/>
  <c r="AA50" i="81"/>
  <c r="K47" i="81"/>
  <c r="H16" i="86"/>
  <c r="H34" i="82"/>
  <c r="N46" i="86"/>
  <c r="O55" i="85"/>
  <c r="J48" i="83"/>
  <c r="L30" i="84"/>
  <c r="J41" i="83"/>
  <c r="K55" i="86"/>
  <c r="I15" i="81"/>
  <c r="G29" i="84"/>
  <c r="M32" i="86"/>
  <c r="F37" i="83"/>
  <c r="F24" i="84"/>
  <c r="L47" i="85"/>
  <c r="G20" i="85"/>
  <c r="H45" i="85"/>
  <c r="J24" i="82"/>
  <c r="G26" i="83"/>
  <c r="I52" i="85"/>
  <c r="L20" i="83"/>
  <c r="AC31" i="81"/>
  <c r="H31" i="82"/>
  <c r="Z41" i="81"/>
  <c r="L44" i="85"/>
  <c r="F55" i="83"/>
  <c r="D53" i="82"/>
  <c r="K19" i="81"/>
  <c r="J37" i="85"/>
  <c r="F48" i="84"/>
  <c r="J25" i="82"/>
  <c r="D41" i="86"/>
  <c r="X52" i="81"/>
  <c r="L52" i="86"/>
  <c r="U40" i="81"/>
  <c r="F22" i="83"/>
  <c r="AA53" i="81"/>
  <c r="N31" i="86"/>
  <c r="AG22" i="81"/>
  <c r="D47" i="83"/>
  <c r="N36" i="82"/>
  <c r="I38" i="84"/>
  <c r="D40" i="81"/>
  <c r="I32" i="84"/>
  <c r="G53" i="85"/>
  <c r="N38" i="85"/>
  <c r="AB23" i="81"/>
  <c r="Y36" i="81"/>
  <c r="N55" i="82"/>
  <c r="J50" i="83"/>
  <c r="AD51" i="81"/>
  <c r="AE34" i="81"/>
  <c r="K27" i="86"/>
  <c r="O19" i="83"/>
  <c r="F39" i="81"/>
  <c r="O17" i="83"/>
  <c r="AF17" i="81"/>
  <c r="N53" i="81"/>
  <c r="N20" i="86"/>
  <c r="Z48" i="81"/>
  <c r="N36" i="86"/>
  <c r="Z39" i="81"/>
  <c r="AE54" i="81"/>
  <c r="M55" i="84"/>
  <c r="M26" i="86"/>
  <c r="K15" i="84"/>
  <c r="J33" i="82"/>
  <c r="G45" i="81"/>
  <c r="D43" i="84"/>
  <c r="J31" i="81"/>
  <c r="G31" i="83"/>
  <c r="N40" i="85"/>
  <c r="J22" i="85"/>
  <c r="M51" i="83"/>
  <c r="J52" i="82"/>
  <c r="J22" i="86"/>
  <c r="M54" i="86"/>
  <c r="G36" i="83"/>
  <c r="D19" i="86"/>
  <c r="H46" i="81"/>
  <c r="M33" i="83"/>
  <c r="L17" i="86"/>
  <c r="P40" i="83"/>
  <c r="J31" i="85"/>
  <c r="G40" i="84"/>
  <c r="N54" i="84"/>
  <c r="K46" i="83"/>
  <c r="Y37" i="81"/>
  <c r="N53" i="84"/>
  <c r="M30" i="81"/>
  <c r="H30" i="86"/>
  <c r="D37" i="82"/>
  <c r="J51" i="85"/>
  <c r="P19" i="84"/>
  <c r="M45" i="82"/>
  <c r="M46" i="82"/>
  <c r="AE19" i="81"/>
  <c r="J16" i="85"/>
  <c r="H22" i="84"/>
  <c r="P43" i="82"/>
  <c r="L38" i="86"/>
  <c r="P23" i="81"/>
  <c r="Z26" i="81"/>
  <c r="D24" i="83"/>
  <c r="H53" i="83"/>
  <c r="J24" i="86"/>
  <c r="G23" i="85"/>
  <c r="H15" i="83"/>
  <c r="I27" i="84"/>
  <c r="F52" i="83"/>
  <c r="AB45" i="81"/>
  <c r="M50" i="84"/>
  <c r="P30" i="85"/>
  <c r="M27" i="85"/>
  <c r="AC32" i="81"/>
  <c r="D25" i="84"/>
  <c r="H51" i="81"/>
  <c r="O41" i="84"/>
  <c r="D23" i="86"/>
  <c r="F31" i="84"/>
  <c r="AB30" i="81"/>
  <c r="J41" i="85"/>
  <c r="K34" i="85"/>
  <c r="K43" i="85"/>
  <c r="G43" i="83"/>
  <c r="D39" i="84"/>
  <c r="AG25" i="81"/>
  <c r="D39" i="83"/>
  <c r="F50" i="81"/>
  <c r="H44" i="85"/>
  <c r="L41" i="86"/>
  <c r="D52" i="86"/>
  <c r="Z24" i="81"/>
  <c r="F31" i="86"/>
  <c r="U22" i="81"/>
  <c r="O32" i="84"/>
  <c r="AA36" i="81"/>
  <c r="P50" i="83"/>
  <c r="W34" i="81"/>
  <c r="L27" i="86"/>
  <c r="J17" i="83"/>
  <c r="AC17" i="81"/>
  <c r="O53" i="81"/>
  <c r="H36" i="86"/>
  <c r="X54" i="81"/>
  <c r="J15" i="84"/>
  <c r="K45" i="81"/>
  <c r="N31" i="81"/>
  <c r="O51" i="83"/>
  <c r="O22" i="86"/>
  <c r="F46" i="81"/>
  <c r="G17" i="86"/>
  <c r="O40" i="84"/>
  <c r="AB37" i="81"/>
  <c r="G30" i="86"/>
  <c r="N19" i="84"/>
  <c r="O46" i="82"/>
  <c r="M16" i="85"/>
  <c r="F23" i="81"/>
  <c r="K24" i="83"/>
  <c r="L15" i="83"/>
  <c r="N52" i="83"/>
  <c r="G30" i="85"/>
  <c r="W32" i="81"/>
  <c r="P41" i="84"/>
  <c r="I31" i="84"/>
  <c r="M43" i="85"/>
  <c r="H39" i="84"/>
  <c r="I50" i="81"/>
  <c r="F23" i="85"/>
  <c r="J30" i="85"/>
  <c r="F51" i="81"/>
  <c r="I34" i="85"/>
  <c r="O51" i="81"/>
  <c r="M34" i="85"/>
  <c r="G51" i="81"/>
  <c r="H50" i="81"/>
  <c r="P15" i="83"/>
  <c r="I23" i="86"/>
  <c r="O31" i="84"/>
  <c r="Z22" i="81"/>
  <c r="D32" i="84"/>
  <c r="AB36" i="81"/>
  <c r="D50" i="83"/>
  <c r="AB34" i="81"/>
  <c r="H27" i="86"/>
  <c r="N19" i="83"/>
  <c r="P17" i="83"/>
  <c r="X17" i="81"/>
  <c r="K53" i="81"/>
  <c r="O20" i="86"/>
  <c r="O36" i="86"/>
  <c r="Y39" i="81"/>
  <c r="W54" i="81"/>
  <c r="I55" i="84"/>
  <c r="L15" i="84"/>
  <c r="L33" i="82"/>
  <c r="H45" i="81"/>
  <c r="F43" i="84"/>
  <c r="L31" i="81"/>
  <c r="O40" i="85"/>
  <c r="N22" i="85"/>
  <c r="H51" i="83"/>
  <c r="O52" i="82"/>
  <c r="P22" i="86"/>
  <c r="F36" i="83"/>
  <c r="G19" i="86"/>
  <c r="D46" i="81"/>
  <c r="F33" i="83"/>
  <c r="N17" i="86"/>
  <c r="L31" i="85"/>
  <c r="H40" i="84"/>
  <c r="H54" i="84"/>
  <c r="N46" i="83"/>
  <c r="K53" i="84"/>
  <c r="K30" i="81"/>
  <c r="D30" i="86"/>
  <c r="P37" i="82"/>
  <c r="G51" i="85"/>
  <c r="U29" i="81"/>
  <c r="K45" i="82"/>
  <c r="F46" i="82"/>
  <c r="AC19" i="81"/>
  <c r="N16" i="85"/>
  <c r="K43" i="82"/>
  <c r="K38" i="86"/>
  <c r="I23" i="81"/>
  <c r="W26" i="81"/>
  <c r="G24" i="86"/>
  <c r="I15" i="83"/>
  <c r="X45" i="81"/>
  <c r="G27" i="85"/>
  <c r="F41" i="84"/>
  <c r="F43" i="85"/>
  <c r="G23" i="86"/>
  <c r="D41" i="84"/>
  <c r="O39" i="83"/>
  <c r="I52" i="83"/>
  <c r="G41" i="84"/>
  <c r="F30" i="85"/>
  <c r="H43" i="85"/>
  <c r="J47" i="83"/>
  <c r="J32" i="84"/>
  <c r="X36" i="81"/>
  <c r="G50" i="83"/>
  <c r="Y34" i="81"/>
  <c r="G27" i="86"/>
  <c r="J39" i="81"/>
  <c r="D17" i="83"/>
  <c r="W17" i="81"/>
  <c r="D53" i="81"/>
  <c r="H20" i="86"/>
  <c r="I36" i="86"/>
  <c r="U39" i="81"/>
  <c r="Z54" i="81"/>
  <c r="K26" i="86"/>
  <c r="O15" i="84"/>
  <c r="N33" i="82"/>
  <c r="L45" i="81"/>
  <c r="M43" i="84"/>
  <c r="F31" i="83"/>
  <c r="M40" i="85"/>
  <c r="F22" i="85"/>
  <c r="N51" i="83"/>
  <c r="F52" i="82"/>
  <c r="N54" i="86"/>
  <c r="D36" i="83"/>
  <c r="P19" i="86"/>
  <c r="J46" i="81"/>
  <c r="D33" i="83"/>
  <c r="O40" i="83"/>
  <c r="M31" i="85"/>
  <c r="P40" i="84"/>
  <c r="M54" i="84"/>
  <c r="H46" i="83"/>
  <c r="L53" i="84"/>
  <c r="F30" i="81"/>
  <c r="P30" i="86"/>
  <c r="L37" i="82"/>
  <c r="I51" i="85"/>
  <c r="W29" i="81"/>
  <c r="N45" i="82"/>
  <c r="N46" i="82"/>
  <c r="U19" i="81"/>
  <c r="I22" i="84"/>
  <c r="M43" i="82"/>
  <c r="P38" i="86"/>
  <c r="J23" i="81"/>
  <c r="AB26" i="81"/>
  <c r="O53" i="83"/>
  <c r="F24" i="86"/>
  <c r="K23" i="85"/>
  <c r="J15" i="83"/>
  <c r="M27" i="84"/>
  <c r="U45" i="81"/>
  <c r="H41" i="84"/>
  <c r="O39" i="84"/>
  <c r="D43" i="85"/>
  <c r="M23" i="81"/>
  <c r="G25" i="84"/>
  <c r="W45" i="81"/>
  <c r="Z25" i="81"/>
  <c r="F47" i="83"/>
  <c r="P53" i="85"/>
  <c r="M55" i="82"/>
  <c r="O50" i="83"/>
  <c r="AG34" i="81"/>
  <c r="M27" i="86"/>
  <c r="K39" i="81"/>
  <c r="N17" i="83"/>
  <c r="AA17" i="81"/>
  <c r="H53" i="81"/>
  <c r="Y48" i="81"/>
  <c r="M36" i="86"/>
  <c r="AB39" i="81"/>
  <c r="Y54" i="81"/>
  <c r="F26" i="86"/>
  <c r="H15" i="84"/>
  <c r="K33" i="82"/>
  <c r="D45" i="81"/>
  <c r="G43" i="84"/>
  <c r="M31" i="83"/>
  <c r="H40" i="85"/>
  <c r="K22" i="85"/>
  <c r="K51" i="83"/>
  <c r="K52" i="82"/>
  <c r="H54" i="86"/>
  <c r="P36" i="83"/>
  <c r="L19" i="86"/>
  <c r="K46" i="81"/>
  <c r="J33" i="83"/>
  <c r="N40" i="83"/>
  <c r="G31" i="85"/>
  <c r="M40" i="84"/>
  <c r="O54" i="84"/>
  <c r="G46" i="83"/>
  <c r="M53" i="84"/>
  <c r="P30" i="81"/>
  <c r="K30" i="86"/>
  <c r="F37" i="82"/>
  <c r="I19" i="84"/>
  <c r="Y29" i="81"/>
  <c r="H45" i="82"/>
  <c r="G46" i="82"/>
  <c r="AD19" i="81"/>
  <c r="K22" i="84"/>
  <c r="I43" i="82"/>
  <c r="H38" i="86"/>
  <c r="G23" i="81"/>
  <c r="F24" i="83"/>
  <c r="N53" i="83"/>
  <c r="P24" i="86"/>
  <c r="H23" i="85"/>
  <c r="D15" i="83"/>
  <c r="D52" i="83"/>
  <c r="AA45" i="81"/>
  <c r="P50" i="84"/>
  <c r="D30" i="85"/>
  <c r="D27" i="85"/>
  <c r="F25" i="84"/>
  <c r="AA30" i="81"/>
  <c r="H24" i="86"/>
  <c r="F50" i="84"/>
  <c r="I43" i="85"/>
  <c r="U32" i="81"/>
  <c r="K50" i="81"/>
  <c r="D36" i="82"/>
  <c r="O53" i="85"/>
  <c r="G55" i="82"/>
  <c r="AA51" i="81"/>
  <c r="AF34" i="81"/>
  <c r="G19" i="83"/>
  <c r="I39" i="81"/>
  <c r="H17" i="83"/>
  <c r="AD17" i="81"/>
  <c r="P53" i="81"/>
  <c r="AB48" i="81"/>
  <c r="F36" i="86"/>
  <c r="AC39" i="81"/>
  <c r="D55" i="84"/>
  <c r="L26" i="86"/>
  <c r="G15" i="84"/>
  <c r="G33" i="82"/>
  <c r="I45" i="81"/>
  <c r="F31" i="81"/>
  <c r="J31" i="83"/>
  <c r="G40" i="85"/>
  <c r="O22" i="85"/>
  <c r="P51" i="83"/>
  <c r="D22" i="86"/>
  <c r="K54" i="86"/>
  <c r="M36" i="83"/>
  <c r="N19" i="86"/>
  <c r="G46" i="81"/>
  <c r="M17" i="86"/>
  <c r="I40" i="83"/>
  <c r="K31" i="85"/>
  <c r="F40" i="84"/>
  <c r="G54" i="84"/>
  <c r="X37" i="81"/>
  <c r="D53" i="84"/>
  <c r="J30" i="81"/>
  <c r="N30" i="86"/>
  <c r="K37" i="82"/>
  <c r="H19" i="84"/>
  <c r="X29" i="81"/>
  <c r="D45" i="82"/>
  <c r="H46" i="82"/>
  <c r="G16" i="85"/>
  <c r="N22" i="84"/>
  <c r="I24" i="83"/>
  <c r="AD45" i="81"/>
  <c r="F41" i="85"/>
  <c r="M36" i="82"/>
  <c r="K53" i="85"/>
  <c r="I55" i="82"/>
  <c r="W51" i="81"/>
  <c r="AA34" i="81"/>
  <c r="H19" i="83"/>
  <c r="O39" i="81"/>
  <c r="M17" i="83"/>
  <c r="U17" i="81"/>
  <c r="P20" i="86"/>
  <c r="X48" i="81"/>
  <c r="G36" i="86"/>
  <c r="W39" i="81"/>
  <c r="O55" i="84"/>
  <c r="N26" i="86"/>
  <c r="D15" i="84"/>
  <c r="I33" i="82"/>
  <c r="M45" i="81"/>
  <c r="D31" i="81"/>
  <c r="N31" i="83"/>
  <c r="L40" i="85"/>
  <c r="M22" i="85"/>
  <c r="I51" i="83"/>
  <c r="G22" i="86"/>
  <c r="D54" i="86"/>
  <c r="J36" i="83"/>
  <c r="H19" i="86"/>
  <c r="M46" i="81"/>
  <c r="P17" i="86"/>
  <c r="D40" i="83"/>
  <c r="D31" i="85"/>
  <c r="N40" i="84"/>
  <c r="P54" i="84"/>
  <c r="Z37" i="81"/>
  <c r="O53" i="84"/>
  <c r="G30" i="81"/>
  <c r="L30" i="86"/>
  <c r="H51" i="85"/>
  <c r="L19" i="84"/>
  <c r="Z29" i="81"/>
  <c r="I45" i="82"/>
  <c r="J46" i="82"/>
  <c r="K16" i="85"/>
  <c r="M22" i="84"/>
  <c r="D43" i="82"/>
  <c r="M38" i="86"/>
  <c r="H23" i="81"/>
  <c r="L24" i="83"/>
  <c r="M53" i="83"/>
  <c r="K24" i="86"/>
  <c r="M23" i="85"/>
  <c r="M52" i="83"/>
  <c r="G41" i="85"/>
  <c r="K38" i="84"/>
  <c r="M38" i="85"/>
  <c r="O55" i="82"/>
  <c r="U51" i="81"/>
  <c r="AC34" i="81"/>
  <c r="K19" i="83"/>
  <c r="D39" i="81"/>
  <c r="G17" i="83"/>
  <c r="AE17" i="81"/>
  <c r="D20" i="86"/>
  <c r="AE48" i="81"/>
  <c r="L36" i="86"/>
  <c r="AD39" i="81"/>
  <c r="K55" i="84"/>
  <c r="O26" i="86"/>
  <c r="M15" i="84"/>
  <c r="M33" i="82"/>
  <c r="O43" i="84"/>
  <c r="H31" i="81"/>
  <c r="I31" i="83"/>
  <c r="I40" i="85"/>
  <c r="D22" i="85"/>
  <c r="P52" i="82"/>
  <c r="K22" i="86"/>
  <c r="O54" i="86"/>
  <c r="I36" i="83"/>
  <c r="I19" i="86"/>
  <c r="P33" i="83"/>
  <c r="D17" i="86"/>
  <c r="M40" i="83"/>
  <c r="N31" i="85"/>
  <c r="D40" i="84"/>
  <c r="O46" i="83"/>
  <c r="AC37" i="81"/>
  <c r="H53" i="84"/>
  <c r="D30" i="81"/>
  <c r="I30" i="86"/>
  <c r="K51" i="85"/>
  <c r="J19" i="84"/>
  <c r="AG29" i="81"/>
  <c r="J45" i="82"/>
  <c r="P46" i="82"/>
  <c r="H16" i="85"/>
  <c r="J22" i="84"/>
  <c r="J43" i="82"/>
  <c r="G38" i="86"/>
  <c r="X26" i="81"/>
  <c r="G24" i="83"/>
  <c r="K53" i="83"/>
  <c r="O24" i="86"/>
  <c r="P23" i="85"/>
  <c r="N27" i="84"/>
  <c r="L52" i="83"/>
  <c r="AE45" i="81"/>
  <c r="L50" i="84"/>
  <c r="I27" i="85"/>
  <c r="Y32" i="81"/>
  <c r="N25" i="84"/>
  <c r="N51" i="81"/>
  <c r="K41" i="84"/>
  <c r="H31" i="84"/>
  <c r="AF30" i="81"/>
  <c r="L41" i="85"/>
  <c r="G34" i="85"/>
  <c r="O43" i="85"/>
  <c r="K39" i="84"/>
  <c r="W25" i="81"/>
  <c r="N39" i="83"/>
  <c r="N50" i="81"/>
  <c r="AG30" i="81"/>
  <c r="P43" i="83"/>
  <c r="AB25" i="81"/>
  <c r="D50" i="81"/>
  <c r="AA25" i="81"/>
  <c r="F27" i="84"/>
  <c r="F39" i="84"/>
  <c r="D38" i="84"/>
  <c r="P38" i="85"/>
  <c r="L55" i="82"/>
  <c r="X51" i="81"/>
  <c r="J27" i="86"/>
  <c r="J19" i="83"/>
  <c r="P39" i="81"/>
  <c r="L17" i="83"/>
  <c r="F53" i="81"/>
  <c r="J20" i="86"/>
  <c r="AD48" i="81"/>
  <c r="D36" i="86"/>
  <c r="AC54" i="81"/>
  <c r="G55" i="84"/>
  <c r="D26" i="86"/>
  <c r="I15" i="84"/>
  <c r="O33" i="82"/>
  <c r="I43" i="84"/>
  <c r="G31" i="81"/>
  <c r="O31" i="83"/>
  <c r="K40" i="85"/>
  <c r="H22" i="85"/>
  <c r="N52" i="82"/>
  <c r="H22" i="86"/>
  <c r="J54" i="86"/>
  <c r="H36" i="83"/>
  <c r="J19" i="86"/>
  <c r="L33" i="83"/>
  <c r="I17" i="86"/>
  <c r="K40" i="83"/>
  <c r="I31" i="85"/>
  <c r="L40" i="84"/>
  <c r="L46" i="83"/>
  <c r="AF37" i="81"/>
  <c r="P53" i="84"/>
  <c r="L30" i="81"/>
  <c r="J37" i="82"/>
  <c r="F51" i="85"/>
  <c r="O19" i="84"/>
  <c r="AA29" i="81"/>
  <c r="O45" i="82"/>
  <c r="AG19" i="81"/>
  <c r="P16" i="85"/>
  <c r="F22" i="84"/>
  <c r="G43" i="82"/>
  <c r="N38" i="86"/>
  <c r="AE26" i="81"/>
  <c r="M24" i="83"/>
  <c r="P53" i="83"/>
  <c r="D24" i="86"/>
  <c r="M15" i="83"/>
  <c r="P27" i="84"/>
  <c r="O52" i="83"/>
  <c r="Z45" i="81"/>
  <c r="I50" i="84"/>
  <c r="J27" i="85"/>
  <c r="X32" i="81"/>
  <c r="O25" i="84"/>
  <c r="D51" i="81"/>
  <c r="O23" i="86"/>
  <c r="L31" i="84"/>
  <c r="D41" i="85"/>
  <c r="D34" i="85"/>
  <c r="L39" i="84"/>
  <c r="F39" i="83"/>
  <c r="I39" i="83"/>
  <c r="D50" i="84"/>
  <c r="J38" i="84"/>
  <c r="D38" i="85"/>
  <c r="K55" i="82"/>
  <c r="Y51" i="81"/>
  <c r="F27" i="86"/>
  <c r="M19" i="83"/>
  <c r="M39" i="81"/>
  <c r="K17" i="83"/>
  <c r="J53" i="81"/>
  <c r="F20" i="86"/>
  <c r="W48" i="81"/>
  <c r="K36" i="86"/>
  <c r="AF54" i="81"/>
  <c r="H55" i="84"/>
  <c r="P26" i="86"/>
  <c r="P15" i="84"/>
  <c r="F45" i="81"/>
  <c r="L43" i="84"/>
  <c r="I31" i="81"/>
  <c r="P31" i="83"/>
  <c r="J40" i="85"/>
  <c r="G51" i="83"/>
  <c r="H52" i="82"/>
  <c r="M22" i="86"/>
  <c r="P54" i="86"/>
  <c r="O36" i="83"/>
  <c r="O46" i="81"/>
  <c r="O33" i="83"/>
  <c r="J17" i="86"/>
  <c r="L40" i="83"/>
  <c r="H31" i="85"/>
  <c r="F54" i="84"/>
  <c r="P46" i="83"/>
  <c r="AD37" i="81"/>
  <c r="F53" i="84"/>
  <c r="I30" i="81"/>
  <c r="M37" i="82"/>
  <c r="P51" i="85"/>
  <c r="K19" i="84"/>
  <c r="AF29" i="81"/>
  <c r="F45" i="82"/>
  <c r="AA19" i="81"/>
  <c r="O16" i="85"/>
  <c r="G22" i="84"/>
  <c r="N43" i="82"/>
  <c r="L23" i="81"/>
  <c r="AD26" i="81"/>
  <c r="P24" i="83"/>
  <c r="F53" i="83"/>
  <c r="N24" i="86"/>
  <c r="N15" i="83"/>
  <c r="J27" i="84"/>
  <c r="P52" i="83"/>
  <c r="AG45" i="81"/>
  <c r="H30" i="85"/>
  <c r="L27" i="85"/>
  <c r="AF32" i="81"/>
  <c r="P25" i="84"/>
  <c r="L51" i="81"/>
  <c r="P23" i="86"/>
  <c r="P31" i="84"/>
  <c r="X30" i="81"/>
  <c r="N41" i="85"/>
  <c r="L34" i="85"/>
  <c r="I43" i="83"/>
  <c r="M39" i="84"/>
  <c r="AF25" i="81"/>
  <c r="P39" i="83"/>
  <c r="N39" i="81"/>
  <c r="U48" i="81"/>
  <c r="AB54" i="81"/>
  <c r="J26" i="86"/>
  <c r="N45" i="81"/>
  <c r="O31" i="81"/>
  <c r="K31" i="83"/>
  <c r="F51" i="83"/>
  <c r="D52" i="82"/>
  <c r="L54" i="86"/>
  <c r="K36" i="83"/>
  <c r="G33" i="83"/>
  <c r="F17" i="86"/>
  <c r="O31" i="85"/>
  <c r="M46" i="83"/>
  <c r="AG37" i="81"/>
  <c r="J30" i="86"/>
  <c r="D51" i="85"/>
  <c r="D19" i="84"/>
  <c r="D46" i="82"/>
  <c r="L16" i="85"/>
  <c r="L22" i="84"/>
  <c r="N23" i="81"/>
  <c r="H24" i="83"/>
  <c r="L53" i="83"/>
  <c r="G15" i="83"/>
  <c r="D27" i="84"/>
  <c r="AC45" i="81"/>
  <c r="K27" i="85"/>
  <c r="I25" i="84"/>
  <c r="L23" i="86"/>
  <c r="G31" i="84"/>
  <c r="H41" i="85"/>
  <c r="O43" i="83"/>
  <c r="Y25" i="81"/>
  <c r="G39" i="83"/>
  <c r="F16" i="85"/>
  <c r="J24" i="83"/>
  <c r="K15" i="83"/>
  <c r="J50" i="84"/>
  <c r="AB32" i="81"/>
  <c r="L41" i="84"/>
  <c r="Y30" i="81"/>
  <c r="L43" i="85"/>
  <c r="U25" i="81"/>
  <c r="K31" i="84"/>
  <c r="J39" i="84"/>
  <c r="O27" i="85"/>
  <c r="M41" i="85"/>
  <c r="L39" i="83"/>
  <c r="N23" i="86"/>
  <c r="X25" i="81"/>
  <c r="N23" i="85"/>
  <c r="P51" i="81"/>
  <c r="F43" i="83"/>
  <c r="J41" i="84"/>
  <c r="J39" i="83"/>
  <c r="H40" i="81"/>
  <c r="Z23" i="81"/>
  <c r="L50" i="83"/>
  <c r="Z51" i="81"/>
  <c r="D27" i="86"/>
  <c r="I19" i="83"/>
  <c r="F17" i="83"/>
  <c r="I53" i="81"/>
  <c r="M20" i="86"/>
  <c r="J36" i="86"/>
  <c r="L55" i="84"/>
  <c r="F15" i="84"/>
  <c r="H43" i="84"/>
  <c r="D40" i="85"/>
  <c r="L22" i="86"/>
  <c r="L46" i="81"/>
  <c r="F40" i="83"/>
  <c r="I54" i="84"/>
  <c r="G53" i="84"/>
  <c r="I37" i="82"/>
  <c r="AC29" i="81"/>
  <c r="X19" i="81"/>
  <c r="O43" i="82"/>
  <c r="Y26" i="81"/>
  <c r="L23" i="85"/>
  <c r="K52" i="83"/>
  <c r="K30" i="85"/>
  <c r="AE32" i="81"/>
  <c r="I41" i="84"/>
  <c r="U30" i="81"/>
  <c r="P43" i="85"/>
  <c r="N39" i="84"/>
  <c r="O38" i="86"/>
  <c r="I53" i="83"/>
  <c r="O27" i="84"/>
  <c r="L30" i="85"/>
  <c r="K25" i="84"/>
  <c r="K23" i="86"/>
  <c r="O41" i="85"/>
  <c r="P39" i="84"/>
  <c r="K41" i="85"/>
  <c r="M39" i="83"/>
  <c r="H50" i="84"/>
  <c r="H43" i="83"/>
  <c r="J34" i="85"/>
  <c r="J38" i="86"/>
  <c r="Z32" i="81"/>
  <c r="L50" i="81"/>
  <c r="AE30" i="81"/>
  <c r="J40" i="81"/>
  <c r="AE23" i="81"/>
  <c r="I50" i="83"/>
  <c r="AB51" i="81"/>
  <c r="N27" i="86"/>
  <c r="D19" i="83"/>
  <c r="G39" i="81"/>
  <c r="Z17" i="81"/>
  <c r="L53" i="81"/>
  <c r="K20" i="86"/>
  <c r="AC48" i="81"/>
  <c r="X39" i="81"/>
  <c r="U54" i="81"/>
  <c r="N55" i="84"/>
  <c r="I26" i="86"/>
  <c r="D33" i="82"/>
  <c r="O45" i="81"/>
  <c r="K43" i="84"/>
  <c r="M31" i="81"/>
  <c r="D31" i="83"/>
  <c r="L22" i="85"/>
  <c r="D51" i="83"/>
  <c r="L52" i="82"/>
  <c r="N22" i="86"/>
  <c r="I54" i="86"/>
  <c r="O19" i="86"/>
  <c r="P46" i="81"/>
  <c r="H33" i="83"/>
  <c r="O17" i="86"/>
  <c r="J40" i="83"/>
  <c r="I40" i="84"/>
  <c r="L54" i="84"/>
  <c r="D46" i="83"/>
  <c r="U37" i="81"/>
  <c r="J53" i="84"/>
  <c r="M30" i="86"/>
  <c r="G37" i="82"/>
  <c r="L51" i="85"/>
  <c r="G19" i="84"/>
  <c r="AE29" i="81"/>
  <c r="K46" i="82"/>
  <c r="Y19" i="81"/>
  <c r="O22" i="84"/>
  <c r="K23" i="81"/>
  <c r="AG26" i="81"/>
  <c r="I23" i="85"/>
  <c r="G52" i="83"/>
  <c r="H27" i="85"/>
  <c r="D31" i="84"/>
  <c r="J43" i="83"/>
  <c r="J50" i="81"/>
  <c r="O50" i="81"/>
  <c r="M30" i="85"/>
  <c r="N43" i="85"/>
  <c r="P41" i="85"/>
  <c r="J53" i="83"/>
  <c r="I30" i="85"/>
  <c r="P34" i="85"/>
  <c r="M25" i="84"/>
  <c r="H34" i="85"/>
  <c r="F40" i="81"/>
  <c r="W23" i="81"/>
  <c r="M50" i="83"/>
  <c r="X34" i="81"/>
  <c r="I27" i="86"/>
  <c r="L19" i="83"/>
  <c r="L39" i="81"/>
  <c r="AG17" i="81"/>
  <c r="G53" i="81"/>
  <c r="G20" i="86"/>
  <c r="AA48" i="81"/>
  <c r="AA39" i="81"/>
  <c r="AD54" i="81"/>
  <c r="J55" i="84"/>
  <c r="G26" i="86"/>
  <c r="F33" i="82"/>
  <c r="P45" i="81"/>
  <c r="P43" i="84"/>
  <c r="P31" i="81"/>
  <c r="L31" i="83"/>
  <c r="I22" i="85"/>
  <c r="L51" i="83"/>
  <c r="G52" i="82"/>
  <c r="F22" i="86"/>
  <c r="G54" i="86"/>
  <c r="M19" i="86"/>
  <c r="N46" i="81"/>
  <c r="K33" i="83"/>
  <c r="K17" i="86"/>
  <c r="G40" i="83"/>
  <c r="K40" i="84"/>
  <c r="K54" i="84"/>
  <c r="F46" i="83"/>
  <c r="AA37" i="81"/>
  <c r="O30" i="81"/>
  <c r="F30" i="86"/>
  <c r="N37" i="82"/>
  <c r="N51" i="85"/>
  <c r="F19" i="84"/>
  <c r="P45" i="82"/>
  <c r="L46" i="82"/>
  <c r="Z19" i="81"/>
  <c r="D16" i="85"/>
  <c r="P22" i="84"/>
  <c r="F38" i="86"/>
  <c r="O23" i="81"/>
  <c r="U26" i="81"/>
  <c r="N24" i="83"/>
  <c r="L24" i="86"/>
  <c r="D23" i="85"/>
  <c r="F15" i="83"/>
  <c r="G27" i="84"/>
  <c r="J52" i="83"/>
  <c r="G50" i="84"/>
  <c r="N30" i="85"/>
  <c r="N27" i="85"/>
  <c r="AA32" i="81"/>
  <c r="J51" i="81"/>
  <c r="N41" i="84"/>
  <c r="F23" i="86"/>
  <c r="J31" i="84"/>
  <c r="W30" i="81"/>
  <c r="N34" i="85"/>
  <c r="J43" i="85"/>
  <c r="D43" i="83"/>
  <c r="I39" i="84"/>
  <c r="AE25" i="81"/>
  <c r="P50" i="81"/>
  <c r="F19" i="83"/>
  <c r="L20" i="86"/>
  <c r="AF39" i="81"/>
  <c r="F55" i="84"/>
  <c r="H33" i="82"/>
  <c r="J43" i="84"/>
  <c r="P40" i="85"/>
  <c r="G22" i="85"/>
  <c r="I52" i="82"/>
  <c r="L36" i="83"/>
  <c r="K19" i="86"/>
  <c r="N33" i="83"/>
  <c r="F31" i="85"/>
  <c r="J54" i="84"/>
  <c r="I46" i="83"/>
  <c r="H30" i="81"/>
  <c r="O37" i="82"/>
  <c r="O51" i="85"/>
  <c r="L45" i="82"/>
  <c r="W19" i="81"/>
  <c r="F43" i="82"/>
  <c r="D38" i="86"/>
  <c r="AA26" i="81"/>
  <c r="I24" i="86"/>
  <c r="J23" i="85"/>
  <c r="H27" i="84"/>
  <c r="N50" i="84"/>
  <c r="P27" i="85"/>
  <c r="K51" i="81"/>
  <c r="J23" i="86"/>
  <c r="Z30" i="81"/>
  <c r="O34" i="85"/>
  <c r="L43" i="83"/>
  <c r="H39" i="83"/>
  <c r="G53" i="83"/>
  <c r="L27" i="84"/>
  <c r="O50" i="84"/>
  <c r="J25" i="84"/>
  <c r="H23" i="86"/>
  <c r="M43" i="83"/>
  <c r="L25" i="84"/>
  <c r="N31" i="84"/>
  <c r="G50" i="81"/>
  <c r="N43" i="83"/>
  <c r="L43" i="82"/>
  <c r="AC30" i="81"/>
  <c r="I51" i="81"/>
  <c r="K67" i="90"/>
  <c r="L67" i="90"/>
  <c r="H67" i="90"/>
  <c r="I67" i="90"/>
  <c r="J67" i="90"/>
  <c r="L90" i="90"/>
  <c r="J90" i="90"/>
  <c r="K90" i="90"/>
  <c r="I90" i="90"/>
  <c r="H90" i="90"/>
  <c r="I130" i="90"/>
  <c r="H130" i="90"/>
  <c r="J130" i="90"/>
  <c r="L130" i="90"/>
  <c r="K130" i="90"/>
  <c r="H131" i="90"/>
  <c r="K131" i="90"/>
  <c r="L131" i="90"/>
  <c r="J131" i="90"/>
  <c r="I131" i="90"/>
  <c r="J74" i="90"/>
  <c r="K74" i="90"/>
  <c r="H74" i="90"/>
  <c r="L74" i="90"/>
  <c r="I74" i="90"/>
  <c r="K36" i="90"/>
  <c r="L36" i="90"/>
  <c r="H36" i="90"/>
  <c r="J36" i="90"/>
  <c r="I36" i="90"/>
  <c r="H146" i="90"/>
  <c r="K146" i="90"/>
  <c r="I146" i="90"/>
  <c r="L146" i="90"/>
  <c r="J146" i="90"/>
  <c r="K95" i="90"/>
  <c r="I95" i="90"/>
  <c r="H95" i="90"/>
  <c r="L95" i="90"/>
  <c r="J95" i="90"/>
  <c r="L52" i="90"/>
  <c r="I52" i="90"/>
  <c r="K52" i="90"/>
  <c r="J52" i="90"/>
  <c r="H52" i="90"/>
  <c r="L105" i="90"/>
  <c r="K105" i="90"/>
  <c r="I105" i="90"/>
  <c r="H105" i="90"/>
  <c r="J105" i="90"/>
  <c r="I122" i="90"/>
  <c r="K122" i="90"/>
  <c r="J122" i="90"/>
  <c r="H122" i="90"/>
  <c r="L122" i="90"/>
  <c r="K87" i="90"/>
  <c r="H87" i="90"/>
  <c r="I87" i="90"/>
  <c r="J87" i="90"/>
  <c r="L87" i="90"/>
  <c r="H20" i="90"/>
  <c r="K20" i="90"/>
  <c r="I20" i="90"/>
  <c r="L20" i="90"/>
  <c r="J20" i="90"/>
  <c r="H157" i="90"/>
  <c r="L157" i="90"/>
  <c r="I157" i="90"/>
  <c r="J157" i="90"/>
  <c r="K157" i="90"/>
  <c r="H33" i="90"/>
  <c r="J33" i="90"/>
  <c r="K33" i="90"/>
  <c r="L33" i="90"/>
  <c r="I33" i="90"/>
  <c r="K165" i="90"/>
  <c r="I165" i="90"/>
  <c r="L165" i="90"/>
  <c r="J165" i="90"/>
  <c r="H165" i="90"/>
  <c r="L17" i="90"/>
  <c r="H17" i="90"/>
  <c r="I17" i="90"/>
  <c r="K17" i="90"/>
  <c r="J17" i="90"/>
  <c r="I147" i="90"/>
  <c r="J147" i="90"/>
  <c r="L147" i="90"/>
  <c r="K147" i="90"/>
  <c r="H147" i="90"/>
  <c r="H18" i="90"/>
  <c r="K18" i="90"/>
  <c r="L18" i="90"/>
  <c r="I18" i="90"/>
  <c r="J18" i="90"/>
  <c r="I24" i="90"/>
  <c r="J24" i="90"/>
  <c r="L24" i="90"/>
  <c r="K24" i="90"/>
  <c r="H24" i="90"/>
  <c r="H47" i="90"/>
  <c r="I47" i="90"/>
  <c r="J47" i="90"/>
  <c r="L47" i="90"/>
  <c r="K47" i="90"/>
  <c r="H158" i="90"/>
  <c r="I158" i="90"/>
  <c r="J158" i="90"/>
  <c r="K158" i="90"/>
  <c r="L158" i="90"/>
  <c r="I88" i="90"/>
  <c r="L88" i="90"/>
  <c r="K88" i="90"/>
  <c r="H88" i="90"/>
  <c r="J88" i="90"/>
  <c r="L92" i="90"/>
  <c r="J92" i="90"/>
  <c r="H92" i="90"/>
  <c r="I92" i="90"/>
  <c r="K92" i="90"/>
  <c r="K37" i="90"/>
  <c r="J37" i="90"/>
  <c r="I37" i="90"/>
  <c r="L37" i="90"/>
  <c r="H37" i="90"/>
  <c r="J109" i="90"/>
  <c r="I109" i="90"/>
  <c r="L109" i="90"/>
  <c r="K109" i="90"/>
  <c r="H109" i="90"/>
  <c r="H50" i="90"/>
  <c r="K50" i="90"/>
  <c r="I50" i="90"/>
  <c r="J50" i="90"/>
  <c r="L50" i="90"/>
  <c r="H65" i="90"/>
  <c r="K65" i="90"/>
  <c r="L65" i="90"/>
  <c r="J65" i="90"/>
  <c r="I65" i="90"/>
  <c r="J132" i="90"/>
  <c r="K132" i="90"/>
  <c r="I132" i="90"/>
  <c r="H132" i="90"/>
  <c r="L132" i="90"/>
  <c r="J102" i="90"/>
  <c r="I102" i="90"/>
  <c r="L102" i="90"/>
  <c r="K102" i="90"/>
  <c r="H102" i="90"/>
  <c r="L22" i="90"/>
  <c r="I22" i="90"/>
  <c r="H22" i="90"/>
  <c r="K22" i="90"/>
  <c r="J22" i="90"/>
  <c r="J143" i="90"/>
  <c r="H143" i="90"/>
  <c r="L143" i="90"/>
  <c r="I143" i="90"/>
  <c r="K143" i="90"/>
  <c r="J121" i="90"/>
  <c r="I121" i="90"/>
  <c r="L121" i="90"/>
  <c r="H121" i="90"/>
  <c r="K121" i="90"/>
  <c r="J79" i="90"/>
  <c r="L79" i="90"/>
  <c r="H79" i="90"/>
  <c r="K79" i="90"/>
  <c r="I79" i="90"/>
  <c r="H46" i="90"/>
  <c r="I46" i="90"/>
  <c r="K46" i="90"/>
  <c r="L46" i="90"/>
  <c r="J46" i="90"/>
  <c r="I107" i="90"/>
  <c r="L107" i="90"/>
  <c r="H107" i="90"/>
  <c r="K107" i="90"/>
  <c r="J107" i="90"/>
  <c r="I151" i="90"/>
  <c r="L151" i="90"/>
  <c r="H151" i="90"/>
  <c r="J151" i="90"/>
  <c r="K151" i="90"/>
  <c r="H159" i="90"/>
  <c r="L159" i="90"/>
  <c r="K159" i="90"/>
  <c r="I159" i="90"/>
  <c r="J159" i="90"/>
  <c r="K108" i="90"/>
  <c r="I108" i="90"/>
  <c r="J108" i="90"/>
  <c r="H108" i="90"/>
  <c r="L108" i="90"/>
  <c r="K135" i="90"/>
  <c r="L135" i="90"/>
  <c r="I135" i="90"/>
  <c r="H135" i="90"/>
  <c r="J135" i="90"/>
  <c r="I129" i="90"/>
  <c r="K129" i="90"/>
  <c r="J129" i="90"/>
  <c r="L129" i="90"/>
  <c r="H129" i="90"/>
  <c r="H134" i="90"/>
  <c r="K134" i="90"/>
  <c r="L134" i="90"/>
  <c r="J134" i="90"/>
  <c r="I134" i="90"/>
  <c r="J115" i="90"/>
  <c r="I115" i="90"/>
  <c r="L115" i="90"/>
  <c r="H115" i="90"/>
  <c r="K115" i="90"/>
  <c r="H19" i="90"/>
  <c r="L19" i="90"/>
  <c r="I19" i="90"/>
  <c r="K19" i="90"/>
  <c r="J19" i="90"/>
  <c r="J62" i="90"/>
  <c r="I62" i="90"/>
  <c r="K62" i="90"/>
  <c r="H62" i="90"/>
  <c r="L62" i="90"/>
  <c r="J145" i="90"/>
  <c r="L145" i="90"/>
  <c r="H145" i="90"/>
  <c r="I145" i="90"/>
  <c r="K145" i="90"/>
  <c r="L116" i="90"/>
  <c r="J116" i="90"/>
  <c r="I116" i="90"/>
  <c r="K116" i="90"/>
  <c r="H116" i="90"/>
  <c r="H117" i="90"/>
  <c r="I117" i="90"/>
  <c r="L117" i="90"/>
  <c r="J117" i="90"/>
  <c r="K117" i="90"/>
  <c r="L51" i="90"/>
  <c r="J51" i="90"/>
  <c r="H51" i="90"/>
  <c r="I51" i="90"/>
  <c r="K51" i="90"/>
  <c r="J38" i="90"/>
  <c r="H38" i="90"/>
  <c r="L38" i="90"/>
  <c r="K38" i="90"/>
  <c r="I38" i="90"/>
  <c r="K32" i="90"/>
  <c r="J32" i="90"/>
  <c r="I32" i="90"/>
  <c r="H32" i="90"/>
  <c r="L32" i="90"/>
  <c r="K31" i="90"/>
  <c r="I31" i="90"/>
  <c r="H31" i="90"/>
  <c r="J31" i="90"/>
  <c r="L31" i="90"/>
  <c r="L164" i="90"/>
  <c r="H164" i="90"/>
  <c r="K164" i="90"/>
  <c r="I164" i="90"/>
  <c r="J164" i="90"/>
  <c r="K63" i="90"/>
  <c r="H63" i="90"/>
  <c r="L63" i="90"/>
  <c r="J63" i="90"/>
  <c r="I63" i="90"/>
  <c r="K93" i="90"/>
  <c r="I93" i="90"/>
  <c r="J93" i="90"/>
  <c r="H93" i="90"/>
  <c r="L93" i="90"/>
  <c r="I39" i="90"/>
  <c r="L39" i="90"/>
  <c r="J39" i="90"/>
  <c r="K39" i="90"/>
  <c r="H39" i="90"/>
  <c r="K59" i="90"/>
  <c r="I59" i="90"/>
  <c r="H59" i="90"/>
  <c r="L59" i="90"/>
  <c r="J59" i="90"/>
  <c r="K101" i="90"/>
  <c r="J101" i="90"/>
  <c r="L101" i="90"/>
  <c r="H101" i="90"/>
  <c r="I101" i="90"/>
  <c r="J91" i="90"/>
  <c r="H91" i="90"/>
  <c r="L91" i="90"/>
  <c r="K91" i="90"/>
  <c r="I91" i="90"/>
  <c r="J61" i="90"/>
  <c r="L61" i="90"/>
  <c r="K61" i="90"/>
  <c r="H61" i="90"/>
  <c r="I61" i="90"/>
  <c r="L60" i="90"/>
  <c r="J60" i="90"/>
  <c r="I60" i="90"/>
  <c r="H60" i="90"/>
  <c r="K60" i="90"/>
  <c r="I120" i="90"/>
  <c r="K120" i="90"/>
  <c r="H120" i="90"/>
  <c r="J120" i="90"/>
  <c r="L120" i="90"/>
  <c r="I104" i="90"/>
  <c r="H104" i="90"/>
  <c r="L104" i="90"/>
  <c r="K104" i="90"/>
  <c r="J104" i="90"/>
  <c r="L77" i="90"/>
  <c r="J77" i="90"/>
  <c r="I77" i="90"/>
  <c r="H77" i="90"/>
  <c r="K77" i="90"/>
  <c r="L45" i="90"/>
  <c r="H45" i="90"/>
  <c r="J45" i="90"/>
  <c r="I45" i="90"/>
  <c r="K45" i="90"/>
  <c r="L49" i="90"/>
  <c r="I49" i="90"/>
  <c r="K49" i="90"/>
  <c r="H49" i="90"/>
  <c r="J49" i="90"/>
  <c r="H35" i="90"/>
  <c r="L35" i="90"/>
  <c r="I35" i="90"/>
  <c r="K35" i="90"/>
  <c r="J35" i="90"/>
  <c r="J144" i="90"/>
  <c r="I144" i="90"/>
  <c r="H144" i="90"/>
  <c r="L144" i="90"/>
  <c r="K144" i="90"/>
  <c r="I78" i="90"/>
  <c r="J78" i="90"/>
  <c r="H78" i="90"/>
  <c r="L78" i="90"/>
  <c r="K78" i="90"/>
  <c r="L34" i="90"/>
  <c r="J34" i="90"/>
  <c r="K34" i="90"/>
  <c r="I34" i="90"/>
  <c r="H34" i="90"/>
  <c r="H25" i="90"/>
  <c r="L25" i="90"/>
  <c r="J25" i="90"/>
  <c r="K25" i="90"/>
  <c r="I25" i="90"/>
  <c r="J133" i="90"/>
  <c r="L133" i="90"/>
  <c r="H133" i="90"/>
  <c r="K133" i="90"/>
  <c r="I133" i="90"/>
  <c r="J75" i="90"/>
  <c r="K75" i="90"/>
  <c r="H75" i="90"/>
  <c r="L75" i="90"/>
  <c r="I75" i="90"/>
  <c r="J81" i="90"/>
  <c r="K81" i="90"/>
  <c r="L81" i="90"/>
  <c r="I81" i="90"/>
  <c r="H81" i="90"/>
  <c r="J162" i="90"/>
  <c r="I162" i="90"/>
  <c r="H162" i="90"/>
  <c r="K162" i="90"/>
  <c r="L162" i="90"/>
  <c r="I163" i="90"/>
  <c r="J163" i="90"/>
  <c r="K163" i="90"/>
  <c r="H163" i="90"/>
  <c r="L163" i="90"/>
  <c r="I150" i="90"/>
  <c r="J150" i="90"/>
  <c r="K150" i="90"/>
  <c r="L150" i="90"/>
  <c r="H150" i="90"/>
  <c r="K118" i="90"/>
  <c r="I118" i="90"/>
  <c r="H118" i="90"/>
  <c r="L118" i="90"/>
  <c r="J118" i="90"/>
  <c r="I80" i="90"/>
  <c r="L80" i="90"/>
  <c r="J80" i="90"/>
  <c r="H80" i="90"/>
  <c r="K80" i="90"/>
  <c r="H76" i="90"/>
  <c r="I76" i="90"/>
  <c r="L76" i="90"/>
  <c r="J76" i="90"/>
  <c r="K76" i="90"/>
  <c r="L148" i="90"/>
  <c r="I148" i="90"/>
  <c r="K148" i="90"/>
  <c r="J148" i="90"/>
  <c r="H148" i="90"/>
  <c r="L89" i="90"/>
  <c r="J89" i="90"/>
  <c r="H89" i="90"/>
  <c r="K89" i="90"/>
  <c r="I89" i="90"/>
  <c r="H73" i="90"/>
  <c r="I73" i="90"/>
  <c r="K73" i="90"/>
  <c r="L73" i="90"/>
  <c r="J73" i="90"/>
  <c r="I53" i="90"/>
  <c r="K53" i="90"/>
  <c r="H53" i="90"/>
  <c r="J53" i="90"/>
  <c r="L53" i="90"/>
  <c r="J160" i="90"/>
  <c r="K160" i="90"/>
  <c r="L160" i="90"/>
  <c r="I160" i="90"/>
  <c r="H160" i="90"/>
  <c r="I149" i="90"/>
  <c r="J149" i="90"/>
  <c r="K149" i="90"/>
  <c r="L149" i="90"/>
  <c r="H149" i="90"/>
  <c r="H66" i="90"/>
  <c r="I66" i="90"/>
  <c r="K66" i="90"/>
  <c r="J66" i="90"/>
  <c r="L66" i="90"/>
  <c r="I161" i="90"/>
  <c r="L161" i="90"/>
  <c r="K161" i="90"/>
  <c r="H161" i="90"/>
  <c r="J161" i="90"/>
  <c r="K106" i="90"/>
  <c r="I106" i="90"/>
  <c r="J106" i="90"/>
  <c r="H106" i="90"/>
  <c r="L106" i="90"/>
  <c r="H48" i="90"/>
  <c r="K48" i="90"/>
  <c r="L48" i="90"/>
  <c r="J48" i="90"/>
  <c r="I48" i="90"/>
  <c r="I136" i="90"/>
  <c r="K136" i="90"/>
  <c r="J136" i="90"/>
  <c r="L136" i="90"/>
  <c r="H136" i="90"/>
  <c r="K21" i="90"/>
  <c r="I21" i="90"/>
  <c r="H21" i="90"/>
  <c r="J21" i="90"/>
  <c r="L21" i="90"/>
  <c r="J137" i="90"/>
  <c r="L137" i="90"/>
  <c r="H137" i="90"/>
  <c r="I137" i="90"/>
  <c r="K137" i="90"/>
  <c r="L94" i="90"/>
  <c r="K94" i="90"/>
  <c r="H94" i="90"/>
  <c r="J94" i="90"/>
  <c r="I94" i="90"/>
  <c r="I119" i="90"/>
  <c r="L119" i="90"/>
  <c r="H119" i="90"/>
  <c r="J119" i="90"/>
  <c r="K119" i="90"/>
  <c r="H103" i="90"/>
  <c r="I103" i="90"/>
  <c r="L103" i="90"/>
  <c r="J103" i="90"/>
  <c r="K103" i="90"/>
  <c r="H123" i="90"/>
  <c r="J123" i="90"/>
  <c r="L123" i="90"/>
  <c r="I123" i="90"/>
  <c r="K123" i="90"/>
  <c r="J64" i="90"/>
  <c r="I64" i="90"/>
  <c r="H64" i="90"/>
  <c r="L64" i="90"/>
  <c r="K64" i="90"/>
  <c r="H23" i="90"/>
  <c r="K23" i="90"/>
  <c r="I23" i="90"/>
  <c r="J23" i="90"/>
  <c r="L23" i="90"/>
  <c r="J72" i="90" l="1"/>
  <c r="L72" i="90"/>
  <c r="K72" i="90"/>
  <c r="I72" i="90"/>
  <c r="H72" i="90"/>
  <c r="K44" i="90"/>
  <c r="I44" i="90"/>
  <c r="J44" i="90"/>
  <c r="H44" i="90"/>
  <c r="L44" i="90"/>
  <c r="I100" i="90"/>
  <c r="H100" i="90"/>
  <c r="L100" i="90"/>
  <c r="J100" i="90"/>
  <c r="K100" i="90"/>
  <c r="J58" i="90"/>
  <c r="L58" i="90"/>
  <c r="H58" i="90"/>
  <c r="I58" i="90"/>
  <c r="K58" i="90"/>
  <c r="L30" i="90"/>
  <c r="J30" i="90"/>
  <c r="H30" i="90"/>
  <c r="I30" i="90"/>
  <c r="K30" i="90"/>
  <c r="K114" i="90"/>
  <c r="H114" i="90"/>
  <c r="L114" i="90"/>
  <c r="I114" i="90"/>
  <c r="J114" i="90"/>
  <c r="H128" i="90"/>
  <c r="L128" i="90"/>
  <c r="J128" i="90"/>
  <c r="K128" i="90"/>
  <c r="I128" i="90"/>
  <c r="K142" i="90"/>
  <c r="I142" i="90"/>
  <c r="L142" i="90"/>
  <c r="H142" i="90"/>
  <c r="J142" i="90"/>
  <c r="J16" i="90"/>
  <c r="K16" i="90"/>
  <c r="I16" i="90"/>
  <c r="H16" i="90"/>
  <c r="L16" i="90"/>
  <c r="K156" i="90"/>
  <c r="J156" i="90"/>
  <c r="I156" i="90"/>
  <c r="L156" i="90"/>
  <c r="H156" i="90"/>
  <c r="L86" i="90"/>
  <c r="J86" i="90"/>
  <c r="I86" i="90"/>
  <c r="H86" i="90"/>
  <c r="K86" i="90"/>
  <c r="G72" i="90"/>
  <c r="G44" i="90"/>
  <c r="G100" i="90"/>
  <c r="G58" i="90"/>
  <c r="G30" i="90"/>
  <c r="G114" i="90"/>
  <c r="G128" i="90"/>
  <c r="G142" i="90"/>
  <c r="G16" i="90"/>
  <c r="G156" i="90"/>
  <c r="G86" i="90"/>
  <c r="E27" i="84"/>
  <c r="E47" i="84"/>
  <c r="V36" i="81"/>
  <c r="E44" i="83"/>
  <c r="E25" i="85"/>
  <c r="F93" i="90"/>
  <c r="F24" i="90"/>
  <c r="E46" i="82"/>
  <c r="E40" i="83"/>
  <c r="E41" i="84"/>
  <c r="E36" i="81"/>
  <c r="E24" i="85"/>
  <c r="E31" i="82"/>
  <c r="E22" i="83"/>
  <c r="E37" i="86"/>
  <c r="F48" i="90"/>
  <c r="F78" i="90"/>
  <c r="E46" i="86"/>
  <c r="F134" i="90"/>
  <c r="F18" i="90"/>
  <c r="F36" i="90"/>
  <c r="E19" i="84"/>
  <c r="E54" i="86"/>
  <c r="V29" i="81"/>
  <c r="E29" i="81"/>
  <c r="E25" i="82"/>
  <c r="E45" i="85"/>
  <c r="V41" i="81"/>
  <c r="E38" i="83"/>
  <c r="F106" i="90"/>
  <c r="F76" i="90"/>
  <c r="E26" i="84"/>
  <c r="F164" i="90"/>
  <c r="F132" i="90"/>
  <c r="E54" i="85"/>
  <c r="E51" i="85"/>
  <c r="E31" i="81"/>
  <c r="E30" i="86"/>
  <c r="E55" i="82"/>
  <c r="E48" i="84"/>
  <c r="E16" i="82"/>
  <c r="E15" i="86"/>
  <c r="E24" i="82"/>
  <c r="E32" i="82"/>
  <c r="E45" i="86"/>
  <c r="F80" i="90"/>
  <c r="V47" i="81"/>
  <c r="F31" i="90"/>
  <c r="F65" i="90"/>
  <c r="E26" i="85"/>
  <c r="F131" i="90"/>
  <c r="E30" i="81"/>
  <c r="E46" i="81"/>
  <c r="E53" i="85"/>
  <c r="V44" i="81"/>
  <c r="E44" i="81"/>
  <c r="F118" i="90"/>
  <c r="F32" i="90"/>
  <c r="E44" i="84"/>
  <c r="V48" i="81"/>
  <c r="E50" i="83"/>
  <c r="E45" i="83"/>
  <c r="E40" i="82"/>
  <c r="F150" i="90"/>
  <c r="F38" i="90"/>
  <c r="E32" i="83"/>
  <c r="E20" i="85"/>
  <c r="V54" i="81"/>
  <c r="E38" i="85"/>
  <c r="E17" i="86"/>
  <c r="E45" i="82"/>
  <c r="V45" i="81"/>
  <c r="E32" i="84"/>
  <c r="E47" i="83"/>
  <c r="E32" i="86"/>
  <c r="E46" i="85"/>
  <c r="E47" i="85"/>
  <c r="E53" i="83"/>
  <c r="E32" i="81"/>
  <c r="E51" i="84"/>
  <c r="E39" i="86"/>
  <c r="E55" i="85"/>
  <c r="E18" i="84"/>
  <c r="F123" i="90"/>
  <c r="E51" i="82"/>
  <c r="E48" i="82"/>
  <c r="F163" i="90"/>
  <c r="E30" i="83"/>
  <c r="F104" i="90"/>
  <c r="E18" i="82"/>
  <c r="F51" i="90"/>
  <c r="F151" i="90"/>
  <c r="F37" i="90"/>
  <c r="F157" i="90"/>
  <c r="E41" i="81"/>
  <c r="F67" i="90"/>
  <c r="E38" i="86"/>
  <c r="E19" i="83"/>
  <c r="E22" i="85"/>
  <c r="E53" i="84"/>
  <c r="V19" i="81"/>
  <c r="V22" i="81"/>
  <c r="V40" i="81"/>
  <c r="E48" i="83"/>
  <c r="E30" i="84"/>
  <c r="E23" i="81"/>
  <c r="E19" i="85"/>
  <c r="E31" i="86"/>
  <c r="E33" i="81"/>
  <c r="E47" i="86"/>
  <c r="F103" i="90"/>
  <c r="E23" i="82"/>
  <c r="F162" i="90"/>
  <c r="F120" i="90"/>
  <c r="V43" i="81"/>
  <c r="F107" i="90"/>
  <c r="E27" i="82"/>
  <c r="F20" i="90"/>
  <c r="V30" i="81"/>
  <c r="E20" i="86"/>
  <c r="E22" i="86"/>
  <c r="E52" i="86"/>
  <c r="E39" i="82"/>
  <c r="E20" i="84"/>
  <c r="E16" i="83"/>
  <c r="E50" i="86"/>
  <c r="E34" i="81"/>
  <c r="E36" i="84"/>
  <c r="F149" i="90"/>
  <c r="E54" i="82"/>
  <c r="F60" i="90"/>
  <c r="F116" i="90"/>
  <c r="F92" i="90"/>
  <c r="E34" i="86"/>
  <c r="E23" i="85"/>
  <c r="E40" i="85"/>
  <c r="E39" i="81"/>
  <c r="E55" i="84"/>
  <c r="E39" i="83"/>
  <c r="E18" i="86"/>
  <c r="E53" i="86"/>
  <c r="E24" i="81"/>
  <c r="V20" i="81"/>
  <c r="E25" i="83"/>
  <c r="E34" i="84"/>
  <c r="F160" i="90"/>
  <c r="E46" i="84"/>
  <c r="E39" i="85"/>
  <c r="F145" i="90"/>
  <c r="F88" i="90"/>
  <c r="E55" i="81"/>
  <c r="E27" i="86"/>
  <c r="E51" i="81"/>
  <c r="E36" i="82"/>
  <c r="E39" i="84"/>
  <c r="E17" i="85"/>
  <c r="E25" i="81"/>
  <c r="V34" i="81"/>
  <c r="V33" i="81"/>
  <c r="E25" i="86"/>
  <c r="F137" i="90"/>
  <c r="F53" i="90"/>
  <c r="E47" i="82"/>
  <c r="E26" i="82"/>
  <c r="F62" i="90"/>
  <c r="F158" i="90"/>
  <c r="F52" i="90"/>
  <c r="E15" i="84"/>
  <c r="E44" i="85"/>
  <c r="E37" i="85"/>
  <c r="E55" i="86"/>
  <c r="F66" i="90"/>
  <c r="E23" i="84"/>
  <c r="F165" i="90"/>
  <c r="V17" i="81"/>
  <c r="E40" i="81"/>
  <c r="V23" i="81"/>
  <c r="E41" i="83"/>
  <c r="E27" i="83"/>
  <c r="F77" i="90"/>
  <c r="F33" i="90"/>
  <c r="E50" i="84"/>
  <c r="E48" i="81"/>
  <c r="E47" i="81"/>
  <c r="E29" i="86"/>
  <c r="E22" i="82"/>
  <c r="F117" i="90"/>
  <c r="E22" i="81"/>
  <c r="E43" i="83"/>
  <c r="E34" i="85"/>
  <c r="E33" i="83"/>
  <c r="E41" i="86"/>
  <c r="E33" i="84"/>
  <c r="E22" i="84"/>
  <c r="E20" i="83"/>
  <c r="V18" i="81"/>
  <c r="F119" i="90"/>
  <c r="F81" i="90"/>
  <c r="E52" i="81"/>
  <c r="F46" i="90"/>
  <c r="F87" i="90"/>
  <c r="E41" i="85"/>
  <c r="E36" i="83"/>
  <c r="E53" i="82"/>
  <c r="E54" i="81"/>
  <c r="E54" i="84"/>
  <c r="E50" i="82"/>
  <c r="E20" i="81"/>
  <c r="F94" i="90"/>
  <c r="F75" i="90"/>
  <c r="F61" i="90"/>
  <c r="F79" i="90"/>
  <c r="F122" i="90"/>
  <c r="V26" i="81"/>
  <c r="V51" i="81"/>
  <c r="V39" i="81"/>
  <c r="E44" i="86"/>
  <c r="E32" i="85"/>
  <c r="E16" i="84"/>
  <c r="E43" i="81"/>
  <c r="E24" i="84"/>
  <c r="E29" i="82"/>
  <c r="F133" i="90"/>
  <c r="F91" i="90"/>
  <c r="F121" i="90"/>
  <c r="F105" i="90"/>
  <c r="E52" i="82"/>
  <c r="E43" i="84"/>
  <c r="V27" i="81"/>
  <c r="E37" i="83"/>
  <c r="E41" i="82"/>
  <c r="E18" i="83"/>
  <c r="F108" i="90"/>
  <c r="F130" i="90"/>
  <c r="E40" i="84"/>
  <c r="V31" i="81"/>
  <c r="E38" i="82"/>
  <c r="E27" i="81"/>
  <c r="F45" i="90"/>
  <c r="F109" i="90"/>
  <c r="E16" i="85"/>
  <c r="V25" i="81"/>
  <c r="E24" i="86"/>
  <c r="E43" i="82"/>
  <c r="V32" i="81"/>
  <c r="E53" i="81"/>
  <c r="E23" i="86"/>
  <c r="E50" i="85"/>
  <c r="V15" i="81"/>
  <c r="E26" i="81"/>
  <c r="E40" i="86"/>
  <c r="V53" i="81"/>
  <c r="E17" i="82"/>
  <c r="E16" i="81"/>
  <c r="V38" i="81"/>
  <c r="E52" i="85"/>
  <c r="E15" i="81"/>
  <c r="F21" i="90"/>
  <c r="E43" i="86"/>
  <c r="F73" i="90"/>
  <c r="F25" i="90"/>
  <c r="E29" i="83"/>
  <c r="F101" i="90"/>
  <c r="F39" i="90"/>
  <c r="F19" i="90"/>
  <c r="F143" i="90"/>
  <c r="F47" i="90"/>
  <c r="E38" i="81"/>
  <c r="F95" i="90"/>
  <c r="E31" i="84"/>
  <c r="E26" i="86"/>
  <c r="E31" i="85"/>
  <c r="E27" i="85"/>
  <c r="E17" i="83"/>
  <c r="E25" i="84"/>
  <c r="E15" i="82"/>
  <c r="E29" i="85"/>
  <c r="E37" i="81"/>
  <c r="E55" i="83"/>
  <c r="E19" i="81"/>
  <c r="E20" i="82"/>
  <c r="E30" i="82"/>
  <c r="E16" i="86"/>
  <c r="F136" i="90"/>
  <c r="F89" i="90"/>
  <c r="F34" i="90"/>
  <c r="F59" i="90"/>
  <c r="F115" i="90"/>
  <c r="F22" i="90"/>
  <c r="E19" i="82"/>
  <c r="F146" i="90"/>
  <c r="V37" i="81"/>
  <c r="E36" i="86"/>
  <c r="E30" i="85"/>
  <c r="E24" i="83"/>
  <c r="E17" i="81"/>
  <c r="E45" i="84"/>
  <c r="E26" i="83"/>
  <c r="V24" i="81"/>
  <c r="E15" i="85"/>
  <c r="E18" i="85"/>
  <c r="F148" i="90"/>
  <c r="E52" i="84"/>
  <c r="F63" i="90"/>
  <c r="F102" i="90"/>
  <c r="E44" i="82"/>
  <c r="E46" i="83"/>
  <c r="E38" i="84"/>
  <c r="E52" i="83"/>
  <c r="E37" i="82"/>
  <c r="E51" i="86"/>
  <c r="E33" i="85"/>
  <c r="V55" i="81"/>
  <c r="V52" i="81"/>
  <c r="E33" i="86"/>
  <c r="V16" i="81"/>
  <c r="F144" i="90"/>
  <c r="E34" i="82"/>
  <c r="F129" i="90"/>
  <c r="F147" i="90"/>
  <c r="F74" i="90"/>
  <c r="E51" i="83"/>
  <c r="E50" i="81"/>
  <c r="E15" i="83"/>
  <c r="E19" i="86"/>
  <c r="E48" i="85"/>
  <c r="F23" i="90"/>
  <c r="E29" i="84"/>
  <c r="E23" i="83"/>
  <c r="F161" i="90"/>
  <c r="F35" i="90"/>
  <c r="E36" i="85"/>
  <c r="F135" i="90"/>
  <c r="F17" i="90"/>
  <c r="E31" i="83"/>
  <c r="E45" i="81"/>
  <c r="F64" i="90"/>
  <c r="E54" i="83"/>
  <c r="F49" i="90"/>
  <c r="F50" i="90"/>
  <c r="E33" i="82"/>
  <c r="E43" i="85"/>
  <c r="V50" i="81"/>
  <c r="E18" i="81"/>
  <c r="V46" i="81"/>
  <c r="E37" i="84"/>
  <c r="F159" i="90"/>
  <c r="F90" i="90"/>
</calcChain>
</file>

<file path=xl/sharedStrings.xml><?xml version="1.0" encoding="utf-8"?>
<sst xmlns="http://schemas.openxmlformats.org/spreadsheetml/2006/main" count="6486" uniqueCount="284">
  <si>
    <t>Member</t>
  </si>
  <si>
    <t>Result Case</t>
  </si>
  <si>
    <t>DC</t>
  </si>
  <si>
    <t>DW</t>
  </si>
  <si>
    <t>TU</t>
  </si>
  <si>
    <t>Axial Force (kips)</t>
  </si>
  <si>
    <t>Shear-Y (kips)</t>
  </si>
  <si>
    <t>Shear-Z (kips)</t>
  </si>
  <si>
    <t>Torsion (kips-ft)</t>
  </si>
  <si>
    <t>Moment-Y (kips-ft)</t>
  </si>
  <si>
    <t>Moment-Z (kips-ft)</t>
  </si>
  <si>
    <t>Unfactored Member End Force</t>
  </si>
  <si>
    <t>LC</t>
  </si>
  <si>
    <t>Column</t>
  </si>
  <si>
    <t>Force Output at Column Base</t>
  </si>
  <si>
    <r>
      <t xml:space="preserve">Load Modifier, </t>
    </r>
    <r>
      <rPr>
        <sz val="11"/>
        <color theme="1"/>
        <rFont val="Calibri"/>
        <family val="2"/>
      </rPr>
      <t>η=</t>
    </r>
  </si>
  <si>
    <t>Strength 1 with Max Fx and Coexistent TU (Expansion)</t>
  </si>
  <si>
    <t>Strength 1 with Max Fy and Coexistent TU (Expansion)</t>
  </si>
  <si>
    <t>Strength 1 with Max Mz and Coexistent TU (Expansion)</t>
  </si>
  <si>
    <t>Strength 1 with Max My and Coexistent TU (Expansion)</t>
  </si>
  <si>
    <t>Strength 1 with Max Fz and Coexistent TU (Expansion)</t>
  </si>
  <si>
    <t>Strength 1 with Max Mx and Coexistent TU (Expansion)</t>
  </si>
  <si>
    <t>Bridge importance factor</t>
  </si>
  <si>
    <t>last row #</t>
  </si>
  <si>
    <t>Axial Force kip</t>
  </si>
  <si>
    <t>Shear-Y kip</t>
  </si>
  <si>
    <t>Shear-Z kip</t>
  </si>
  <si>
    <t>Torsion kip-ft</t>
  </si>
  <si>
    <t>Moment-Y kip-ft</t>
  </si>
  <si>
    <t>Moment-Z kip-ft</t>
  </si>
  <si>
    <t>relative row #</t>
  </si>
  <si>
    <t>Axial Force</t>
  </si>
  <si>
    <t>Shear-Y</t>
  </si>
  <si>
    <t>Shear-Z</t>
  </si>
  <si>
    <t>Torsion</t>
  </si>
  <si>
    <t>Moment-Y</t>
  </si>
  <si>
    <t>Moment-Z</t>
  </si>
  <si>
    <t>Unfactored Member End Force LL+BR+CE</t>
  </si>
  <si>
    <t>Unfactored Member End Force: LL+BR+CE</t>
  </si>
  <si>
    <t>Station (ft)</t>
  </si>
  <si>
    <t>DC1</t>
  </si>
  <si>
    <t>DC2</t>
  </si>
  <si>
    <t>WS</t>
  </si>
  <si>
    <t>WL</t>
  </si>
  <si>
    <t>FR</t>
  </si>
  <si>
    <t>EQ</t>
  </si>
  <si>
    <t>Strength 1</t>
  </si>
  <si>
    <t>Max DL</t>
  </si>
  <si>
    <t>Min DL</t>
  </si>
  <si>
    <t>Max Long Deformation</t>
  </si>
  <si>
    <t>Strength 2</t>
  </si>
  <si>
    <t>Strength 3</t>
  </si>
  <si>
    <t>Strength 5</t>
  </si>
  <si>
    <t>Extreme 1 (Earthquake)</t>
  </si>
  <si>
    <t xml:space="preserve">Seismic </t>
  </si>
  <si>
    <t>Service 1 (Cracking / Def)</t>
  </si>
  <si>
    <t>Min Long Deformation</t>
  </si>
  <si>
    <t>Service 2 (Steel Yielding)</t>
  </si>
  <si>
    <t>Min Long Displacement</t>
  </si>
  <si>
    <t>Max Long Displacement</t>
  </si>
  <si>
    <t>Fatigue 1</t>
  </si>
  <si>
    <t>Infinite Life</t>
  </si>
  <si>
    <t>LL + IM+CE+BR</t>
  </si>
  <si>
    <t>max 1</t>
  </si>
  <si>
    <t>max 2</t>
  </si>
  <si>
    <t>max 3</t>
  </si>
  <si>
    <t>min 1</t>
  </si>
  <si>
    <t>min 2</t>
  </si>
  <si>
    <t>min 3</t>
  </si>
  <si>
    <t>max1</t>
  </si>
  <si>
    <t>max2</t>
  </si>
  <si>
    <t>max3</t>
  </si>
  <si>
    <t>min1</t>
  </si>
  <si>
    <t>min2</t>
  </si>
  <si>
    <t>min3</t>
  </si>
  <si>
    <t>MODEL INTRO</t>
  </si>
  <si>
    <t>ShtNames</t>
  </si>
  <si>
    <t>TUmax</t>
  </si>
  <si>
    <t>TUmin</t>
  </si>
  <si>
    <t>LLmax</t>
  </si>
  <si>
    <t>LLmin</t>
  </si>
  <si>
    <t>PERMITmax</t>
  </si>
  <si>
    <t>STRIKERmax</t>
  </si>
  <si>
    <t>PERMITmin</t>
  </si>
  <si>
    <t>STRIKERmin</t>
  </si>
  <si>
    <t>STR3 WSmax</t>
  </si>
  <si>
    <t>STR3 WSmin</t>
  </si>
  <si>
    <t>STR5 WS+WLmax</t>
  </si>
  <si>
    <t>STR5 WS+WLmin</t>
  </si>
  <si>
    <t>SERV1 WS+WLmax</t>
  </si>
  <si>
    <t>SERV1 WS+WLmin</t>
  </si>
  <si>
    <t>STR1 DLmax LLmax</t>
  </si>
  <si>
    <t>STR1 DLmin LLmax</t>
  </si>
  <si>
    <t>STR1 DLmax LLmin</t>
  </si>
  <si>
    <t>STR1 DLmin LLmin</t>
  </si>
  <si>
    <t>STR2 DLmax PERMITmax</t>
  </si>
  <si>
    <t>STR2 DLmin PERMITmax</t>
  </si>
  <si>
    <t>STR2 DLmax PERMITmin</t>
  </si>
  <si>
    <t>STR2 DLmin PERMITmin</t>
  </si>
  <si>
    <t>STR2 DLmax STRIKERmax</t>
  </si>
  <si>
    <t>STR2 DLmin STRIKERmax</t>
  </si>
  <si>
    <t>STR2 DLmax STRIKERmin</t>
  </si>
  <si>
    <t>STR2 DLmin STRIKERmin</t>
  </si>
  <si>
    <t>STR3 DLmax LLmax</t>
  </si>
  <si>
    <t>STR3 DLmin LLmax</t>
  </si>
  <si>
    <t>STR3 DLmax LLmin</t>
  </si>
  <si>
    <t>STR3 DLmin LLmin</t>
  </si>
  <si>
    <t>STR5 DLmax LLmax</t>
  </si>
  <si>
    <t>STR5 DLmin LLmax</t>
  </si>
  <si>
    <t>STR5 DLmax LLmin</t>
  </si>
  <si>
    <t>STR5 DLmin LLmin</t>
  </si>
  <si>
    <t>SERV1 DLmax LLmax</t>
  </si>
  <si>
    <t>SERV1 DLmin LLmax</t>
  </si>
  <si>
    <t>SERV1 DLmax LLmin</t>
  </si>
  <si>
    <t>SERV1 DLmin LLmin</t>
  </si>
  <si>
    <t>SERV2 DLmax LLmax</t>
  </si>
  <si>
    <t>SERV2 DLmin LLmax</t>
  </si>
  <si>
    <t>SERV2 DLmax LLmin</t>
  </si>
  <si>
    <t>SERV2 DLmin LLmin</t>
  </si>
  <si>
    <t>FTG1 LLmax</t>
  </si>
  <si>
    <t>FTG1 LLmin</t>
  </si>
  <si>
    <t>STR I</t>
  </si>
  <si>
    <t>relative row</t>
  </si>
  <si>
    <t>Fx</t>
  </si>
  <si>
    <t>Fy</t>
  </si>
  <si>
    <t>Fz</t>
  </si>
  <si>
    <t>Mx</t>
  </si>
  <si>
    <t>My</t>
  </si>
  <si>
    <t>Mz</t>
  </si>
  <si>
    <t>Load Combination</t>
  </si>
  <si>
    <t>Button 3</t>
  </si>
  <si>
    <t>Button 4</t>
  </si>
  <si>
    <t>" " displacements</t>
  </si>
  <si>
    <t>STR1 Forces</t>
  </si>
  <si>
    <t>STR2 Forces</t>
  </si>
  <si>
    <t>STR3 Forces</t>
  </si>
  <si>
    <t>STR5 Forces</t>
  </si>
  <si>
    <t>SERV1 Forces</t>
  </si>
  <si>
    <t>SERV2 Forces</t>
  </si>
  <si>
    <t>FTG1 Forces</t>
  </si>
  <si>
    <t>Helper fx</t>
  </si>
  <si>
    <t>Helper fy</t>
  </si>
  <si>
    <t>Helper fz</t>
  </si>
  <si>
    <t>Helper mx</t>
  </si>
  <si>
    <t>Helper my</t>
  </si>
  <si>
    <t>Helper mz</t>
  </si>
  <si>
    <t>=LARGE(IF(E65:E2660=$O$12,G65:G2660),1)</t>
  </si>
  <si>
    <t>=LARGE(IF(D65:D2660=$O$13,G65:G2660),1)</t>
  </si>
  <si>
    <t>=LARGE(IF((E65:E2660=$O$12)*(D65:D2660=$O$13),G65:G2660),1)</t>
  </si>
  <si>
    <t>Force Column</t>
  </si>
  <si>
    <t>J</t>
  </si>
  <si>
    <t>K</t>
  </si>
  <si>
    <t>L</t>
  </si>
  <si>
    <t>Large/Small</t>
  </si>
  <si>
    <t>N</t>
  </si>
  <si>
    <t>O</t>
  </si>
  <si>
    <t>Q</t>
  </si>
  <si>
    <t>R</t>
  </si>
  <si>
    <t>S</t>
  </si>
  <si>
    <t>=If(Isblank(S11),LARGE(IF(E65:E2660=$O$12,G65:G2660),1),if(isblank(S10),LARGE(IF(D65:D2660=$O$13,G65:G2660),1),LARGE(IF((E65:E2660=$O$12)*(D65:D2660=$O$13),G65:G2660),1)))</t>
  </si>
  <si>
    <t>If(member is blank, search for section only, if section is blank, search for member, else search for section and member)</t>
  </si>
  <si>
    <t>Indirect primarily used to get the last row.  Also used to vary the column number, and the large/small ranking 1, 2, 3</t>
  </si>
  <si>
    <t>helper column</t>
  </si>
  <si>
    <t>Notes:</t>
  </si>
  <si>
    <t>1. section only</t>
  </si>
  <si>
    <t>2. member only</t>
  </si>
  <si>
    <t>3. both members and section</t>
  </si>
  <si>
    <t>if(2 is blank, 1, if( 1 is blank, 2, else 3))</t>
  </si>
  <si>
    <t>Helper columns for match function</t>
  </si>
  <si>
    <t>STR 2</t>
  </si>
  <si>
    <t>Column Forces</t>
  </si>
  <si>
    <t>STR 3</t>
  </si>
  <si>
    <t>STR 5</t>
  </si>
  <si>
    <t>SERV 1</t>
  </si>
  <si>
    <t>SERV II</t>
  </si>
  <si>
    <t>FTG 1</t>
  </si>
  <si>
    <t>Enter Member Station (blank or #):</t>
  </si>
  <si>
    <t>Enter Member (blank or #):</t>
  </si>
  <si>
    <t>TBD</t>
  </si>
  <si>
    <t>Enter Bridge &amp; Section Name:</t>
  </si>
  <si>
    <t>Last Run:</t>
  </si>
  <si>
    <t>FTGmax</t>
  </si>
  <si>
    <t>FTGmin</t>
  </si>
  <si>
    <t>Station 0 for Pilecap center, station 1 for Pilecap bottom</t>
  </si>
  <si>
    <t>Moment and shear direction figure</t>
  </si>
  <si>
    <t>X:Vertical direction downwards</t>
  </si>
  <si>
    <t xml:space="preserve">Note: Axial load is "-" for compression </t>
  </si>
  <si>
    <t>My follows the left hand rule</t>
  </si>
  <si>
    <t xml:space="preserve">Mx and Mz follow the right hand rule </t>
  </si>
  <si>
    <t>Y: Transverse direction perpendicular to bridge path</t>
  </si>
  <si>
    <t>Z: Longitudinal direction along bridge path</t>
  </si>
  <si>
    <t>M-Station</t>
  </si>
  <si>
    <t>B-Station(ft)</t>
  </si>
  <si>
    <t>Transverse Offset(ft)</t>
  </si>
  <si>
    <t>Elevation(ft)</t>
  </si>
  <si>
    <t>T</t>
  </si>
  <si>
    <t>U</t>
  </si>
  <si>
    <t>V</t>
  </si>
  <si>
    <t>M</t>
  </si>
  <si>
    <t>P01</t>
  </si>
  <si>
    <t>P02</t>
  </si>
  <si>
    <t>P03</t>
  </si>
  <si>
    <t>DL LARSA Import File Path:</t>
  </si>
  <si>
    <t>LL LARSA Import File Path:</t>
  </si>
  <si>
    <t>Instructions:</t>
  </si>
  <si>
    <t>Formula explanation:</t>
  </si>
  <si>
    <t># of Piers</t>
  </si>
  <si>
    <t>Enter # of columns per pier and number of piers in blue cells</t>
  </si>
  <si>
    <t>=IF($G$7=E$14,IF($G$8="Max",MAXIFS(INDIRECT("'"&amp;$G$6&amp;"'!"&amp;E$15&amp;"65:"&amp;E$15&amp;$J$6),INDIRECT("'"&amp;$G$6&amp;"'!"&amp;"E65:E"&amp;$J$6),$B16,INDIRECT("'"&amp;$G$6&amp;"'!"&amp;"D65:D"&amp;$J$6),$C16),MINIFS(INDIRECT("'"&amp;$G$6&amp;"'!"&amp;E$15&amp;"65:"&amp;E$15&amp;$J$6),INDIRECT("'"&amp;$G$6&amp;"'!"&amp;"E65:E"&amp;$J$6),$B16,INDIRECT("'"&amp;$G$6&amp;"'!"&amp;"D65:D"&amp;$J$6),$C16)),INDEX(INDIRECT("'"&amp;$G$6&amp;"'!"&amp;E$15&amp;"65:"&amp;E$15&amp;$J$6),$D16))</t>
  </si>
  <si>
    <t>Click button "Change Number of Pile Caps"</t>
  </si>
  <si>
    <t>translation=if(envelope=Fx,if(max selected, maxifs(STR1 Forces G65:G_last row, station 0, member 3165), else minifs(STR1 Forces G65:G_last row, station 0, member 3165)),else index(STR1 Forces G65:G_last row, relative row #)</t>
  </si>
  <si>
    <t>Blue cells "Load Combination", "Envelope", "Max/Min" are drop down menus.</t>
  </si>
  <si>
    <t>indirect enables the use of the drop down menus for the sheet and cell references</t>
  </si>
  <si>
    <t xml:space="preserve">Blue cells are input cells.  Green cells are descriptions for the user.  </t>
  </si>
  <si>
    <t>LastRow:</t>
  </si>
  <si>
    <t>Grey cells can be ignored, they assist with the calculations.</t>
  </si>
  <si>
    <t>Envelope</t>
  </si>
  <si>
    <t>RefCol:</t>
  </si>
  <si>
    <t>Max/Min</t>
  </si>
  <si>
    <t xml:space="preserve">Member </t>
  </si>
  <si>
    <t>Tx</t>
  </si>
  <si>
    <t>Ty</t>
  </si>
  <si>
    <t>Tz</t>
  </si>
  <si>
    <t>Rx</t>
  </si>
  <si>
    <t>Ry</t>
  </si>
  <si>
    <t>Rz</t>
  </si>
  <si>
    <t>Rel Row</t>
  </si>
  <si>
    <t>Copy and paste in here pile data from Input Data &gt; Members, as well as corresponding joints</t>
  </si>
  <si>
    <t>Write corresponding Pier, Pilecap, and pier/pilecap concatenation</t>
  </si>
  <si>
    <t>Use index match from joint data to assign STA &amp; TO for each beam ID, then store as values</t>
  </si>
  <si>
    <t>Check "Geotech" tab to make sure data is loaded in correctly</t>
  </si>
  <si>
    <t>Round STA and TO to 1 decimal place.</t>
  </si>
  <si>
    <t>For each pier, Sort TO by min to max, then STA by min to max (eg. if there are 3 piers, repeat three times)</t>
  </si>
  <si>
    <t>Pier</t>
  </si>
  <si>
    <t>STA</t>
  </si>
  <si>
    <t>TO</t>
  </si>
  <si>
    <t>ID</t>
  </si>
  <si>
    <t>I-Joint</t>
  </si>
  <si>
    <t>J-Joint</t>
  </si>
  <si>
    <t>Span</t>
  </si>
  <si>
    <t>Type</t>
  </si>
  <si>
    <t>Section at Start</t>
  </si>
  <si>
    <t>Section at End</t>
  </si>
  <si>
    <t>Material</t>
  </si>
  <si>
    <t>Prestress Force (kips)</t>
  </si>
  <si>
    <t>Length (ft)</t>
  </si>
  <si>
    <t>Rigid Zone from Start (x/L)</t>
  </si>
  <si>
    <t>Rigid Zone from End (x/L)</t>
  </si>
  <si>
    <t>Orientation Angle (deg)</t>
  </si>
  <si>
    <t>Casting (day)</t>
  </si>
  <si>
    <t>Structure Group</t>
  </si>
  <si>
    <t>Transverse Offset (ft)</t>
  </si>
  <si>
    <t>Elevation (ft)</t>
  </si>
  <si>
    <t>Translation DOF</t>
  </si>
  <si>
    <t>Rotation DOF</t>
  </si>
  <si>
    <t>Displacement UCS</t>
  </si>
  <si>
    <t>Assignment</t>
  </si>
  <si>
    <t>C</t>
  </si>
  <si>
    <t>-</t>
  </si>
  <si>
    <t>STR(all)</t>
  </si>
  <si>
    <t>SERV(all)</t>
  </si>
  <si>
    <t>Load case</t>
  </si>
  <si>
    <t>Pile RxC</t>
  </si>
  <si>
    <t>Member Station 1</t>
  </si>
  <si>
    <t>Member Station 0</t>
  </si>
  <si>
    <t>Max</t>
  </si>
  <si>
    <t>Member Desc.</t>
  </si>
  <si>
    <t>Input factor</t>
  </si>
  <si>
    <t>Member Station 2</t>
  </si>
  <si>
    <t>Side</t>
  </si>
  <si>
    <t># Columns/Pier</t>
  </si>
  <si>
    <t>Column Layout</t>
  </si>
  <si>
    <t>Member Station 3</t>
  </si>
  <si>
    <t>Member Station 4</t>
  </si>
  <si>
    <t>Member Station 5</t>
  </si>
  <si>
    <t>Member Station 6</t>
  </si>
  <si>
    <t>Member Station 7</t>
  </si>
  <si>
    <t>Member Station 8</t>
  </si>
  <si>
    <t>Member Station 9</t>
  </si>
  <si>
    <t>Member Station 10</t>
  </si>
  <si>
    <t>S2</t>
  </si>
  <si>
    <t>Interface</t>
  </si>
  <si>
    <t>MemberID</t>
  </si>
  <si>
    <t>ID (element #)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</si>
</sst>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/>
    <xf numFmtId="0" fontId="6" fillId="0" borderId="0"/>
  </cellStyleXfs>
  <cellXfs count="115">
    <xf numFmtId="0" fontId="0" fillId="0" borderId="0" xfId="0"/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vertical="center"/>
    </xf>
    <xf numFmtId="0" fontId="0" fillId="0" borderId="0" xfId="0" applyFill="1"/>
    <xf numFmtId="0" fontId="3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vertical="center"/>
    </xf>
    <xf numFmtId="2" fontId="1" fillId="0" borderId="0" xfId="0" applyNumberFormat="1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Fill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4" borderId="0" xfId="0" applyFill="1"/>
    <xf numFmtId="2" fontId="0" fillId="4" borderId="0" xfId="0" applyNumberFormat="1" applyFill="1"/>
    <xf numFmtId="0" fontId="1" fillId="0" borderId="0" xfId="0" applyFont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0" borderId="0" xfId="0" applyAlignment="1">
      <alignment horizontal="right"/>
    </xf>
    <xf numFmtId="165" fontId="0" fillId="2" borderId="0" xfId="0" applyNumberFormat="1" applyFill="1" applyAlignment="1">
      <alignment horizontal="center" vertical="center"/>
    </xf>
    <xf numFmtId="0" fontId="5" fillId="0" borderId="1" xfId="0" applyFont="1" applyBorder="1"/>
    <xf numFmtId="0" fontId="5" fillId="0" borderId="0" xfId="0" applyFont="1"/>
    <xf numFmtId="0" fontId="0" fillId="0" borderId="0" xfId="0" applyFont="1" applyAlignment="1">
      <alignment horizont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8" fillId="9" borderId="5" xfId="0" applyFont="1" applyFill="1" applyBorder="1" applyAlignment="1">
      <alignment horizontal="center" vertical="center"/>
    </xf>
    <xf numFmtId="0" fontId="8" fillId="9" borderId="5" xfId="0" applyFont="1" applyFill="1" applyBorder="1" applyAlignment="1">
      <alignment horizontal="center" vertical="center" wrapText="1"/>
    </xf>
    <xf numFmtId="0" fontId="8" fillId="9" borderId="4" xfId="0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9" fillId="10" borderId="7" xfId="0" applyFont="1" applyFill="1" applyBorder="1" applyAlignment="1">
      <alignment horizontal="center" vertical="center"/>
    </xf>
    <xf numFmtId="0" fontId="9" fillId="10" borderId="7" xfId="0" applyFont="1" applyFill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9" fillId="11" borderId="7" xfId="0" applyFont="1" applyFill="1" applyBorder="1" applyAlignment="1">
      <alignment horizontal="center" vertical="center"/>
    </xf>
    <xf numFmtId="0" fontId="9" fillId="11" borderId="7" xfId="0" applyFont="1" applyFill="1" applyBorder="1" applyAlignment="1">
      <alignment horizontal="center" vertical="center" wrapText="1"/>
    </xf>
    <xf numFmtId="0" fontId="9" fillId="10" borderId="4" xfId="0" applyFont="1" applyFill="1" applyBorder="1" applyAlignment="1">
      <alignment horizontal="center" vertical="center" wrapText="1"/>
    </xf>
    <xf numFmtId="0" fontId="9" fillId="11" borderId="4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/>
    <xf numFmtId="0" fontId="1" fillId="0" borderId="0" xfId="0" applyFont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" fontId="0" fillId="0" borderId="0" xfId="0" applyNumberFormat="1" applyAlignment="1">
      <alignment vertical="top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4" fillId="0" borderId="0" xfId="0" applyFont="1"/>
    <xf numFmtId="0" fontId="0" fillId="14" borderId="0" xfId="0" applyFill="1"/>
    <xf numFmtId="2" fontId="0" fillId="14" borderId="0" xfId="0" applyNumberFormat="1" applyFill="1"/>
    <xf numFmtId="0" fontId="0" fillId="14" borderId="0" xfId="0" applyFill="1" applyAlignment="1">
      <alignment vertical="top"/>
    </xf>
    <xf numFmtId="2" fontId="0" fillId="14" borderId="0" xfId="0" applyNumberFormat="1" applyFill="1" applyAlignment="1">
      <alignment vertical="top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right"/>
    </xf>
    <xf numFmtId="22" fontId="0" fillId="0" borderId="0" xfId="0" applyNumberFormat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quotePrefix="1" applyAlignment="1">
      <alignment horizontal="left" vertical="center"/>
    </xf>
    <xf numFmtId="0" fontId="0" fillId="0" borderId="0" xfId="0" applyAlignment="1"/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4" fillId="0" borderId="0" xfId="0" applyFont="1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16" borderId="0" xfId="0" applyFill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7" borderId="0" xfId="0" applyFill="1"/>
    <xf numFmtId="0" fontId="1" fillId="0" borderId="0" xfId="0" applyFont="1" applyAlignment="1">
      <alignment horizontal="center" vertical="center"/>
    </xf>
    <xf numFmtId="0" fontId="0" fillId="16" borderId="0" xfId="0" applyFill="1" applyAlignment="1">
      <alignment horizontal="right" vertical="center"/>
    </xf>
    <xf numFmtId="0" fontId="0" fillId="16" borderId="0" xfId="0" applyFill="1" applyAlignment="1">
      <alignment horizontal="center" vertical="center"/>
    </xf>
    <xf numFmtId="0" fontId="0" fillId="16" borderId="0" xfId="0" applyFill="1" applyAlignment="1">
      <alignment horizontal="right"/>
    </xf>
    <xf numFmtId="0" fontId="0" fillId="7" borderId="0" xfId="0" applyFill="1" applyAlignment="1">
      <alignment horizontal="center" vertical="center"/>
    </xf>
    <xf numFmtId="0" fontId="0" fillId="0" borderId="0" xfId="0" applyFill="1" applyAlignment="1">
      <alignment horizontal="right"/>
    </xf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17" borderId="0" xfId="0" applyFill="1" applyAlignment="1">
      <alignment horizontal="right"/>
    </xf>
    <xf numFmtId="0" fontId="0" fillId="17" borderId="0" xfId="0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22" fontId="0" fillId="0" borderId="0" xfId="0" applyNumberFormat="1" applyAlignment="1">
      <alignment horizontal="left"/>
    </xf>
    <xf numFmtId="2" fontId="0" fillId="17" borderId="0" xfId="0" applyNumberFormat="1" applyFill="1"/>
    <xf numFmtId="0" fontId="0" fillId="0" borderId="0" xfId="0" applyAlignment="1">
      <alignment horizontal="right" vertical="center"/>
    </xf>
    <xf numFmtId="0" fontId="0" fillId="15" borderId="0" xfId="0" applyFill="1"/>
    <xf numFmtId="0" fontId="4" fillId="15" borderId="0" xfId="0" applyFont="1" applyFill="1"/>
    <xf numFmtId="0" fontId="0" fillId="0" borderId="0" xfId="0" applyFont="1" applyAlignment="1">
      <alignment horizontal="center" vertical="center"/>
    </xf>
    <xf numFmtId="0" fontId="0" fillId="15" borderId="0" xfId="0" applyFill="1" applyAlignment="1">
      <alignment vertical="center"/>
    </xf>
    <xf numFmtId="0" fontId="1" fillId="16" borderId="0" xfId="0" applyFont="1" applyFill="1" applyAlignment="1">
      <alignment horizontal="centerContinuous" vertical="center"/>
    </xf>
    <xf numFmtId="0" fontId="0" fillId="18" borderId="0" xfId="0" applyFill="1" applyAlignment="1">
      <alignment horizontal="right"/>
    </xf>
    <xf numFmtId="0" fontId="0" fillId="18" borderId="0" xfId="0" applyFill="1"/>
    <xf numFmtId="0" fontId="0" fillId="16" borderId="0" xfId="0" quotePrefix="1" applyFill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3">
    <cellStyle name="Normal" xfId="0" builtinId="0"/>
    <cellStyle name="Normal 2" xfId="2" xr:uid="{C9C92B51-3147-424F-A454-091518329045}"/>
    <cellStyle name="Normal 6" xfId="1" xr:uid="{B05E3636-AF46-4EAE-928C-567BEAABEE57}"/>
  </cellStyles>
  <dxfs count="3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1133475</xdr:colOff>
          <xdr:row>1</xdr:row>
          <xdr:rowOff>161925</xdr:rowOff>
        </xdr:from>
        <xdr:to>
          <xdr:col>14</xdr:col>
          <xdr:colOff>219075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Loads from LARSA Script to Load Summary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1143000</xdr:colOff>
          <xdr:row>5</xdr:row>
          <xdr:rowOff>133350</xdr:rowOff>
        </xdr:from>
        <xdr:to>
          <xdr:col>14</xdr:col>
          <xdr:colOff>228600</xdr:colOff>
          <xdr:row>8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Results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644730</xdr:colOff>
      <xdr:row>28</xdr:row>
      <xdr:rowOff>147582</xdr:rowOff>
    </xdr:from>
    <xdr:to>
      <xdr:col>6</xdr:col>
      <xdr:colOff>515747</xdr:colOff>
      <xdr:row>53</xdr:row>
      <xdr:rowOff>98582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6348" y="61981641"/>
          <a:ext cx="4921060" cy="44447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85725</xdr:rowOff>
        </xdr:from>
        <xdr:to>
          <xdr:col>12</xdr:col>
          <xdr:colOff>238125</xdr:colOff>
          <xdr:row>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Sheet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0</xdr:row>
          <xdr:rowOff>57150</xdr:rowOff>
        </xdr:from>
        <xdr:to>
          <xdr:col>14</xdr:col>
          <xdr:colOff>104775</xdr:colOff>
          <xdr:row>2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3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Number of Columns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dersonrj/Desktop/JFK%20Local/JFK%20Local%20Files/9-21-2020%20Extraction/9-24-2020%20zhongyan%20for%20pile%20cap%20center%20interface/PileCap%20Center%20Force%20Output%20J53%20section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TRO"/>
      <sheetName val="ShtNames"/>
      <sheetName val="DC1"/>
      <sheetName val="DC2"/>
      <sheetName val="DW"/>
      <sheetName val="TUmax"/>
      <sheetName val="TUmin"/>
      <sheetName val="LLmax"/>
      <sheetName val="LLmin"/>
      <sheetName val="PERMITmax"/>
      <sheetName val="STRIKERmax"/>
      <sheetName val="PERMITmin"/>
      <sheetName val="STRIKERmin"/>
      <sheetName val="FTGmax"/>
      <sheetName val="FTGmin"/>
      <sheetName val="STR3 WSmax"/>
      <sheetName val="STR3 WSmin"/>
      <sheetName val="STR5 WS+WLmax"/>
      <sheetName val="STR5 WS+WLmin"/>
      <sheetName val="SERV1 WS+WLmax"/>
      <sheetName val="SERV1 WS+WLmin"/>
      <sheetName val="STR1 DLmax LLmax"/>
      <sheetName val="STR1 DLmin LLmax"/>
      <sheetName val="STR1 DLmax LLmin"/>
      <sheetName val="STR1 DLmin LLmin"/>
      <sheetName val="STR2 DLmax PERMITmax"/>
      <sheetName val="STR2 DLmin PERMITmax"/>
      <sheetName val="STR2 DLmax PERMITmin"/>
      <sheetName val="STR2 DLmin PERMITmin"/>
      <sheetName val="STR2 DLmax STRIKERmax"/>
      <sheetName val="STR2 DLmin STRIKERmax"/>
      <sheetName val="STR2 DLmax STRIKERmin"/>
      <sheetName val="STR2 DLmin STRIKERmin"/>
      <sheetName val="STR3 DLmax LLmax"/>
      <sheetName val="STR3 DLmin LLmax"/>
      <sheetName val="STR3 DLmax LLmin"/>
      <sheetName val="STR3 DLmin LLmin"/>
      <sheetName val="STR5 DLmax LLmax"/>
      <sheetName val="STR5 DLmin LLmax"/>
      <sheetName val="STR5 DLmax LLmin"/>
      <sheetName val="STR5 DLmin LLmin"/>
      <sheetName val="SERV1 DLmax LLmax"/>
      <sheetName val="SERV1 DLmin LLmax"/>
      <sheetName val="SERV1 DLmax LLmin"/>
      <sheetName val="SERV1 DLmin LLmin"/>
      <sheetName val="SERV2 DLmax LLmax"/>
      <sheetName val="SERV2 DLmin LLmax"/>
      <sheetName val="SERV2 DLmax LLmin"/>
      <sheetName val="SERV2 DLmin LLmin"/>
      <sheetName val="FTG1 LLmax"/>
      <sheetName val="FTG1 LLmin"/>
      <sheetName val="STR1 Forces"/>
      <sheetName val="STR2 Forces"/>
      <sheetName val="STR3 Forces"/>
      <sheetName val="STR5 Forces"/>
      <sheetName val="SERV1 Forces"/>
      <sheetName val="SERV2 Forces"/>
      <sheetName val="FTG1 Forces"/>
      <sheetName val="Geotech"/>
      <sheetName val="PilecapID"/>
    </sheetNames>
    <sheetDataSet>
      <sheetData sheetId="0">
        <row r="323">
          <cell r="E323">
            <v>1.75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1.bin"/><Relationship Id="rId4" Type="http://schemas.openxmlformats.org/officeDocument/2006/relationships/ctrlProp" Target="../ctrlProps/ctrlProp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S43"/>
  <sheetViews>
    <sheetView tabSelected="1" zoomScale="85" zoomScaleNormal="85" workbookViewId="0"/>
  </sheetViews>
  <sheetFormatPr defaultRowHeight="15" x14ac:dyDescent="0.25"/>
  <cols>
    <col min="1" max="1" width="24" customWidth="1"/>
    <col min="2" max="2" width="21" customWidth="1"/>
    <col min="3" max="3" width="21.28515625" customWidth="1"/>
    <col min="4" max="4" width="16.5703125" customWidth="1"/>
    <col min="5" max="5" width="15.85546875" customWidth="1"/>
    <col min="6" max="6" width="20" customWidth="1"/>
    <col min="7" max="7" width="22.28515625" customWidth="1"/>
    <col min="8" max="8" width="15.28515625" customWidth="1"/>
    <col min="9" max="9" width="28" customWidth="1"/>
    <col min="10" max="10" width="24.28515625" customWidth="1"/>
    <col min="11" max="11" width="18.5703125" customWidth="1"/>
    <col min="12" max="12" width="19.28515625" customWidth="1"/>
    <col min="13" max="13" width="17.85546875" customWidth="1"/>
    <col min="14" max="14" width="19.5703125" customWidth="1"/>
    <col min="15" max="15" width="10.7109375" style="2" customWidth="1"/>
    <col min="16" max="16" width="9.7109375" customWidth="1"/>
    <col min="17" max="17" width="18.5703125" customWidth="1"/>
    <col min="18" max="19" width="8.85546875" customWidth="1"/>
  </cols>
  <sheetData>
    <row r="2" spans="1:17" x14ac:dyDescent="0.25">
      <c r="A2" t="s">
        <v>15</v>
      </c>
      <c r="B2" t="s">
        <v>22</v>
      </c>
    </row>
    <row r="3" spans="1:17" x14ac:dyDescent="0.25">
      <c r="A3" t="s">
        <v>267</v>
      </c>
      <c r="B3" s="20">
        <v>1.05</v>
      </c>
      <c r="P3" s="24" t="s">
        <v>180</v>
      </c>
      <c r="Q3" s="101">
        <v>44125.763148148151</v>
      </c>
    </row>
    <row r="4" spans="1:17" x14ac:dyDescent="0.25">
      <c r="B4" s="7"/>
    </row>
    <row r="7" spans="1:17" x14ac:dyDescent="0.25">
      <c r="P7" s="24" t="s">
        <v>180</v>
      </c>
      <c r="Q7" s="101">
        <v>44125.765347222223</v>
      </c>
    </row>
    <row r="8" spans="1:17" ht="15.75" thickBot="1" x14ac:dyDescent="0.3">
      <c r="C8" s="112"/>
      <c r="D8" s="112"/>
      <c r="E8" s="112"/>
      <c r="F8" s="112"/>
      <c r="P8" s="7"/>
    </row>
    <row r="9" spans="1:17" ht="15.75" thickBot="1" x14ac:dyDescent="0.3">
      <c r="A9" s="29" t="s">
        <v>12</v>
      </c>
      <c r="B9" s="30"/>
      <c r="C9" s="31" t="s">
        <v>2</v>
      </c>
      <c r="D9" s="32" t="s">
        <v>3</v>
      </c>
      <c r="E9" s="32" t="s">
        <v>62</v>
      </c>
      <c r="F9" s="33" t="s">
        <v>42</v>
      </c>
      <c r="G9" s="33" t="s">
        <v>43</v>
      </c>
      <c r="H9" s="32" t="s">
        <v>44</v>
      </c>
      <c r="I9" s="32" t="s">
        <v>4</v>
      </c>
      <c r="J9" s="34" t="s">
        <v>45</v>
      </c>
      <c r="P9" s="7"/>
    </row>
    <row r="10" spans="1:17" ht="15.75" thickBot="1" x14ac:dyDescent="0.3">
      <c r="A10" s="35" t="s">
        <v>46</v>
      </c>
      <c r="B10" s="36" t="s">
        <v>47</v>
      </c>
      <c r="C10" s="36">
        <v>1.25</v>
      </c>
      <c r="D10" s="36">
        <v>1.5</v>
      </c>
      <c r="E10" s="36">
        <v>1.75</v>
      </c>
      <c r="F10" s="37">
        <v>0</v>
      </c>
      <c r="G10" s="37">
        <v>0</v>
      </c>
      <c r="H10" s="36">
        <v>1</v>
      </c>
      <c r="I10" s="36">
        <v>1</v>
      </c>
      <c r="J10" s="38">
        <v>0</v>
      </c>
      <c r="P10" s="7"/>
    </row>
    <row r="11" spans="1:17" ht="15.75" thickBot="1" x14ac:dyDescent="0.3">
      <c r="A11" s="35" t="s">
        <v>46</v>
      </c>
      <c r="B11" s="36" t="s">
        <v>48</v>
      </c>
      <c r="C11" s="36">
        <v>0.9</v>
      </c>
      <c r="D11" s="36">
        <v>0.65</v>
      </c>
      <c r="E11" s="36">
        <v>1.75</v>
      </c>
      <c r="F11" s="37">
        <v>0</v>
      </c>
      <c r="G11" s="37">
        <v>0</v>
      </c>
      <c r="H11" s="36">
        <v>1</v>
      </c>
      <c r="I11" s="36">
        <v>1</v>
      </c>
      <c r="J11" s="39">
        <v>0</v>
      </c>
      <c r="L11" s="23" t="s">
        <v>130</v>
      </c>
      <c r="M11" s="23" t="s">
        <v>132</v>
      </c>
      <c r="N11" s="23" t="s">
        <v>178</v>
      </c>
      <c r="O11" s="23"/>
      <c r="P11" s="7"/>
    </row>
    <row r="12" spans="1:17" ht="15.75" thickBot="1" x14ac:dyDescent="0.3">
      <c r="A12" s="35" t="s">
        <v>46</v>
      </c>
      <c r="B12" s="36" t="s">
        <v>49</v>
      </c>
      <c r="C12" s="36">
        <v>1.25</v>
      </c>
      <c r="D12" s="36">
        <v>1.5</v>
      </c>
      <c r="E12" s="36">
        <v>1.75</v>
      </c>
      <c r="F12" s="37">
        <v>0</v>
      </c>
      <c r="G12" s="37">
        <v>0</v>
      </c>
      <c r="H12" s="36">
        <v>1</v>
      </c>
      <c r="I12" s="36">
        <v>1.2</v>
      </c>
      <c r="J12" s="39">
        <v>0</v>
      </c>
      <c r="L12" s="23" t="s">
        <v>131</v>
      </c>
      <c r="M12" s="23" t="s">
        <v>132</v>
      </c>
      <c r="N12" s="23" t="s">
        <v>178</v>
      </c>
      <c r="O12" s="23"/>
      <c r="P12" s="7"/>
    </row>
    <row r="13" spans="1:17" ht="15.75" thickBot="1" x14ac:dyDescent="0.3">
      <c r="A13" s="40" t="s">
        <v>50</v>
      </c>
      <c r="B13" s="41" t="s">
        <v>47</v>
      </c>
      <c r="C13" s="41">
        <v>1.25</v>
      </c>
      <c r="D13" s="41">
        <v>1.5</v>
      </c>
      <c r="E13" s="41">
        <v>1.35</v>
      </c>
      <c r="F13" s="42">
        <v>0</v>
      </c>
      <c r="G13" s="42">
        <v>0</v>
      </c>
      <c r="H13" s="41">
        <v>1</v>
      </c>
      <c r="I13" s="41">
        <v>1</v>
      </c>
      <c r="J13" s="40">
        <v>0</v>
      </c>
      <c r="P13" s="7"/>
    </row>
    <row r="14" spans="1:17" ht="15.75" thickBot="1" x14ac:dyDescent="0.3">
      <c r="A14" s="40" t="s">
        <v>50</v>
      </c>
      <c r="B14" s="41" t="s">
        <v>48</v>
      </c>
      <c r="C14" s="41">
        <v>0.9</v>
      </c>
      <c r="D14" s="41">
        <v>0.65</v>
      </c>
      <c r="E14" s="41">
        <v>1.35</v>
      </c>
      <c r="F14" s="42">
        <v>0</v>
      </c>
      <c r="G14" s="42">
        <v>0</v>
      </c>
      <c r="H14" s="41">
        <v>1</v>
      </c>
      <c r="I14" s="41">
        <v>1</v>
      </c>
      <c r="J14" s="40">
        <v>0</v>
      </c>
      <c r="P14" s="7"/>
    </row>
    <row r="15" spans="1:17" ht="15.75" thickBot="1" x14ac:dyDescent="0.3">
      <c r="A15" s="40" t="s">
        <v>50</v>
      </c>
      <c r="B15" s="41" t="s">
        <v>49</v>
      </c>
      <c r="C15" s="41">
        <v>1.25</v>
      </c>
      <c r="D15" s="41">
        <v>1.5</v>
      </c>
      <c r="E15" s="41">
        <v>1.35</v>
      </c>
      <c r="F15" s="42">
        <v>0</v>
      </c>
      <c r="G15" s="42">
        <v>0</v>
      </c>
      <c r="H15" s="41">
        <v>1</v>
      </c>
      <c r="I15" s="41">
        <v>1.2</v>
      </c>
      <c r="J15" s="40">
        <v>0</v>
      </c>
    </row>
    <row r="16" spans="1:17" ht="15.75" thickBot="1" x14ac:dyDescent="0.3">
      <c r="A16" s="35" t="s">
        <v>51</v>
      </c>
      <c r="B16" s="36" t="s">
        <v>47</v>
      </c>
      <c r="C16" s="36">
        <v>1.25</v>
      </c>
      <c r="D16" s="36">
        <v>1.5</v>
      </c>
      <c r="E16" s="36">
        <v>0</v>
      </c>
      <c r="F16" s="37">
        <v>1</v>
      </c>
      <c r="G16" s="37">
        <v>0</v>
      </c>
      <c r="H16" s="36">
        <v>1</v>
      </c>
      <c r="I16" s="36">
        <v>1</v>
      </c>
      <c r="J16" s="36">
        <v>0</v>
      </c>
      <c r="M16" s="2"/>
    </row>
    <row r="17" spans="1:19" ht="15.75" thickBot="1" x14ac:dyDescent="0.3">
      <c r="A17" s="35" t="s">
        <v>51</v>
      </c>
      <c r="B17" s="36" t="s">
        <v>48</v>
      </c>
      <c r="C17" s="36">
        <v>0.9</v>
      </c>
      <c r="D17" s="36">
        <v>0.65</v>
      </c>
      <c r="E17" s="36">
        <v>0</v>
      </c>
      <c r="F17" s="37">
        <v>1</v>
      </c>
      <c r="G17" s="37">
        <v>0</v>
      </c>
      <c r="H17" s="36">
        <v>1</v>
      </c>
      <c r="I17" s="36">
        <v>1</v>
      </c>
      <c r="J17" s="36">
        <v>0</v>
      </c>
    </row>
    <row r="18" spans="1:19" ht="15.75" thickBot="1" x14ac:dyDescent="0.3">
      <c r="A18" s="43" t="s">
        <v>51</v>
      </c>
      <c r="B18" s="36" t="s">
        <v>49</v>
      </c>
      <c r="C18" s="36">
        <v>1.25</v>
      </c>
      <c r="D18" s="36">
        <v>1.5</v>
      </c>
      <c r="E18" s="36">
        <v>0</v>
      </c>
      <c r="F18" s="37">
        <v>1</v>
      </c>
      <c r="G18" s="37">
        <v>0</v>
      </c>
      <c r="H18" s="36">
        <v>1</v>
      </c>
      <c r="I18" s="36">
        <v>1.2</v>
      </c>
      <c r="J18" s="36">
        <v>0</v>
      </c>
    </row>
    <row r="19" spans="1:19" ht="15.75" thickBot="1" x14ac:dyDescent="0.3">
      <c r="A19" s="40" t="s">
        <v>52</v>
      </c>
      <c r="B19" s="41" t="s">
        <v>47</v>
      </c>
      <c r="C19" s="41">
        <v>1.25</v>
      </c>
      <c r="D19" s="41">
        <v>1.5</v>
      </c>
      <c r="E19" s="41">
        <v>1.35</v>
      </c>
      <c r="F19" s="42">
        <v>1</v>
      </c>
      <c r="G19" s="42">
        <v>1</v>
      </c>
      <c r="H19" s="41">
        <v>1</v>
      </c>
      <c r="I19" s="41">
        <v>1</v>
      </c>
      <c r="J19" s="40">
        <v>0</v>
      </c>
      <c r="L19" s="24" t="s">
        <v>179</v>
      </c>
      <c r="M19" s="80" t="s">
        <v>280</v>
      </c>
    </row>
    <row r="20" spans="1:19" ht="15.75" thickBot="1" x14ac:dyDescent="0.3">
      <c r="A20" s="40" t="s">
        <v>52</v>
      </c>
      <c r="B20" s="41" t="s">
        <v>48</v>
      </c>
      <c r="C20" s="41">
        <v>0.9</v>
      </c>
      <c r="D20" s="41">
        <v>0.65</v>
      </c>
      <c r="E20" s="41">
        <v>1.35</v>
      </c>
      <c r="F20" s="42">
        <v>1</v>
      </c>
      <c r="G20" s="42">
        <v>1</v>
      </c>
      <c r="H20" s="41">
        <v>1</v>
      </c>
      <c r="I20" s="41">
        <v>1</v>
      </c>
      <c r="J20" s="40">
        <v>0</v>
      </c>
      <c r="L20" s="24" t="s">
        <v>202</v>
      </c>
      <c r="M20" s="88"/>
      <c r="N20" s="88"/>
      <c r="O20" s="102"/>
      <c r="P20" s="88"/>
    </row>
    <row r="21" spans="1:19" ht="15.75" thickBot="1" x14ac:dyDescent="0.3">
      <c r="A21" s="40" t="s">
        <v>52</v>
      </c>
      <c r="B21" s="41" t="s">
        <v>49</v>
      </c>
      <c r="C21" s="41">
        <v>1.25</v>
      </c>
      <c r="D21" s="41">
        <v>1.5</v>
      </c>
      <c r="E21" s="41">
        <v>1.35</v>
      </c>
      <c r="F21" s="42">
        <v>1</v>
      </c>
      <c r="G21" s="42">
        <v>1</v>
      </c>
      <c r="H21" s="41">
        <v>1</v>
      </c>
      <c r="I21" s="41">
        <v>1.2</v>
      </c>
      <c r="J21" s="40">
        <v>0</v>
      </c>
      <c r="L21" s="24" t="s">
        <v>203</v>
      </c>
      <c r="M21" s="88"/>
      <c r="N21" s="88"/>
      <c r="O21" s="88"/>
      <c r="P21" s="88"/>
      <c r="Q21" s="2"/>
    </row>
    <row r="22" spans="1:19" ht="29.45" customHeight="1" thickBot="1" x14ac:dyDescent="0.3">
      <c r="A22" s="43" t="s">
        <v>53</v>
      </c>
      <c r="B22" s="36" t="s">
        <v>54</v>
      </c>
      <c r="C22" s="36">
        <v>1</v>
      </c>
      <c r="D22" s="36">
        <v>1</v>
      </c>
      <c r="E22" s="36">
        <v>0</v>
      </c>
      <c r="F22" s="37">
        <v>0</v>
      </c>
      <c r="G22" s="37">
        <v>0</v>
      </c>
      <c r="H22" s="36">
        <v>1</v>
      </c>
      <c r="I22" s="36">
        <v>0</v>
      </c>
      <c r="J22" s="36">
        <v>1</v>
      </c>
      <c r="L22" s="7"/>
      <c r="M22" s="7"/>
      <c r="N22" s="7"/>
      <c r="O22" s="7"/>
      <c r="P22" s="7"/>
      <c r="Q22" s="79"/>
      <c r="R22" s="7"/>
      <c r="S22" s="7"/>
    </row>
    <row r="23" spans="1:19" ht="30.6" customHeight="1" thickBot="1" x14ac:dyDescent="0.3">
      <c r="A23" s="44" t="s">
        <v>55</v>
      </c>
      <c r="B23" s="41" t="s">
        <v>56</v>
      </c>
      <c r="C23" s="41">
        <v>1</v>
      </c>
      <c r="D23" s="41">
        <v>1</v>
      </c>
      <c r="E23" s="41">
        <v>1</v>
      </c>
      <c r="F23" s="41">
        <v>1</v>
      </c>
      <c r="G23" s="41">
        <v>1</v>
      </c>
      <c r="H23" s="41">
        <v>1</v>
      </c>
      <c r="I23" s="41">
        <v>1</v>
      </c>
      <c r="J23" s="41">
        <v>0</v>
      </c>
    </row>
    <row r="24" spans="1:19" ht="15.75" thickBot="1" x14ac:dyDescent="0.3">
      <c r="A24" s="44" t="s">
        <v>55</v>
      </c>
      <c r="B24" s="41" t="s">
        <v>49</v>
      </c>
      <c r="C24" s="41">
        <v>1</v>
      </c>
      <c r="D24" s="41">
        <v>1</v>
      </c>
      <c r="E24" s="41">
        <v>1</v>
      </c>
      <c r="F24" s="41">
        <v>1</v>
      </c>
      <c r="G24" s="41">
        <v>1</v>
      </c>
      <c r="H24" s="41">
        <v>1</v>
      </c>
      <c r="I24" s="41">
        <v>1.2</v>
      </c>
      <c r="J24" s="41">
        <v>0</v>
      </c>
      <c r="O24"/>
    </row>
    <row r="25" spans="1:19" ht="15.75" thickBot="1" x14ac:dyDescent="0.3">
      <c r="A25" s="35" t="s">
        <v>57</v>
      </c>
      <c r="B25" s="36" t="s">
        <v>58</v>
      </c>
      <c r="C25" s="36">
        <v>1</v>
      </c>
      <c r="D25" s="36">
        <v>1</v>
      </c>
      <c r="E25" s="36">
        <v>1.3</v>
      </c>
      <c r="F25" s="37">
        <v>0</v>
      </c>
      <c r="G25" s="37">
        <v>0</v>
      </c>
      <c r="H25" s="36">
        <v>1</v>
      </c>
      <c r="I25" s="36">
        <v>1</v>
      </c>
      <c r="J25" s="36">
        <v>0</v>
      </c>
      <c r="L25" s="2"/>
      <c r="O25"/>
    </row>
    <row r="26" spans="1:19" ht="15.75" thickBot="1" x14ac:dyDescent="0.3">
      <c r="A26" s="43" t="s">
        <v>57</v>
      </c>
      <c r="B26" s="36" t="s">
        <v>59</v>
      </c>
      <c r="C26" s="36">
        <v>1</v>
      </c>
      <c r="D26" s="36">
        <v>1</v>
      </c>
      <c r="E26" s="36">
        <v>1.3</v>
      </c>
      <c r="F26" s="37">
        <v>0</v>
      </c>
      <c r="G26" s="37">
        <v>0</v>
      </c>
      <c r="H26" s="36">
        <v>1</v>
      </c>
      <c r="I26" s="36">
        <v>1.2</v>
      </c>
      <c r="J26" s="36">
        <v>0</v>
      </c>
      <c r="L26" s="2"/>
      <c r="O26"/>
    </row>
    <row r="27" spans="1:19" ht="15.75" thickBot="1" x14ac:dyDescent="0.3">
      <c r="A27" s="40" t="s">
        <v>60</v>
      </c>
      <c r="B27" s="40" t="s">
        <v>61</v>
      </c>
      <c r="C27" s="40">
        <v>0</v>
      </c>
      <c r="D27" s="40">
        <v>0</v>
      </c>
      <c r="E27" s="40">
        <v>1.75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L27" s="2"/>
      <c r="O27"/>
    </row>
    <row r="30" spans="1:19" x14ac:dyDescent="0.25">
      <c r="E30" s="10"/>
    </row>
    <row r="35" spans="1:7" x14ac:dyDescent="0.25">
      <c r="A35" s="6" t="s">
        <v>184</v>
      </c>
    </row>
    <row r="37" spans="1:7" x14ac:dyDescent="0.25">
      <c r="A37" t="s">
        <v>185</v>
      </c>
    </row>
    <row r="38" spans="1:7" x14ac:dyDescent="0.25">
      <c r="A38" t="s">
        <v>189</v>
      </c>
    </row>
    <row r="39" spans="1:7" x14ac:dyDescent="0.25">
      <c r="A39" t="s">
        <v>190</v>
      </c>
    </row>
    <row r="41" spans="1:7" x14ac:dyDescent="0.25">
      <c r="A41" t="s">
        <v>186</v>
      </c>
      <c r="G41" s="1"/>
    </row>
    <row r="42" spans="1:7" x14ac:dyDescent="0.25">
      <c r="A42" t="s">
        <v>188</v>
      </c>
    </row>
    <row r="43" spans="1:7" x14ac:dyDescent="0.25">
      <c r="A43" t="s">
        <v>187</v>
      </c>
    </row>
  </sheetData>
  <mergeCells count="1">
    <mergeCell ref="C8:F8"/>
  </mergeCells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.Button1">
                <anchor moveWithCells="1" sizeWithCells="1">
                  <from>
                    <xdr:col>10</xdr:col>
                    <xdr:colOff>1133475</xdr:colOff>
                    <xdr:row>1</xdr:row>
                    <xdr:rowOff>161925</xdr:rowOff>
                  </from>
                  <to>
                    <xdr:col>14</xdr:col>
                    <xdr:colOff>219075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.Button2">
                <anchor moveWithCells="1" sizeWithCells="1">
                  <from>
                    <xdr:col>10</xdr:col>
                    <xdr:colOff>1143000</xdr:colOff>
                    <xdr:row>5</xdr:row>
                    <xdr:rowOff>133350</xdr:rowOff>
                  </from>
                  <to>
                    <xdr:col>14</xdr:col>
                    <xdr:colOff>228600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3513C-F406-492E-B645-63ACC8690DB8}">
  <sheetPr codeName="Sheet2"/>
  <dimension ref="A1:D62"/>
  <sheetViews>
    <sheetView workbookViewId="0"/>
  </sheetViews>
  <sheetFormatPr defaultRowHeight="15" x14ac:dyDescent="0.25"/>
  <cols>
    <col min="1" max="1" width="23" bestFit="1" customWidth="1"/>
    <col min="4" max="4" width="14.140625" bestFit="1" customWidth="1"/>
  </cols>
  <sheetData>
    <row r="1" spans="1:4" x14ac:dyDescent="0.25">
      <c r="A1" t="s">
        <v>75</v>
      </c>
      <c r="B1" s="69">
        <v>1001</v>
      </c>
      <c r="C1" s="69">
        <v>0</v>
      </c>
      <c r="D1" t="s">
        <v>259</v>
      </c>
    </row>
    <row r="2" spans="1:4" x14ac:dyDescent="0.25">
      <c r="A2" t="s">
        <v>76</v>
      </c>
      <c r="B2" s="69">
        <v>1002</v>
      </c>
      <c r="C2" s="69">
        <v>1</v>
      </c>
      <c r="D2" t="s">
        <v>133</v>
      </c>
    </row>
    <row r="3" spans="1:4" x14ac:dyDescent="0.25">
      <c r="A3" t="s">
        <v>40</v>
      </c>
      <c r="B3" s="69">
        <v>1003</v>
      </c>
      <c r="C3" s="69">
        <v>2</v>
      </c>
      <c r="D3" t="s">
        <v>134</v>
      </c>
    </row>
    <row r="4" spans="1:4" x14ac:dyDescent="0.25">
      <c r="A4" t="s">
        <v>41</v>
      </c>
      <c r="B4" s="69">
        <v>1004</v>
      </c>
      <c r="C4" s="69">
        <v>3</v>
      </c>
      <c r="D4" t="s">
        <v>135</v>
      </c>
    </row>
    <row r="5" spans="1:4" x14ac:dyDescent="0.25">
      <c r="A5" t="s">
        <v>3</v>
      </c>
      <c r="B5" s="69">
        <v>1005</v>
      </c>
      <c r="C5" s="69">
        <v>4</v>
      </c>
      <c r="D5" t="s">
        <v>136</v>
      </c>
    </row>
    <row r="6" spans="1:4" x14ac:dyDescent="0.25">
      <c r="A6" t="s">
        <v>77</v>
      </c>
      <c r="B6" s="69">
        <v>1006</v>
      </c>
      <c r="C6" s="69">
        <v>5</v>
      </c>
      <c r="D6" t="s">
        <v>260</v>
      </c>
    </row>
    <row r="7" spans="1:4" x14ac:dyDescent="0.25">
      <c r="A7" t="s">
        <v>78</v>
      </c>
      <c r="B7" s="69">
        <v>1007</v>
      </c>
      <c r="C7" s="69">
        <v>6</v>
      </c>
      <c r="D7" t="s">
        <v>137</v>
      </c>
    </row>
    <row r="8" spans="1:4" x14ac:dyDescent="0.25">
      <c r="A8" t="s">
        <v>79</v>
      </c>
      <c r="B8" s="69">
        <v>1008</v>
      </c>
      <c r="C8" s="69">
        <v>7</v>
      </c>
      <c r="D8" t="s">
        <v>138</v>
      </c>
    </row>
    <row r="9" spans="1:4" x14ac:dyDescent="0.25">
      <c r="A9" t="s">
        <v>80</v>
      </c>
      <c r="B9" s="69">
        <v>1009</v>
      </c>
      <c r="C9" s="69">
        <v>8</v>
      </c>
      <c r="D9" t="s">
        <v>139</v>
      </c>
    </row>
    <row r="10" spans="1:4" x14ac:dyDescent="0.25">
      <c r="A10" t="s">
        <v>81</v>
      </c>
      <c r="C10" s="69">
        <v>9</v>
      </c>
    </row>
    <row r="11" spans="1:4" x14ac:dyDescent="0.25">
      <c r="A11" t="s">
        <v>82</v>
      </c>
      <c r="C11" s="69">
        <v>10</v>
      </c>
    </row>
    <row r="12" spans="1:4" x14ac:dyDescent="0.25">
      <c r="A12" t="s">
        <v>83</v>
      </c>
    </row>
    <row r="13" spans="1:4" x14ac:dyDescent="0.25">
      <c r="A13" t="s">
        <v>84</v>
      </c>
    </row>
    <row r="14" spans="1:4" x14ac:dyDescent="0.25">
      <c r="A14" t="s">
        <v>181</v>
      </c>
    </row>
    <row r="15" spans="1:4" x14ac:dyDescent="0.25">
      <c r="A15" t="s">
        <v>182</v>
      </c>
    </row>
    <row r="16" spans="1:4" x14ac:dyDescent="0.25">
      <c r="A16" t="s">
        <v>85</v>
      </c>
    </row>
    <row r="17" spans="1:1" x14ac:dyDescent="0.25">
      <c r="A17" t="s">
        <v>86</v>
      </c>
    </row>
    <row r="18" spans="1:1" x14ac:dyDescent="0.25">
      <c r="A18" t="s">
        <v>87</v>
      </c>
    </row>
    <row r="19" spans="1:1" x14ac:dyDescent="0.25">
      <c r="A19" t="s">
        <v>90</v>
      </c>
    </row>
    <row r="20" spans="1:1" x14ac:dyDescent="0.25">
      <c r="A20" t="s">
        <v>88</v>
      </c>
    </row>
    <row r="21" spans="1:1" x14ac:dyDescent="0.25">
      <c r="A21" t="s">
        <v>89</v>
      </c>
    </row>
    <row r="22" spans="1:1" x14ac:dyDescent="0.25">
      <c r="A22" t="s">
        <v>91</v>
      </c>
    </row>
    <row r="23" spans="1:1" x14ac:dyDescent="0.25">
      <c r="A23" t="s">
        <v>92</v>
      </c>
    </row>
    <row r="24" spans="1:1" x14ac:dyDescent="0.25">
      <c r="A24" t="s">
        <v>93</v>
      </c>
    </row>
    <row r="25" spans="1:1" x14ac:dyDescent="0.25">
      <c r="A25" t="s">
        <v>94</v>
      </c>
    </row>
    <row r="26" spans="1:1" x14ac:dyDescent="0.25">
      <c r="A26" t="s">
        <v>95</v>
      </c>
    </row>
    <row r="27" spans="1:1" x14ac:dyDescent="0.25">
      <c r="A27" t="s">
        <v>96</v>
      </c>
    </row>
    <row r="28" spans="1:1" x14ac:dyDescent="0.25">
      <c r="A28" t="s">
        <v>97</v>
      </c>
    </row>
    <row r="29" spans="1:1" x14ac:dyDescent="0.25">
      <c r="A29" t="s">
        <v>98</v>
      </c>
    </row>
    <row r="30" spans="1:1" x14ac:dyDescent="0.25">
      <c r="A30" t="s">
        <v>99</v>
      </c>
    </row>
    <row r="31" spans="1:1" x14ac:dyDescent="0.25">
      <c r="A31" t="s">
        <v>100</v>
      </c>
    </row>
    <row r="32" spans="1:1" x14ac:dyDescent="0.25">
      <c r="A32" t="s">
        <v>101</v>
      </c>
    </row>
    <row r="33" spans="1:1" x14ac:dyDescent="0.25">
      <c r="A33" t="s">
        <v>102</v>
      </c>
    </row>
    <row r="34" spans="1:1" x14ac:dyDescent="0.25">
      <c r="A34" t="s">
        <v>103</v>
      </c>
    </row>
    <row r="35" spans="1:1" x14ac:dyDescent="0.25">
      <c r="A35" t="s">
        <v>104</v>
      </c>
    </row>
    <row r="36" spans="1:1" x14ac:dyDescent="0.25">
      <c r="A36" t="s">
        <v>105</v>
      </c>
    </row>
    <row r="37" spans="1:1" x14ac:dyDescent="0.25">
      <c r="A37" t="s">
        <v>106</v>
      </c>
    </row>
    <row r="38" spans="1:1" x14ac:dyDescent="0.25">
      <c r="A38" t="s">
        <v>107</v>
      </c>
    </row>
    <row r="39" spans="1:1" x14ac:dyDescent="0.25">
      <c r="A39" t="s">
        <v>108</v>
      </c>
    </row>
    <row r="40" spans="1:1" x14ac:dyDescent="0.25">
      <c r="A40" t="s">
        <v>109</v>
      </c>
    </row>
    <row r="41" spans="1:1" x14ac:dyDescent="0.25">
      <c r="A41" t="s">
        <v>110</v>
      </c>
    </row>
    <row r="42" spans="1:1" x14ac:dyDescent="0.25">
      <c r="A42" t="s">
        <v>111</v>
      </c>
    </row>
    <row r="43" spans="1:1" x14ac:dyDescent="0.25">
      <c r="A43" t="s">
        <v>112</v>
      </c>
    </row>
    <row r="44" spans="1:1" x14ac:dyDescent="0.25">
      <c r="A44" t="s">
        <v>113</v>
      </c>
    </row>
    <row r="45" spans="1:1" x14ac:dyDescent="0.25">
      <c r="A45" t="s">
        <v>114</v>
      </c>
    </row>
    <row r="46" spans="1:1" x14ac:dyDescent="0.25">
      <c r="A46" t="s">
        <v>115</v>
      </c>
    </row>
    <row r="47" spans="1:1" x14ac:dyDescent="0.25">
      <c r="A47" t="s">
        <v>116</v>
      </c>
    </row>
    <row r="48" spans="1:1" x14ac:dyDescent="0.25">
      <c r="A48" t="s">
        <v>117</v>
      </c>
    </row>
    <row r="49" spans="1:1" x14ac:dyDescent="0.25">
      <c r="A49" t="s">
        <v>118</v>
      </c>
    </row>
    <row r="50" spans="1:1" x14ac:dyDescent="0.25">
      <c r="A50" t="s">
        <v>119</v>
      </c>
    </row>
    <row r="51" spans="1:1" x14ac:dyDescent="0.25">
      <c r="A51" t="s">
        <v>120</v>
      </c>
    </row>
    <row r="52" spans="1:1" x14ac:dyDescent="0.25">
      <c r="A52" t="s">
        <v>133</v>
      </c>
    </row>
    <row r="53" spans="1:1" x14ac:dyDescent="0.25">
      <c r="A53" t="s">
        <v>134</v>
      </c>
    </row>
    <row r="54" spans="1:1" x14ac:dyDescent="0.25">
      <c r="A54" t="s">
        <v>135</v>
      </c>
    </row>
    <row r="55" spans="1:1" x14ac:dyDescent="0.25">
      <c r="A55" t="s">
        <v>136</v>
      </c>
    </row>
    <row r="56" spans="1:1" x14ac:dyDescent="0.25">
      <c r="A56" t="s">
        <v>137</v>
      </c>
    </row>
    <row r="57" spans="1:1" x14ac:dyDescent="0.25">
      <c r="A57" t="s">
        <v>138</v>
      </c>
    </row>
    <row r="58" spans="1:1" x14ac:dyDescent="0.25">
      <c r="A58" t="s">
        <v>139</v>
      </c>
    </row>
    <row r="59" spans="1:1" x14ac:dyDescent="0.25">
      <c r="A59" t="s">
        <v>259</v>
      </c>
    </row>
    <row r="60" spans="1:1" x14ac:dyDescent="0.25">
      <c r="A60" t="s">
        <v>260</v>
      </c>
    </row>
    <row r="61" spans="1:1" x14ac:dyDescent="0.25">
      <c r="A61" t="s">
        <v>281</v>
      </c>
    </row>
    <row r="62" spans="1:1" x14ac:dyDescent="0.25">
      <c r="A62" t="s">
        <v>282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istSheets.ListSheets">
                <anchor moveWithCells="1" sizeWithCells="1">
                  <from>
                    <xdr:col>7</xdr:col>
                    <xdr:colOff>66675</xdr:colOff>
                    <xdr:row>0</xdr:row>
                    <xdr:rowOff>85725</xdr:rowOff>
                  </from>
                  <to>
                    <xdr:col>12</xdr:col>
                    <xdr:colOff>238125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050E2-B9DC-4B0B-AC70-C8A57F84A00E}">
  <sheetPr codeName="Sheet3"/>
  <dimension ref="A1:U3"/>
  <sheetViews>
    <sheetView workbookViewId="0"/>
  </sheetViews>
  <sheetFormatPr defaultRowHeight="15" x14ac:dyDescent="0.25"/>
  <cols>
    <col min="3" max="6" width="15.85546875" customWidth="1"/>
    <col min="7" max="7" width="20.7109375" bestFit="1" customWidth="1"/>
    <col min="8" max="8" width="15.28515625" bestFit="1" customWidth="1"/>
    <col min="9" max="9" width="12.28515625" bestFit="1" customWidth="1"/>
    <col min="10" max="10" width="14.28515625" bestFit="1" customWidth="1"/>
    <col min="11" max="11" width="17" bestFit="1" customWidth="1"/>
    <col min="12" max="12" width="16.85546875" bestFit="1" customWidth="1"/>
    <col min="13" max="13" width="17.28515625" bestFit="1" customWidth="1"/>
    <col min="14" max="15" width="15.28515625" bestFit="1" customWidth="1"/>
    <col min="16" max="16" width="12.5703125" bestFit="1" customWidth="1"/>
    <col min="17" max="18" width="14.5703125" bestFit="1" customWidth="1"/>
    <col min="19" max="22" width="17.28515625" bestFit="1" customWidth="1"/>
  </cols>
  <sheetData>
    <row r="1" spans="1:21" ht="23.25" x14ac:dyDescent="0.35">
      <c r="A1" s="8" t="s">
        <v>14</v>
      </c>
      <c r="B1" s="8"/>
    </row>
    <row r="2" spans="1:21" x14ac:dyDescent="0.25">
      <c r="A2" s="4"/>
      <c r="B2" s="5"/>
      <c r="G2" s="113" t="s">
        <v>11</v>
      </c>
      <c r="H2" s="113"/>
      <c r="I2" s="113"/>
      <c r="J2" s="113"/>
      <c r="K2" s="113"/>
      <c r="L2" s="113"/>
      <c r="N2" s="15"/>
      <c r="O2" s="15"/>
      <c r="P2" s="15"/>
      <c r="Q2" s="15"/>
      <c r="R2" s="15"/>
      <c r="S2" s="15"/>
    </row>
    <row r="3" spans="1:21" s="2" customFormat="1" x14ac:dyDescent="0.25">
      <c r="B3" s="9" t="s">
        <v>0</v>
      </c>
      <c r="C3" s="85" t="s">
        <v>191</v>
      </c>
      <c r="D3" s="85" t="s">
        <v>192</v>
      </c>
      <c r="E3" s="85" t="s">
        <v>193</v>
      </c>
      <c r="F3" s="85" t="s">
        <v>194</v>
      </c>
      <c r="G3" s="9" t="s">
        <v>1</v>
      </c>
      <c r="H3" s="9" t="s">
        <v>5</v>
      </c>
      <c r="I3" s="9" t="s">
        <v>6</v>
      </c>
      <c r="J3" s="9" t="s">
        <v>7</v>
      </c>
      <c r="K3" s="9" t="s">
        <v>8</v>
      </c>
      <c r="L3" s="9" t="s">
        <v>9</v>
      </c>
      <c r="M3" s="9" t="s">
        <v>10</v>
      </c>
      <c r="N3" s="1"/>
      <c r="O3" s="9"/>
      <c r="P3" s="9"/>
      <c r="Q3" s="9"/>
      <c r="R3" s="9"/>
      <c r="S3" s="9"/>
      <c r="T3" s="9"/>
      <c r="U3" s="11"/>
    </row>
  </sheetData>
  <mergeCells count="1">
    <mergeCell ref="G2:L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4C178-5EC9-4B2B-A717-8DC1B948DC7A}">
  <sheetPr codeName="Sheet19"/>
  <dimension ref="A1:U3"/>
  <sheetViews>
    <sheetView workbookViewId="0"/>
  </sheetViews>
  <sheetFormatPr defaultRowHeight="15" x14ac:dyDescent="0.25"/>
  <cols>
    <col min="3" max="6" width="15.85546875" customWidth="1"/>
    <col min="7" max="7" width="20.7109375" bestFit="1" customWidth="1"/>
    <col min="8" max="8" width="15.28515625" bestFit="1" customWidth="1"/>
    <col min="9" max="9" width="12.28515625" bestFit="1" customWidth="1"/>
    <col min="10" max="10" width="14.28515625" bestFit="1" customWidth="1"/>
    <col min="11" max="11" width="17" bestFit="1" customWidth="1"/>
    <col min="12" max="12" width="16.85546875" bestFit="1" customWidth="1"/>
    <col min="13" max="13" width="17.28515625" bestFit="1" customWidth="1"/>
    <col min="14" max="15" width="15.28515625" bestFit="1" customWidth="1"/>
    <col min="16" max="16" width="12.5703125" bestFit="1" customWidth="1"/>
    <col min="17" max="18" width="14.5703125" bestFit="1" customWidth="1"/>
    <col min="19" max="22" width="17.28515625" bestFit="1" customWidth="1"/>
  </cols>
  <sheetData>
    <row r="1" spans="1:21" ht="23.25" x14ac:dyDescent="0.35">
      <c r="A1" s="8" t="s">
        <v>14</v>
      </c>
      <c r="B1" s="8"/>
    </row>
    <row r="2" spans="1:21" x14ac:dyDescent="0.25">
      <c r="A2" s="4"/>
      <c r="B2" s="5"/>
      <c r="G2" s="113" t="s">
        <v>11</v>
      </c>
      <c r="H2" s="113"/>
      <c r="I2" s="113"/>
      <c r="J2" s="113"/>
      <c r="K2" s="113"/>
      <c r="L2" s="113"/>
      <c r="N2" s="15"/>
      <c r="O2" s="15"/>
      <c r="P2" s="15"/>
      <c r="Q2" s="15"/>
      <c r="R2" s="15"/>
      <c r="S2" s="15"/>
    </row>
    <row r="3" spans="1:21" s="2" customFormat="1" x14ac:dyDescent="0.25">
      <c r="B3" s="45" t="s">
        <v>0</v>
      </c>
      <c r="C3" s="85" t="s">
        <v>191</v>
      </c>
      <c r="D3" s="85" t="s">
        <v>192</v>
      </c>
      <c r="E3" s="85" t="s">
        <v>193</v>
      </c>
      <c r="F3" s="85" t="s">
        <v>194</v>
      </c>
      <c r="G3" s="45" t="s">
        <v>1</v>
      </c>
      <c r="H3" s="45" t="s">
        <v>5</v>
      </c>
      <c r="I3" s="45" t="s">
        <v>6</v>
      </c>
      <c r="J3" s="45" t="s">
        <v>7</v>
      </c>
      <c r="K3" s="45" t="s">
        <v>8</v>
      </c>
      <c r="L3" s="45" t="s">
        <v>9</v>
      </c>
      <c r="M3" s="45" t="s">
        <v>10</v>
      </c>
      <c r="N3" s="1"/>
      <c r="O3" s="45"/>
      <c r="P3" s="45"/>
      <c r="Q3" s="45"/>
      <c r="R3" s="45"/>
      <c r="S3" s="45"/>
      <c r="T3" s="45"/>
      <c r="U3" s="11"/>
    </row>
  </sheetData>
  <mergeCells count="1">
    <mergeCell ref="G2:L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D5392-6ED3-4310-ACB2-23DEB49D7DD7}">
  <sheetPr codeName="Sheet4"/>
  <dimension ref="A1:T3"/>
  <sheetViews>
    <sheetView workbookViewId="0"/>
  </sheetViews>
  <sheetFormatPr defaultRowHeight="15" x14ac:dyDescent="0.25"/>
  <cols>
    <col min="2" max="2" width="9.28515625" customWidth="1"/>
    <col min="3" max="3" width="10" customWidth="1"/>
    <col min="4" max="4" width="14.140625" customWidth="1"/>
    <col min="5" max="5" width="17.85546875" customWidth="1"/>
    <col min="6" max="6" width="14" customWidth="1"/>
    <col min="7" max="7" width="21.5703125" bestFit="1" customWidth="1"/>
    <col min="8" max="8" width="15.85546875" customWidth="1"/>
    <col min="9" max="9" width="20" customWidth="1"/>
    <col min="10" max="10" width="22.28515625" customWidth="1"/>
    <col min="11" max="11" width="22" customWidth="1"/>
    <col min="12" max="12" width="21.5703125" customWidth="1"/>
    <col min="13" max="13" width="17.28515625" bestFit="1" customWidth="1"/>
    <col min="14" max="14" width="10.7109375" customWidth="1"/>
    <col min="15" max="15" width="15.28515625" bestFit="1" customWidth="1"/>
    <col min="16" max="17" width="12.5703125" bestFit="1" customWidth="1"/>
    <col min="18" max="18" width="14.5703125" bestFit="1" customWidth="1"/>
    <col min="19" max="20" width="17.28515625" bestFit="1" customWidth="1"/>
  </cols>
  <sheetData>
    <row r="1" spans="1:20" ht="23.25" x14ac:dyDescent="0.35">
      <c r="A1" s="8" t="s">
        <v>14</v>
      </c>
      <c r="B1" s="8"/>
      <c r="N1" s="2"/>
    </row>
    <row r="2" spans="1:20" x14ac:dyDescent="0.25">
      <c r="A2" s="48"/>
      <c r="B2" s="48"/>
      <c r="C2" s="12"/>
      <c r="D2" s="69"/>
      <c r="E2" s="69"/>
      <c r="F2" s="69"/>
      <c r="G2" s="114" t="s">
        <v>11</v>
      </c>
      <c r="H2" s="114"/>
      <c r="I2" s="114"/>
      <c r="J2" s="114"/>
      <c r="K2" s="114"/>
      <c r="L2" s="114"/>
      <c r="M2" s="12"/>
      <c r="N2" s="6"/>
      <c r="O2" s="6"/>
      <c r="P2" s="6"/>
      <c r="Q2" s="6"/>
      <c r="R2" s="6"/>
      <c r="S2" s="6"/>
      <c r="T2" s="12"/>
    </row>
    <row r="3" spans="1:20" s="2" customFormat="1" x14ac:dyDescent="0.25">
      <c r="A3" s="46"/>
      <c r="B3" s="47" t="s">
        <v>0</v>
      </c>
      <c r="C3" s="85" t="s">
        <v>191</v>
      </c>
      <c r="D3" s="85" t="s">
        <v>192</v>
      </c>
      <c r="E3" s="85" t="s">
        <v>193</v>
      </c>
      <c r="F3" s="85" t="s">
        <v>194</v>
      </c>
      <c r="G3" s="13" t="s">
        <v>1</v>
      </c>
      <c r="H3" s="13" t="s">
        <v>5</v>
      </c>
      <c r="I3" s="13" t="s">
        <v>6</v>
      </c>
      <c r="J3" s="13" t="s">
        <v>7</v>
      </c>
      <c r="K3" s="13" t="s">
        <v>8</v>
      </c>
      <c r="L3" s="13" t="s">
        <v>9</v>
      </c>
      <c r="M3" s="13" t="s">
        <v>10</v>
      </c>
      <c r="N3" s="13"/>
      <c r="O3" s="13"/>
      <c r="P3" s="13"/>
      <c r="Q3" s="13"/>
      <c r="R3" s="13"/>
      <c r="S3" s="13"/>
      <c r="T3" s="13"/>
    </row>
  </sheetData>
  <mergeCells count="1">
    <mergeCell ref="G2:L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AB274-64D5-4FA2-A298-20D980CE9769}">
  <sheetPr codeName="Sheet5"/>
  <dimension ref="B1:BZ3"/>
  <sheetViews>
    <sheetView workbookViewId="0"/>
  </sheetViews>
  <sheetFormatPr defaultRowHeight="15" x14ac:dyDescent="0.25"/>
  <cols>
    <col min="3" max="4" width="16.7109375" customWidth="1"/>
    <col min="5" max="5" width="18.28515625" customWidth="1"/>
    <col min="6" max="6" width="16.7109375" customWidth="1"/>
    <col min="7" max="7" width="24.28515625" bestFit="1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4" max="14" width="10.7109375" style="58" customWidth="1"/>
    <col min="15" max="15" width="15.28515625" bestFit="1" customWidth="1"/>
    <col min="16" max="16" width="12.5703125" bestFit="1" customWidth="1"/>
    <col min="17" max="19" width="12.5703125" customWidth="1"/>
    <col min="20" max="20" width="26.42578125" customWidth="1"/>
    <col min="21" max="21" width="18.28515625" customWidth="1"/>
    <col min="22" max="23" width="17.28515625" bestFit="1" customWidth="1"/>
    <col min="24" max="24" width="17.28515625" customWidth="1"/>
    <col min="25" max="25" width="15.28515625" customWidth="1"/>
    <col min="26" max="26" width="18.7109375" customWidth="1"/>
    <col min="27" max="27" width="8.85546875" style="58"/>
    <col min="33" max="33" width="15.7109375" customWidth="1"/>
    <col min="34" max="34" width="16.5703125" customWidth="1"/>
    <col min="35" max="35" width="16" customWidth="1"/>
    <col min="36" max="36" width="15.42578125" customWidth="1"/>
    <col min="37" max="37" width="15.5703125" customWidth="1"/>
    <col min="38" max="38" width="19.28515625" customWidth="1"/>
    <col min="39" max="39" width="19.5703125" customWidth="1"/>
    <col min="40" max="40" width="8.85546875" style="58"/>
    <col min="46" max="46" width="15.5703125" customWidth="1"/>
    <col min="47" max="47" width="17.85546875" customWidth="1"/>
    <col min="48" max="48" width="19.28515625" customWidth="1"/>
    <col min="49" max="49" width="15.28515625" customWidth="1"/>
    <col min="50" max="50" width="16.5703125" customWidth="1"/>
    <col min="51" max="51" width="18.42578125" customWidth="1"/>
    <col min="52" max="52" width="17.28515625" customWidth="1"/>
    <col min="53" max="53" width="8.85546875" style="58"/>
    <col min="59" max="59" width="17.140625" customWidth="1"/>
    <col min="60" max="60" width="18.42578125" customWidth="1"/>
    <col min="61" max="62" width="16.7109375" customWidth="1"/>
    <col min="63" max="63" width="14.28515625" customWidth="1"/>
    <col min="64" max="64" width="17.140625" customWidth="1"/>
    <col min="65" max="65" width="16.7109375" customWidth="1"/>
    <col min="66" max="66" width="8.85546875" style="58"/>
    <col min="68" max="71" width="11.42578125" customWidth="1"/>
    <col min="72" max="72" width="19.5703125" customWidth="1"/>
    <col min="73" max="73" width="18.42578125" customWidth="1"/>
    <col min="74" max="74" width="17.7109375" customWidth="1"/>
    <col min="75" max="75" width="15.85546875" customWidth="1"/>
    <col min="76" max="76" width="15" customWidth="1"/>
    <col min="77" max="77" width="20.140625" customWidth="1"/>
    <col min="78" max="78" width="19.8554687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O1" s="2"/>
      <c r="V1" s="14"/>
      <c r="AJ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L1" s="7"/>
      <c r="BZ1" s="7"/>
    </row>
    <row r="2" spans="2:78" x14ac:dyDescent="0.25">
      <c r="B2" s="5"/>
      <c r="G2" s="113" t="s">
        <v>37</v>
      </c>
      <c r="H2" s="113"/>
      <c r="I2" s="113"/>
      <c r="J2" s="113"/>
      <c r="K2" s="113"/>
      <c r="L2" s="113"/>
      <c r="O2" s="5"/>
      <c r="T2" s="113" t="s">
        <v>11</v>
      </c>
      <c r="U2" s="113"/>
      <c r="V2" s="113"/>
      <c r="W2" s="113"/>
      <c r="X2" s="113"/>
      <c r="Y2" s="113"/>
      <c r="AB2" s="5"/>
      <c r="AG2" s="113" t="s">
        <v>11</v>
      </c>
      <c r="AH2" s="113"/>
      <c r="AI2" s="113"/>
      <c r="AJ2" s="113"/>
      <c r="AK2" s="113"/>
      <c r="AL2" s="113"/>
      <c r="AO2" s="5"/>
      <c r="AT2" s="113" t="s">
        <v>11</v>
      </c>
      <c r="AU2" s="113"/>
      <c r="AV2" s="113"/>
      <c r="AW2" s="113"/>
      <c r="AX2" s="113"/>
      <c r="AY2" s="113"/>
      <c r="BB2" s="5"/>
      <c r="BG2" s="113" t="s">
        <v>11</v>
      </c>
      <c r="BH2" s="113"/>
      <c r="BI2" s="113"/>
      <c r="BJ2" s="113"/>
      <c r="BK2" s="113"/>
      <c r="BL2" s="113"/>
      <c r="BO2" s="5"/>
      <c r="BT2" s="113" t="s">
        <v>11</v>
      </c>
      <c r="BU2" s="113"/>
      <c r="BV2" s="113"/>
      <c r="BW2" s="113"/>
      <c r="BX2" s="113"/>
      <c r="BY2" s="113"/>
    </row>
    <row r="3" spans="2:78" s="2" customFormat="1" x14ac:dyDescent="0.25">
      <c r="B3" s="62" t="s">
        <v>0</v>
      </c>
      <c r="C3" s="63" t="s">
        <v>191</v>
      </c>
      <c r="D3" s="81" t="s">
        <v>192</v>
      </c>
      <c r="E3" s="81" t="s">
        <v>193</v>
      </c>
      <c r="F3" s="81" t="s">
        <v>194</v>
      </c>
      <c r="G3" s="62" t="s">
        <v>1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58"/>
      <c r="O3" s="62" t="s">
        <v>0</v>
      </c>
      <c r="P3" s="63" t="s">
        <v>191</v>
      </c>
      <c r="Q3" s="81" t="s">
        <v>192</v>
      </c>
      <c r="R3" s="81" t="s">
        <v>193</v>
      </c>
      <c r="S3" s="81" t="s">
        <v>194</v>
      </c>
      <c r="T3" s="62" t="s">
        <v>1</v>
      </c>
      <c r="U3" s="62" t="s">
        <v>5</v>
      </c>
      <c r="V3" s="62" t="s">
        <v>6</v>
      </c>
      <c r="W3" s="62" t="s">
        <v>7</v>
      </c>
      <c r="X3" s="62" t="s">
        <v>8</v>
      </c>
      <c r="Y3" s="62" t="s">
        <v>9</v>
      </c>
      <c r="Z3" s="62" t="s">
        <v>10</v>
      </c>
      <c r="AA3" s="59"/>
      <c r="AB3" s="62" t="s">
        <v>0</v>
      </c>
      <c r="AC3" s="63" t="s">
        <v>191</v>
      </c>
      <c r="AD3" s="81" t="s">
        <v>192</v>
      </c>
      <c r="AE3" s="81" t="s">
        <v>193</v>
      </c>
      <c r="AF3" s="81" t="s">
        <v>194</v>
      </c>
      <c r="AG3" s="62" t="s">
        <v>1</v>
      </c>
      <c r="AH3" s="62" t="s">
        <v>5</v>
      </c>
      <c r="AI3" s="62" t="s">
        <v>6</v>
      </c>
      <c r="AJ3" s="62" t="s">
        <v>7</v>
      </c>
      <c r="AK3" s="62" t="s">
        <v>8</v>
      </c>
      <c r="AL3" s="62" t="s">
        <v>9</v>
      </c>
      <c r="AM3" s="62" t="s">
        <v>10</v>
      </c>
      <c r="AN3" s="59"/>
      <c r="AO3" s="62" t="s">
        <v>0</v>
      </c>
      <c r="AP3" s="63" t="s">
        <v>191</v>
      </c>
      <c r="AQ3" s="81" t="s">
        <v>192</v>
      </c>
      <c r="AR3" s="81" t="s">
        <v>193</v>
      </c>
      <c r="AS3" s="81" t="s">
        <v>194</v>
      </c>
      <c r="AT3" s="62" t="s">
        <v>1</v>
      </c>
      <c r="AU3" s="62" t="s">
        <v>5</v>
      </c>
      <c r="AV3" s="62" t="s">
        <v>6</v>
      </c>
      <c r="AW3" s="62" t="s">
        <v>7</v>
      </c>
      <c r="AX3" s="62" t="s">
        <v>8</v>
      </c>
      <c r="AY3" s="62" t="s">
        <v>9</v>
      </c>
      <c r="AZ3" s="62" t="s">
        <v>10</v>
      </c>
      <c r="BA3" s="59"/>
      <c r="BB3" s="62" t="s">
        <v>0</v>
      </c>
      <c r="BC3" s="63" t="s">
        <v>191</v>
      </c>
      <c r="BD3" s="81" t="s">
        <v>192</v>
      </c>
      <c r="BE3" s="81" t="s">
        <v>193</v>
      </c>
      <c r="BF3" s="81" t="s">
        <v>194</v>
      </c>
      <c r="BG3" s="62" t="s">
        <v>1</v>
      </c>
      <c r="BH3" s="62" t="s">
        <v>5</v>
      </c>
      <c r="BI3" s="62" t="s">
        <v>6</v>
      </c>
      <c r="BJ3" s="62" t="s">
        <v>7</v>
      </c>
      <c r="BK3" s="62" t="s">
        <v>8</v>
      </c>
      <c r="BL3" s="62" t="s">
        <v>9</v>
      </c>
      <c r="BM3" s="62" t="s">
        <v>10</v>
      </c>
      <c r="BN3" s="59"/>
      <c r="BO3" s="62" t="s">
        <v>0</v>
      </c>
      <c r="BP3" s="63" t="s">
        <v>191</v>
      </c>
      <c r="BQ3" s="81" t="s">
        <v>192</v>
      </c>
      <c r="BR3" s="81" t="s">
        <v>193</v>
      </c>
      <c r="BS3" s="81" t="s">
        <v>194</v>
      </c>
      <c r="BT3" s="62" t="s">
        <v>1</v>
      </c>
      <c r="BU3" s="62" t="s">
        <v>5</v>
      </c>
      <c r="BV3" s="62" t="s">
        <v>6</v>
      </c>
      <c r="BW3" s="62" t="s">
        <v>7</v>
      </c>
      <c r="BX3" s="62" t="s">
        <v>8</v>
      </c>
      <c r="BY3" s="62" t="s">
        <v>9</v>
      </c>
      <c r="BZ3" s="62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985CE-C076-4E84-877D-48ED5F8D80C3}">
  <sheetPr codeName="Sheet6"/>
  <dimension ref="B1:BZ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5" x14ac:dyDescent="0.25"/>
  <cols>
    <col min="3" max="6" width="16" customWidth="1"/>
    <col min="7" max="7" width="25.42578125" bestFit="1" customWidth="1"/>
    <col min="8" max="8" width="15.85546875" customWidth="1"/>
    <col min="9" max="9" width="20" customWidth="1"/>
    <col min="10" max="10" width="22.28515625" customWidth="1"/>
    <col min="11" max="11" width="22" customWidth="1"/>
    <col min="12" max="12" width="21.5703125" customWidth="1"/>
    <col min="13" max="13" width="17.28515625" bestFit="1" customWidth="1"/>
    <col min="14" max="14" width="10.7109375" style="58" customWidth="1"/>
    <col min="15" max="15" width="15.28515625" bestFit="1" customWidth="1"/>
    <col min="16" max="16" width="12.5703125" bestFit="1" customWidth="1"/>
    <col min="17" max="19" width="12.5703125" customWidth="1"/>
    <col min="20" max="20" width="19" customWidth="1"/>
    <col min="21" max="21" width="15.7109375" customWidth="1"/>
    <col min="22" max="23" width="17.28515625" bestFit="1" customWidth="1"/>
    <col min="24" max="24" width="20" customWidth="1"/>
    <col min="25" max="25" width="17.140625" customWidth="1"/>
    <col min="26" max="26" width="18.28515625" customWidth="1"/>
    <col min="27" max="27" width="8.85546875" style="58"/>
    <col min="33" max="33" width="17.7109375" customWidth="1"/>
    <col min="34" max="34" width="16" customWidth="1"/>
    <col min="35" max="35" width="17.5703125" customWidth="1"/>
    <col min="36" max="36" width="16" customWidth="1"/>
    <col min="37" max="37" width="14.7109375" customWidth="1"/>
    <col min="38" max="38" width="20.7109375" customWidth="1"/>
    <col min="39" max="39" width="18.42578125" customWidth="1"/>
    <col min="40" max="40" width="8.85546875" style="58"/>
    <col min="46" max="46" width="15.140625" customWidth="1"/>
    <col min="47" max="48" width="16.42578125" customWidth="1"/>
    <col min="49" max="49" width="14.28515625" customWidth="1"/>
    <col min="50" max="50" width="17.7109375" customWidth="1"/>
    <col min="51" max="51" width="16.140625" customWidth="1"/>
    <col min="52" max="52" width="18.7109375" customWidth="1"/>
    <col min="53" max="53" width="8.85546875" style="58"/>
    <col min="55" max="58" width="14.7109375" customWidth="1"/>
    <col min="59" max="59" width="16.7109375" customWidth="1"/>
    <col min="60" max="60" width="17.5703125" customWidth="1"/>
    <col min="61" max="61" width="16" customWidth="1"/>
    <col min="62" max="62" width="19.28515625" customWidth="1"/>
    <col min="63" max="63" width="18.140625" customWidth="1"/>
    <col min="64" max="64" width="17.85546875" customWidth="1"/>
    <col min="65" max="65" width="22.7109375" customWidth="1"/>
    <col min="66" max="66" width="8.85546875" style="58"/>
    <col min="72" max="72" width="19.85546875" customWidth="1"/>
    <col min="73" max="73" width="17.85546875" customWidth="1"/>
    <col min="74" max="74" width="15.42578125" customWidth="1"/>
    <col min="75" max="75" width="16.7109375" customWidth="1"/>
    <col min="76" max="76" width="14.7109375" customWidth="1"/>
    <col min="77" max="77" width="18.28515625" customWidth="1"/>
    <col min="78" max="78" width="20.140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O1" s="2"/>
      <c r="V1" s="14"/>
      <c r="AJ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L1" s="7"/>
      <c r="BZ1" s="7"/>
    </row>
    <row r="2" spans="2:78" x14ac:dyDescent="0.25">
      <c r="B2" s="5"/>
      <c r="G2" s="113" t="s">
        <v>37</v>
      </c>
      <c r="H2" s="113"/>
      <c r="I2" s="113"/>
      <c r="J2" s="113"/>
      <c r="K2" s="113"/>
      <c r="L2" s="113"/>
      <c r="O2" s="5"/>
      <c r="T2" s="113" t="s">
        <v>11</v>
      </c>
      <c r="U2" s="113"/>
      <c r="V2" s="113"/>
      <c r="W2" s="113"/>
      <c r="X2" s="113"/>
      <c r="Y2" s="113"/>
      <c r="AB2" s="5"/>
      <c r="AG2" s="113" t="s">
        <v>11</v>
      </c>
      <c r="AH2" s="113"/>
      <c r="AI2" s="113"/>
      <c r="AJ2" s="113"/>
      <c r="AK2" s="113"/>
      <c r="AL2" s="113"/>
      <c r="AO2" s="5"/>
      <c r="AT2" s="113" t="s">
        <v>11</v>
      </c>
      <c r="AU2" s="113"/>
      <c r="AV2" s="113"/>
      <c r="AW2" s="113"/>
      <c r="AX2" s="113"/>
      <c r="AY2" s="113"/>
      <c r="BB2" s="5"/>
      <c r="BG2" s="113" t="s">
        <v>11</v>
      </c>
      <c r="BH2" s="113"/>
      <c r="BI2" s="113"/>
      <c r="BJ2" s="113"/>
      <c r="BK2" s="113"/>
      <c r="BL2" s="113"/>
      <c r="BO2" s="5"/>
      <c r="BT2" s="113" t="s">
        <v>11</v>
      </c>
      <c r="BU2" s="113"/>
      <c r="BV2" s="113"/>
      <c r="BW2" s="113"/>
      <c r="BX2" s="113"/>
      <c r="BY2" s="113"/>
    </row>
    <row r="3" spans="2:78" s="2" customFormat="1" x14ac:dyDescent="0.25">
      <c r="B3" s="62" t="s">
        <v>0</v>
      </c>
      <c r="C3" s="63" t="s">
        <v>191</v>
      </c>
      <c r="D3" s="82" t="s">
        <v>192</v>
      </c>
      <c r="E3" s="82" t="s">
        <v>193</v>
      </c>
      <c r="F3" s="82" t="s">
        <v>194</v>
      </c>
      <c r="G3" s="62" t="s">
        <v>1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58"/>
      <c r="O3" s="62" t="s">
        <v>0</v>
      </c>
      <c r="P3" s="63" t="s">
        <v>191</v>
      </c>
      <c r="Q3" s="82" t="s">
        <v>192</v>
      </c>
      <c r="R3" s="82" t="s">
        <v>193</v>
      </c>
      <c r="S3" s="82" t="s">
        <v>194</v>
      </c>
      <c r="T3" s="62" t="s">
        <v>1</v>
      </c>
      <c r="U3" s="62" t="s">
        <v>5</v>
      </c>
      <c r="V3" s="62" t="s">
        <v>6</v>
      </c>
      <c r="W3" s="62" t="s">
        <v>7</v>
      </c>
      <c r="X3" s="62" t="s">
        <v>8</v>
      </c>
      <c r="Y3" s="62" t="s">
        <v>9</v>
      </c>
      <c r="Z3" s="62" t="s">
        <v>10</v>
      </c>
      <c r="AA3" s="59"/>
      <c r="AB3" s="62" t="s">
        <v>0</v>
      </c>
      <c r="AC3" s="63" t="s">
        <v>191</v>
      </c>
      <c r="AD3" s="82" t="s">
        <v>192</v>
      </c>
      <c r="AE3" s="82" t="s">
        <v>193</v>
      </c>
      <c r="AF3" s="82" t="s">
        <v>194</v>
      </c>
      <c r="AG3" s="62" t="s">
        <v>1</v>
      </c>
      <c r="AH3" s="62" t="s">
        <v>5</v>
      </c>
      <c r="AI3" s="62" t="s">
        <v>6</v>
      </c>
      <c r="AJ3" s="62" t="s">
        <v>7</v>
      </c>
      <c r="AK3" s="62" t="s">
        <v>8</v>
      </c>
      <c r="AL3" s="62" t="s">
        <v>9</v>
      </c>
      <c r="AM3" s="62" t="s">
        <v>10</v>
      </c>
      <c r="AN3" s="59"/>
      <c r="AO3" s="62" t="s">
        <v>0</v>
      </c>
      <c r="AP3" s="63" t="s">
        <v>191</v>
      </c>
      <c r="AQ3" s="82" t="s">
        <v>192</v>
      </c>
      <c r="AR3" s="82" t="s">
        <v>193</v>
      </c>
      <c r="AS3" s="82" t="s">
        <v>194</v>
      </c>
      <c r="AT3" s="62" t="s">
        <v>1</v>
      </c>
      <c r="AU3" s="62" t="s">
        <v>5</v>
      </c>
      <c r="AV3" s="62" t="s">
        <v>6</v>
      </c>
      <c r="AW3" s="62" t="s">
        <v>7</v>
      </c>
      <c r="AX3" s="62" t="s">
        <v>8</v>
      </c>
      <c r="AY3" s="62" t="s">
        <v>9</v>
      </c>
      <c r="AZ3" s="62" t="s">
        <v>10</v>
      </c>
      <c r="BA3" s="59"/>
      <c r="BB3" s="62" t="s">
        <v>0</v>
      </c>
      <c r="BC3" s="63" t="s">
        <v>191</v>
      </c>
      <c r="BD3" s="82" t="s">
        <v>192</v>
      </c>
      <c r="BE3" s="82" t="s">
        <v>193</v>
      </c>
      <c r="BF3" s="82" t="s">
        <v>194</v>
      </c>
      <c r="BG3" s="62" t="s">
        <v>1</v>
      </c>
      <c r="BH3" s="62" t="s">
        <v>5</v>
      </c>
      <c r="BI3" s="62" t="s">
        <v>6</v>
      </c>
      <c r="BJ3" s="62" t="s">
        <v>7</v>
      </c>
      <c r="BK3" s="62" t="s">
        <v>8</v>
      </c>
      <c r="BL3" s="62" t="s">
        <v>9</v>
      </c>
      <c r="BM3" s="62" t="s">
        <v>10</v>
      </c>
      <c r="BN3" s="59"/>
      <c r="BO3" s="62" t="s">
        <v>0</v>
      </c>
      <c r="BP3" s="63" t="s">
        <v>191</v>
      </c>
      <c r="BQ3" s="82" t="s">
        <v>192</v>
      </c>
      <c r="BR3" s="82" t="s">
        <v>193</v>
      </c>
      <c r="BS3" s="82" t="s">
        <v>194</v>
      </c>
      <c r="BT3" s="62" t="s">
        <v>1</v>
      </c>
      <c r="BU3" s="62" t="s">
        <v>5</v>
      </c>
      <c r="BV3" s="62" t="s">
        <v>6</v>
      </c>
      <c r="BW3" s="62" t="s">
        <v>7</v>
      </c>
      <c r="BX3" s="62" t="s">
        <v>8</v>
      </c>
      <c r="BY3" s="62" t="s">
        <v>9</v>
      </c>
      <c r="BZ3" s="62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E6FE1-DC6B-4929-9D4F-175A4001DD30}">
  <sheetPr codeName="Sheet7"/>
  <dimension ref="B1:BZ3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5" x14ac:dyDescent="0.25"/>
  <cols>
    <col min="7" max="7" width="25.42578125" bestFit="1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4" max="14" width="8.85546875" style="58"/>
    <col min="15" max="15" width="15.28515625" bestFit="1" customWidth="1"/>
    <col min="16" max="16" width="12.5703125" bestFit="1" customWidth="1"/>
    <col min="17" max="19" width="12.5703125" customWidth="1"/>
    <col min="20" max="20" width="23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27" max="27" width="8.85546875" style="58"/>
    <col min="33" max="33" width="23.28515625" customWidth="1"/>
    <col min="34" max="34" width="15.28515625" bestFit="1" customWidth="1"/>
    <col min="35" max="35" width="16.5703125" customWidth="1"/>
    <col min="36" max="36" width="17.7109375" customWidth="1"/>
    <col min="37" max="38" width="17.28515625" customWidth="1"/>
    <col min="39" max="39" width="23.28515625" customWidth="1"/>
    <col min="40" max="40" width="8.85546875" style="58"/>
    <col min="46" max="46" width="22.7109375" customWidth="1"/>
    <col min="47" max="47" width="15.28515625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3" max="53" width="8.85546875" style="58"/>
    <col min="59" max="59" width="22.28515625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66" max="66" width="8.85546875" style="58"/>
    <col min="72" max="72" width="22.85546875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O1" s="2"/>
      <c r="V1" s="14"/>
      <c r="AJ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L1" s="7"/>
      <c r="BZ1" s="7"/>
    </row>
    <row r="2" spans="2:78" x14ac:dyDescent="0.25">
      <c r="B2" s="5"/>
      <c r="G2" s="113" t="s">
        <v>38</v>
      </c>
      <c r="H2" s="113"/>
      <c r="I2" s="113"/>
      <c r="J2" s="113"/>
      <c r="K2" s="113"/>
      <c r="L2" s="113"/>
      <c r="O2" s="5"/>
      <c r="T2" s="113" t="s">
        <v>38</v>
      </c>
      <c r="U2" s="113"/>
      <c r="V2" s="113"/>
      <c r="W2" s="113"/>
      <c r="X2" s="113"/>
      <c r="Y2" s="113"/>
      <c r="AB2" s="5"/>
      <c r="AG2" s="113" t="s">
        <v>38</v>
      </c>
      <c r="AH2" s="113"/>
      <c r="AI2" s="113"/>
      <c r="AJ2" s="113"/>
      <c r="AK2" s="113"/>
      <c r="AL2" s="113"/>
      <c r="AO2" s="5"/>
      <c r="AT2" s="113" t="s">
        <v>38</v>
      </c>
      <c r="AU2" s="113"/>
      <c r="AV2" s="113"/>
      <c r="AW2" s="113"/>
      <c r="AX2" s="113"/>
      <c r="AY2" s="113"/>
      <c r="BB2" s="5"/>
      <c r="BG2" s="113" t="s">
        <v>38</v>
      </c>
      <c r="BH2" s="113"/>
      <c r="BI2" s="113"/>
      <c r="BJ2" s="113"/>
      <c r="BK2" s="113"/>
      <c r="BL2" s="113"/>
      <c r="BO2" s="5"/>
      <c r="BT2" s="113" t="s">
        <v>38</v>
      </c>
      <c r="BU2" s="113"/>
      <c r="BV2" s="113"/>
      <c r="BW2" s="113"/>
      <c r="BX2" s="113"/>
      <c r="BY2" s="113"/>
    </row>
    <row r="3" spans="2:78" s="2" customFormat="1" x14ac:dyDescent="0.25">
      <c r="B3" s="16" t="s">
        <v>0</v>
      </c>
      <c r="C3" s="47" t="s">
        <v>191</v>
      </c>
      <c r="D3" s="84" t="s">
        <v>192</v>
      </c>
      <c r="E3" s="84" t="s">
        <v>193</v>
      </c>
      <c r="F3" s="84" t="s">
        <v>194</v>
      </c>
      <c r="G3" s="16" t="s">
        <v>1</v>
      </c>
      <c r="H3" s="16" t="s">
        <v>5</v>
      </c>
      <c r="I3" s="16" t="s">
        <v>6</v>
      </c>
      <c r="J3" s="16" t="s">
        <v>7</v>
      </c>
      <c r="K3" s="16" t="s">
        <v>8</v>
      </c>
      <c r="L3" s="16" t="s">
        <v>9</v>
      </c>
      <c r="M3" s="16" t="s">
        <v>10</v>
      </c>
      <c r="N3" s="58"/>
      <c r="O3" s="16" t="s">
        <v>0</v>
      </c>
      <c r="P3" s="47" t="s">
        <v>191</v>
      </c>
      <c r="Q3" s="84" t="s">
        <v>192</v>
      </c>
      <c r="R3" s="84" t="s">
        <v>193</v>
      </c>
      <c r="S3" s="84" t="s">
        <v>194</v>
      </c>
      <c r="T3" s="16" t="s">
        <v>1</v>
      </c>
      <c r="U3" s="16" t="s">
        <v>5</v>
      </c>
      <c r="V3" s="16" t="s">
        <v>6</v>
      </c>
      <c r="W3" s="16" t="s">
        <v>7</v>
      </c>
      <c r="X3" s="16" t="s">
        <v>8</v>
      </c>
      <c r="Y3" s="16" t="s">
        <v>9</v>
      </c>
      <c r="Z3" s="16" t="s">
        <v>10</v>
      </c>
      <c r="AA3" s="59"/>
      <c r="AB3" s="16" t="s">
        <v>0</v>
      </c>
      <c r="AC3" s="47" t="s">
        <v>191</v>
      </c>
      <c r="AD3" s="84" t="s">
        <v>192</v>
      </c>
      <c r="AE3" s="84" t="s">
        <v>193</v>
      </c>
      <c r="AF3" s="84" t="s">
        <v>194</v>
      </c>
      <c r="AG3" s="16" t="s">
        <v>1</v>
      </c>
      <c r="AH3" s="16" t="s">
        <v>5</v>
      </c>
      <c r="AI3" s="16" t="s">
        <v>6</v>
      </c>
      <c r="AJ3" s="16" t="s">
        <v>7</v>
      </c>
      <c r="AK3" s="16" t="s">
        <v>8</v>
      </c>
      <c r="AL3" s="16" t="s">
        <v>9</v>
      </c>
      <c r="AM3" s="16" t="s">
        <v>10</v>
      </c>
      <c r="AN3" s="59"/>
      <c r="AO3" s="16" t="s">
        <v>0</v>
      </c>
      <c r="AP3" s="47" t="s">
        <v>191</v>
      </c>
      <c r="AQ3" s="84" t="s">
        <v>192</v>
      </c>
      <c r="AR3" s="84" t="s">
        <v>193</v>
      </c>
      <c r="AS3" s="84" t="s">
        <v>194</v>
      </c>
      <c r="AT3" s="16" t="s">
        <v>1</v>
      </c>
      <c r="AU3" s="16" t="s">
        <v>5</v>
      </c>
      <c r="AV3" s="16" t="s">
        <v>6</v>
      </c>
      <c r="AW3" s="16" t="s">
        <v>7</v>
      </c>
      <c r="AX3" s="16" t="s">
        <v>8</v>
      </c>
      <c r="AY3" s="16" t="s">
        <v>9</v>
      </c>
      <c r="AZ3" s="16" t="s">
        <v>10</v>
      </c>
      <c r="BA3" s="59"/>
      <c r="BB3" s="16" t="s">
        <v>0</v>
      </c>
      <c r="BC3" s="47" t="s">
        <v>191</v>
      </c>
      <c r="BD3" s="84" t="s">
        <v>192</v>
      </c>
      <c r="BE3" s="84" t="s">
        <v>193</v>
      </c>
      <c r="BF3" s="84" t="s">
        <v>194</v>
      </c>
      <c r="BG3" s="16" t="s">
        <v>1</v>
      </c>
      <c r="BH3" s="16" t="s">
        <v>5</v>
      </c>
      <c r="BI3" s="16" t="s">
        <v>6</v>
      </c>
      <c r="BJ3" s="16" t="s">
        <v>7</v>
      </c>
      <c r="BK3" s="16" t="s">
        <v>8</v>
      </c>
      <c r="BL3" s="16" t="s">
        <v>9</v>
      </c>
      <c r="BM3" s="16" t="s">
        <v>10</v>
      </c>
      <c r="BN3" s="59"/>
      <c r="BO3" s="16" t="s">
        <v>0</v>
      </c>
      <c r="BP3" s="47" t="s">
        <v>191</v>
      </c>
      <c r="BQ3" s="84" t="s">
        <v>192</v>
      </c>
      <c r="BR3" s="84" t="s">
        <v>193</v>
      </c>
      <c r="BS3" s="84" t="s">
        <v>194</v>
      </c>
      <c r="BT3" s="16" t="s">
        <v>1</v>
      </c>
      <c r="BU3" s="16" t="s">
        <v>5</v>
      </c>
      <c r="BV3" s="16" t="s">
        <v>6</v>
      </c>
      <c r="BW3" s="16" t="s">
        <v>7</v>
      </c>
      <c r="BX3" s="16" t="s">
        <v>8</v>
      </c>
      <c r="BY3" s="16" t="s">
        <v>9</v>
      </c>
      <c r="BZ3" s="16" t="s">
        <v>10</v>
      </c>
    </row>
  </sheetData>
  <mergeCells count="6">
    <mergeCell ref="G2:L2"/>
    <mergeCell ref="BG2:BL2"/>
    <mergeCell ref="BT2:BY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BA737-5E4F-4F9F-9308-C499261F1D4B}">
  <sheetPr codeName="Sheet8"/>
  <dimension ref="B1:BZ3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5" x14ac:dyDescent="0.25"/>
  <cols>
    <col min="7" max="7" width="22.570312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4" max="14" width="8.85546875" style="58"/>
    <col min="15" max="15" width="15.28515625" bestFit="1" customWidth="1"/>
    <col min="16" max="16" width="12.5703125" bestFit="1" customWidth="1"/>
    <col min="17" max="19" width="12.5703125" customWidth="1"/>
    <col min="20" max="20" width="22.710937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27" max="27" width="8.85546875" style="58"/>
    <col min="33" max="33" width="22.5703125" customWidth="1"/>
    <col min="34" max="34" width="12.140625" customWidth="1"/>
    <col min="35" max="35" width="16.5703125" customWidth="1"/>
    <col min="36" max="36" width="17.7109375" customWidth="1"/>
    <col min="37" max="38" width="17.28515625" customWidth="1"/>
    <col min="39" max="39" width="23.28515625" customWidth="1"/>
    <col min="40" max="40" width="8.85546875" style="58"/>
    <col min="46" max="46" width="22.85546875" customWidth="1"/>
    <col min="47" max="47" width="12.5703125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3" max="53" width="8.85546875" style="58"/>
    <col min="59" max="59" width="22.28515625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66" max="66" width="8.85546875" style="58"/>
    <col min="72" max="72" width="22.42578125" customWidth="1"/>
    <col min="73" max="73" width="15.140625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O1" s="2"/>
      <c r="V1" s="14"/>
      <c r="AJ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L1" s="7"/>
      <c r="BZ1" s="7"/>
    </row>
    <row r="2" spans="2:78" x14ac:dyDescent="0.25">
      <c r="B2" s="5"/>
      <c r="G2" s="113" t="s">
        <v>37</v>
      </c>
      <c r="H2" s="113"/>
      <c r="I2" s="113"/>
      <c r="J2" s="113"/>
      <c r="K2" s="113"/>
      <c r="L2" s="113"/>
      <c r="O2" s="5"/>
      <c r="T2" s="113" t="s">
        <v>11</v>
      </c>
      <c r="U2" s="113"/>
      <c r="V2" s="113"/>
      <c r="W2" s="113"/>
      <c r="X2" s="113"/>
      <c r="Y2" s="113"/>
      <c r="AB2" s="5"/>
      <c r="AG2" s="113" t="s">
        <v>11</v>
      </c>
      <c r="AH2" s="113"/>
      <c r="AI2" s="113"/>
      <c r="AJ2" s="113"/>
      <c r="AK2" s="113"/>
      <c r="AL2" s="113"/>
      <c r="AO2" s="5"/>
      <c r="AT2" s="113" t="s">
        <v>11</v>
      </c>
      <c r="AU2" s="113"/>
      <c r="AV2" s="113"/>
      <c r="AW2" s="113"/>
      <c r="AX2" s="113"/>
      <c r="AY2" s="113"/>
      <c r="BB2" s="5"/>
      <c r="BG2" s="113" t="s">
        <v>11</v>
      </c>
      <c r="BH2" s="113"/>
      <c r="BI2" s="113"/>
      <c r="BJ2" s="113"/>
      <c r="BK2" s="113"/>
      <c r="BL2" s="113"/>
      <c r="BO2" s="5"/>
      <c r="BT2" s="113" t="s">
        <v>11</v>
      </c>
      <c r="BU2" s="113"/>
      <c r="BV2" s="113"/>
      <c r="BW2" s="113"/>
      <c r="BX2" s="113"/>
      <c r="BY2" s="113"/>
    </row>
    <row r="3" spans="2:78" s="2" customFormat="1" x14ac:dyDescent="0.25">
      <c r="B3" s="16" t="s">
        <v>0</v>
      </c>
      <c r="C3" s="47" t="s">
        <v>191</v>
      </c>
      <c r="D3" s="84" t="s">
        <v>192</v>
      </c>
      <c r="E3" s="84" t="s">
        <v>193</v>
      </c>
      <c r="F3" s="84" t="s">
        <v>194</v>
      </c>
      <c r="G3" s="16" t="s">
        <v>1</v>
      </c>
      <c r="H3" s="16" t="s">
        <v>5</v>
      </c>
      <c r="I3" s="16" t="s">
        <v>6</v>
      </c>
      <c r="J3" s="16" t="s">
        <v>7</v>
      </c>
      <c r="K3" s="16" t="s">
        <v>8</v>
      </c>
      <c r="L3" s="16" t="s">
        <v>9</v>
      </c>
      <c r="M3" s="16" t="s">
        <v>10</v>
      </c>
      <c r="N3" s="58"/>
      <c r="O3" s="16" t="s">
        <v>0</v>
      </c>
      <c r="P3" s="47" t="s">
        <v>191</v>
      </c>
      <c r="Q3" s="84" t="s">
        <v>192</v>
      </c>
      <c r="R3" s="84" t="s">
        <v>193</v>
      </c>
      <c r="S3" s="84" t="s">
        <v>194</v>
      </c>
      <c r="T3" s="16" t="s">
        <v>1</v>
      </c>
      <c r="U3" s="16" t="s">
        <v>5</v>
      </c>
      <c r="V3" s="16" t="s">
        <v>6</v>
      </c>
      <c r="W3" s="16" t="s">
        <v>7</v>
      </c>
      <c r="X3" s="16" t="s">
        <v>8</v>
      </c>
      <c r="Y3" s="16" t="s">
        <v>9</v>
      </c>
      <c r="Z3" s="16" t="s">
        <v>10</v>
      </c>
      <c r="AA3" s="59"/>
      <c r="AB3" s="16" t="s">
        <v>0</v>
      </c>
      <c r="AC3" s="47" t="s">
        <v>191</v>
      </c>
      <c r="AD3" s="84" t="s">
        <v>192</v>
      </c>
      <c r="AE3" s="84" t="s">
        <v>193</v>
      </c>
      <c r="AF3" s="84" t="s">
        <v>194</v>
      </c>
      <c r="AG3" s="16" t="s">
        <v>1</v>
      </c>
      <c r="AH3" s="16" t="s">
        <v>5</v>
      </c>
      <c r="AI3" s="16" t="s">
        <v>6</v>
      </c>
      <c r="AJ3" s="16" t="s">
        <v>7</v>
      </c>
      <c r="AK3" s="16" t="s">
        <v>8</v>
      </c>
      <c r="AL3" s="16" t="s">
        <v>9</v>
      </c>
      <c r="AM3" s="16" t="s">
        <v>10</v>
      </c>
      <c r="AN3" s="59"/>
      <c r="AO3" s="16" t="s">
        <v>0</v>
      </c>
      <c r="AP3" s="47" t="s">
        <v>191</v>
      </c>
      <c r="AQ3" s="84" t="s">
        <v>192</v>
      </c>
      <c r="AR3" s="84" t="s">
        <v>193</v>
      </c>
      <c r="AS3" s="84" t="s">
        <v>194</v>
      </c>
      <c r="AT3" s="16" t="s">
        <v>1</v>
      </c>
      <c r="AU3" s="16" t="s">
        <v>5</v>
      </c>
      <c r="AV3" s="16" t="s">
        <v>6</v>
      </c>
      <c r="AW3" s="16" t="s">
        <v>7</v>
      </c>
      <c r="AX3" s="16" t="s">
        <v>8</v>
      </c>
      <c r="AY3" s="16" t="s">
        <v>9</v>
      </c>
      <c r="AZ3" s="16" t="s">
        <v>10</v>
      </c>
      <c r="BA3" s="59"/>
      <c r="BB3" s="16" t="s">
        <v>0</v>
      </c>
      <c r="BC3" s="47" t="s">
        <v>191</v>
      </c>
      <c r="BD3" s="84" t="s">
        <v>192</v>
      </c>
      <c r="BE3" s="84" t="s">
        <v>193</v>
      </c>
      <c r="BF3" s="84" t="s">
        <v>194</v>
      </c>
      <c r="BG3" s="16" t="s">
        <v>1</v>
      </c>
      <c r="BH3" s="16" t="s">
        <v>5</v>
      </c>
      <c r="BI3" s="16" t="s">
        <v>6</v>
      </c>
      <c r="BJ3" s="16" t="s">
        <v>7</v>
      </c>
      <c r="BK3" s="16" t="s">
        <v>8</v>
      </c>
      <c r="BL3" s="16" t="s">
        <v>9</v>
      </c>
      <c r="BM3" s="16" t="s">
        <v>10</v>
      </c>
      <c r="BN3" s="59"/>
      <c r="BO3" s="16" t="s">
        <v>0</v>
      </c>
      <c r="BP3" s="47" t="s">
        <v>191</v>
      </c>
      <c r="BQ3" s="84" t="s">
        <v>192</v>
      </c>
      <c r="BR3" s="84" t="s">
        <v>193</v>
      </c>
      <c r="BS3" s="84" t="s">
        <v>194</v>
      </c>
      <c r="BT3" s="16" t="s">
        <v>1</v>
      </c>
      <c r="BU3" s="16" t="s">
        <v>5</v>
      </c>
      <c r="BV3" s="16" t="s">
        <v>6</v>
      </c>
      <c r="BW3" s="16" t="s">
        <v>7</v>
      </c>
      <c r="BX3" s="16" t="s">
        <v>8</v>
      </c>
      <c r="BY3" s="16" t="s">
        <v>9</v>
      </c>
      <c r="BZ3" s="16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BF829-9C57-409F-9833-F90FA00BD14E}">
  <sheetPr codeName="Sheet27"/>
  <dimension ref="B1:BZ3"/>
  <sheetViews>
    <sheetView zoomScaleNormal="100" workbookViewId="0">
      <pane xSplit="1" ySplit="3" topLeftCell="B4" activePane="bottomRight" state="frozen"/>
      <selection activeCell="I33" sqref="I33"/>
      <selection pane="topRight" activeCell="I33" sqref="I33"/>
      <selection pane="bottomLeft" activeCell="I33" sqref="I33"/>
      <selection pane="bottomRight" activeCell="B4" sqref="B4"/>
    </sheetView>
  </sheetViews>
  <sheetFormatPr defaultRowHeight="15" x14ac:dyDescent="0.25"/>
  <cols>
    <col min="2" max="2" width="12" customWidth="1"/>
    <col min="3" max="3" width="12.28515625" bestFit="1" customWidth="1"/>
    <col min="4" max="6" width="12.28515625" customWidth="1"/>
    <col min="7" max="7" width="12.42578125" customWidth="1"/>
    <col min="8" max="8" width="16.28515625" bestFit="1" customWidth="1"/>
    <col min="9" max="9" width="13.42578125" bestFit="1" customWidth="1"/>
    <col min="10" max="10" width="13.28515625" bestFit="1" customWidth="1"/>
    <col min="11" max="11" width="15.28515625" bestFit="1" customWidth="1"/>
    <col min="12" max="12" width="18.42578125" bestFit="1" customWidth="1"/>
    <col min="13" max="13" width="18.28515625" bestFit="1" customWidth="1"/>
    <col min="14" max="14" width="8.85546875" style="58"/>
    <col min="15" max="15" width="8.7109375" bestFit="1" customWidth="1"/>
    <col min="16" max="16" width="12.28515625" bestFit="1" customWidth="1"/>
    <col min="17" max="19" width="12.28515625" customWidth="1"/>
    <col min="20" max="20" width="12.42578125" bestFit="1" customWidth="1"/>
    <col min="21" max="21" width="16.28515625" bestFit="1" customWidth="1"/>
    <col min="22" max="22" width="13.42578125" bestFit="1" customWidth="1"/>
    <col min="23" max="23" width="13.28515625" bestFit="1" customWidth="1"/>
    <col min="24" max="24" width="15.28515625" bestFit="1" customWidth="1"/>
    <col min="25" max="25" width="18.42578125" customWidth="1"/>
    <col min="26" max="26" width="18.28515625" bestFit="1" customWidth="1"/>
    <col min="27" max="27" width="8.85546875" style="58"/>
    <col min="28" max="28" width="8.7109375" bestFit="1" customWidth="1"/>
    <col min="29" max="29" width="12.28515625" bestFit="1" customWidth="1"/>
    <col min="30" max="32" width="12.28515625" customWidth="1"/>
    <col min="33" max="33" width="12.42578125" bestFit="1" customWidth="1"/>
    <col min="34" max="34" width="16.28515625" bestFit="1" customWidth="1"/>
    <col min="35" max="35" width="13.42578125" bestFit="1" customWidth="1"/>
    <col min="36" max="36" width="13.28515625" bestFit="1" customWidth="1"/>
    <col min="37" max="37" width="15.28515625" bestFit="1" customWidth="1"/>
    <col min="38" max="38" width="18.42578125" bestFit="1" customWidth="1"/>
    <col min="39" max="39" width="18.28515625" bestFit="1" customWidth="1"/>
    <col min="40" max="40" width="8.85546875" style="58"/>
    <col min="41" max="41" width="8.7109375" bestFit="1" customWidth="1"/>
    <col min="42" max="42" width="12.28515625" bestFit="1" customWidth="1"/>
    <col min="43" max="45" width="12.28515625" customWidth="1"/>
    <col min="46" max="46" width="12.42578125" bestFit="1" customWidth="1"/>
    <col min="47" max="47" width="16.28515625" bestFit="1" customWidth="1"/>
    <col min="48" max="48" width="13.42578125" bestFit="1" customWidth="1"/>
    <col min="49" max="49" width="13.28515625" bestFit="1" customWidth="1"/>
    <col min="50" max="50" width="15.28515625" bestFit="1" customWidth="1"/>
    <col min="51" max="51" width="18.42578125" bestFit="1" customWidth="1"/>
    <col min="52" max="52" width="18.28515625" bestFit="1" customWidth="1"/>
    <col min="53" max="53" width="8.85546875" style="58"/>
    <col min="54" max="54" width="8.7109375" bestFit="1" customWidth="1"/>
    <col min="55" max="55" width="12.28515625" bestFit="1" customWidth="1"/>
    <col min="56" max="58" width="12.28515625" customWidth="1"/>
    <col min="59" max="59" width="12.42578125" bestFit="1" customWidth="1"/>
    <col min="60" max="60" width="16.28515625" bestFit="1" customWidth="1"/>
    <col min="61" max="61" width="13.42578125" bestFit="1" customWidth="1"/>
    <col min="62" max="62" width="13.28515625" bestFit="1" customWidth="1"/>
    <col min="63" max="63" width="15.28515625" bestFit="1" customWidth="1"/>
    <col min="64" max="64" width="18.42578125" bestFit="1" customWidth="1"/>
    <col min="65" max="65" width="18.28515625" bestFit="1" customWidth="1"/>
    <col min="66" max="66" width="8.85546875" style="58"/>
    <col min="67" max="67" width="8.7109375" bestFit="1" customWidth="1"/>
    <col min="68" max="68" width="12.28515625" bestFit="1" customWidth="1"/>
    <col min="69" max="71" width="12.28515625" customWidth="1"/>
    <col min="72" max="72" width="12.42578125" bestFit="1" customWidth="1"/>
    <col min="73" max="73" width="16.28515625" bestFit="1" customWidth="1"/>
    <col min="74" max="74" width="13.42578125" bestFit="1" customWidth="1"/>
    <col min="75" max="75" width="13.28515625" bestFit="1" customWidth="1"/>
    <col min="76" max="76" width="15.28515625" bestFit="1" customWidth="1"/>
    <col min="77" max="77" width="18.42578125" bestFit="1" customWidth="1"/>
    <col min="78" max="78" width="18.28515625" bestFit="1" customWidth="1"/>
  </cols>
  <sheetData>
    <row r="1" spans="2:78" ht="23.25" x14ac:dyDescent="0.35">
      <c r="B1" s="49" t="s">
        <v>14</v>
      </c>
      <c r="C1" s="49"/>
      <c r="D1" s="49"/>
      <c r="E1" s="49"/>
      <c r="F1" s="49"/>
      <c r="O1" s="2"/>
      <c r="P1" s="2"/>
      <c r="Q1" s="2"/>
      <c r="R1" s="2"/>
      <c r="S1" s="2"/>
    </row>
    <row r="2" spans="2:78" ht="22.9" customHeight="1" x14ac:dyDescent="0.25">
      <c r="B2" s="5"/>
      <c r="C2" s="5"/>
      <c r="D2" s="5"/>
      <c r="E2" s="5"/>
      <c r="F2" s="5"/>
      <c r="G2" s="113" t="s">
        <v>38</v>
      </c>
      <c r="H2" s="113"/>
      <c r="I2" s="113"/>
      <c r="J2" s="113"/>
      <c r="K2" s="113"/>
      <c r="L2" s="113"/>
      <c r="O2" s="5"/>
      <c r="P2" s="5"/>
      <c r="Q2" s="5"/>
      <c r="R2" s="5"/>
      <c r="S2" s="5"/>
      <c r="T2" s="113" t="s">
        <v>38</v>
      </c>
      <c r="U2" s="113"/>
      <c r="V2" s="113"/>
      <c r="W2" s="113"/>
      <c r="X2" s="113"/>
      <c r="Y2" s="113"/>
      <c r="AB2" s="5"/>
      <c r="AC2" s="5"/>
      <c r="AD2" s="5"/>
      <c r="AE2" s="5"/>
      <c r="AF2" s="5"/>
      <c r="AG2" s="113" t="s">
        <v>38</v>
      </c>
      <c r="AH2" s="113"/>
      <c r="AI2" s="113"/>
      <c r="AJ2" s="113"/>
      <c r="AK2" s="113"/>
      <c r="AL2" s="113"/>
      <c r="AO2" s="5"/>
      <c r="AP2" s="5"/>
      <c r="AQ2" s="5"/>
      <c r="AR2" s="5"/>
      <c r="AS2" s="5"/>
      <c r="AT2" s="113" t="s">
        <v>38</v>
      </c>
      <c r="AU2" s="113"/>
      <c r="AV2" s="113"/>
      <c r="AW2" s="113"/>
      <c r="AX2" s="113"/>
      <c r="AY2" s="113"/>
      <c r="BB2" s="5"/>
      <c r="BC2" s="5"/>
      <c r="BD2" s="5"/>
      <c r="BE2" s="5"/>
      <c r="BF2" s="5"/>
      <c r="BG2" s="113" t="s">
        <v>38</v>
      </c>
      <c r="BH2" s="113"/>
      <c r="BI2" s="113"/>
      <c r="BJ2" s="113"/>
      <c r="BK2" s="113"/>
      <c r="BL2" s="113"/>
      <c r="BO2" s="5"/>
      <c r="BP2" s="5"/>
      <c r="BQ2" s="5"/>
      <c r="BR2" s="5"/>
      <c r="BS2" s="5"/>
      <c r="BT2" s="113" t="s">
        <v>38</v>
      </c>
      <c r="BU2" s="113"/>
      <c r="BV2" s="113"/>
      <c r="BW2" s="113"/>
      <c r="BX2" s="113"/>
      <c r="BY2" s="113"/>
    </row>
    <row r="3" spans="2:78" s="52" customFormat="1" ht="21.6" customHeight="1" x14ac:dyDescent="0.25">
      <c r="B3" s="50" t="s">
        <v>0</v>
      </c>
      <c r="C3" s="50" t="s">
        <v>191</v>
      </c>
      <c r="D3" s="50" t="s">
        <v>192</v>
      </c>
      <c r="E3" s="50" t="s">
        <v>193</v>
      </c>
      <c r="F3" s="50" t="s">
        <v>194</v>
      </c>
      <c r="G3" s="50" t="s">
        <v>1</v>
      </c>
      <c r="H3" s="51" t="s">
        <v>5</v>
      </c>
      <c r="I3" s="50" t="s">
        <v>6</v>
      </c>
      <c r="J3" s="50" t="s">
        <v>7</v>
      </c>
      <c r="K3" s="50" t="s">
        <v>8</v>
      </c>
      <c r="L3" s="50" t="s">
        <v>9</v>
      </c>
      <c r="M3" s="50" t="s">
        <v>10</v>
      </c>
      <c r="N3" s="60"/>
      <c r="O3" s="50" t="s">
        <v>0</v>
      </c>
      <c r="P3" s="50" t="s">
        <v>191</v>
      </c>
      <c r="Q3" s="50" t="s">
        <v>192</v>
      </c>
      <c r="R3" s="50" t="s">
        <v>193</v>
      </c>
      <c r="S3" s="50" t="s">
        <v>194</v>
      </c>
      <c r="T3" s="50" t="s">
        <v>1</v>
      </c>
      <c r="U3" s="50" t="s">
        <v>5</v>
      </c>
      <c r="V3" s="51" t="s">
        <v>6</v>
      </c>
      <c r="W3" s="50" t="s">
        <v>7</v>
      </c>
      <c r="X3" s="50" t="s">
        <v>8</v>
      </c>
      <c r="Y3" s="50" t="s">
        <v>9</v>
      </c>
      <c r="Z3" s="50" t="s">
        <v>10</v>
      </c>
      <c r="AA3" s="61"/>
      <c r="AB3" s="50" t="s">
        <v>0</v>
      </c>
      <c r="AC3" s="50" t="s">
        <v>191</v>
      </c>
      <c r="AD3" s="50" t="s">
        <v>192</v>
      </c>
      <c r="AE3" s="50" t="s">
        <v>193</v>
      </c>
      <c r="AF3" s="50" t="s">
        <v>194</v>
      </c>
      <c r="AG3" s="50" t="s">
        <v>1</v>
      </c>
      <c r="AH3" s="50" t="s">
        <v>5</v>
      </c>
      <c r="AI3" s="50" t="s">
        <v>6</v>
      </c>
      <c r="AJ3" s="51" t="s">
        <v>7</v>
      </c>
      <c r="AK3" s="50" t="s">
        <v>8</v>
      </c>
      <c r="AL3" s="50" t="s">
        <v>9</v>
      </c>
      <c r="AM3" s="50" t="s">
        <v>10</v>
      </c>
      <c r="AN3" s="61"/>
      <c r="AO3" s="50" t="s">
        <v>0</v>
      </c>
      <c r="AP3" s="50" t="s">
        <v>191</v>
      </c>
      <c r="AQ3" s="50" t="s">
        <v>192</v>
      </c>
      <c r="AR3" s="50" t="s">
        <v>193</v>
      </c>
      <c r="AS3" s="50" t="s">
        <v>194</v>
      </c>
      <c r="AT3" s="50" t="s">
        <v>1</v>
      </c>
      <c r="AU3" s="50" t="s">
        <v>5</v>
      </c>
      <c r="AV3" s="50" t="s">
        <v>6</v>
      </c>
      <c r="AW3" s="50" t="s">
        <v>7</v>
      </c>
      <c r="AX3" s="51" t="s">
        <v>8</v>
      </c>
      <c r="AY3" s="50" t="s">
        <v>9</v>
      </c>
      <c r="AZ3" s="50" t="s">
        <v>10</v>
      </c>
      <c r="BA3" s="61"/>
      <c r="BB3" s="50" t="s">
        <v>0</v>
      </c>
      <c r="BC3" s="50" t="s">
        <v>191</v>
      </c>
      <c r="BD3" s="50" t="s">
        <v>192</v>
      </c>
      <c r="BE3" s="50" t="s">
        <v>193</v>
      </c>
      <c r="BF3" s="50" t="s">
        <v>194</v>
      </c>
      <c r="BG3" s="50" t="s">
        <v>1</v>
      </c>
      <c r="BH3" s="50" t="s">
        <v>5</v>
      </c>
      <c r="BI3" s="50" t="s">
        <v>6</v>
      </c>
      <c r="BJ3" s="50" t="s">
        <v>7</v>
      </c>
      <c r="BK3" s="50" t="s">
        <v>8</v>
      </c>
      <c r="BL3" s="51" t="s">
        <v>9</v>
      </c>
      <c r="BM3" s="50" t="s">
        <v>10</v>
      </c>
      <c r="BN3" s="61"/>
      <c r="BO3" s="50" t="s">
        <v>0</v>
      </c>
      <c r="BP3" s="50" t="s">
        <v>191</v>
      </c>
      <c r="BQ3" s="50" t="s">
        <v>192</v>
      </c>
      <c r="BR3" s="50" t="s">
        <v>193</v>
      </c>
      <c r="BS3" s="50" t="s">
        <v>194</v>
      </c>
      <c r="BT3" s="50" t="s">
        <v>1</v>
      </c>
      <c r="BU3" s="50" t="s">
        <v>5</v>
      </c>
      <c r="BV3" s="50" t="s">
        <v>6</v>
      </c>
      <c r="BW3" s="50" t="s">
        <v>7</v>
      </c>
      <c r="BX3" s="50" t="s">
        <v>8</v>
      </c>
      <c r="BY3" s="50" t="s">
        <v>9</v>
      </c>
      <c r="BZ3" s="51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1EF3D-EE10-4A67-AAFB-BC4456180CB0}">
  <sheetPr codeName="Sheet29"/>
  <dimension ref="B1:BZ3"/>
  <sheetViews>
    <sheetView zoomScaleNormal="100" workbookViewId="0">
      <pane xSplit="1" ySplit="3" topLeftCell="B4" activePane="bottomRight" state="frozen"/>
      <selection activeCell="I33" sqref="I33"/>
      <selection pane="topRight" activeCell="I33" sqref="I33"/>
      <selection pane="bottomLeft" activeCell="I33" sqref="I33"/>
      <selection pane="bottomRight" activeCell="B4" sqref="B4"/>
    </sheetView>
  </sheetViews>
  <sheetFormatPr defaultRowHeight="15" x14ac:dyDescent="0.25"/>
  <cols>
    <col min="2" max="2" width="12" customWidth="1"/>
    <col min="3" max="3" width="12.28515625" bestFit="1" customWidth="1"/>
    <col min="4" max="6" width="12.28515625" customWidth="1"/>
    <col min="7" max="7" width="12.42578125" customWidth="1"/>
    <col min="8" max="8" width="16.28515625" bestFit="1" customWidth="1"/>
    <col min="9" max="9" width="13.42578125" bestFit="1" customWidth="1"/>
    <col min="10" max="10" width="13.28515625" bestFit="1" customWidth="1"/>
    <col min="11" max="11" width="15.28515625" bestFit="1" customWidth="1"/>
    <col min="12" max="12" width="18.42578125" bestFit="1" customWidth="1"/>
    <col min="13" max="13" width="18.28515625" bestFit="1" customWidth="1"/>
    <col min="14" max="14" width="8.85546875" style="58"/>
    <col min="15" max="15" width="8.7109375" bestFit="1" customWidth="1"/>
    <col min="16" max="16" width="12.28515625" bestFit="1" customWidth="1"/>
    <col min="17" max="19" width="12.28515625" customWidth="1"/>
    <col min="20" max="20" width="12.42578125" bestFit="1" customWidth="1"/>
    <col min="21" max="21" width="16.28515625" bestFit="1" customWidth="1"/>
    <col min="22" max="22" width="13.42578125" bestFit="1" customWidth="1"/>
    <col min="23" max="23" width="13.28515625" bestFit="1" customWidth="1"/>
    <col min="24" max="24" width="15.28515625" bestFit="1" customWidth="1"/>
    <col min="25" max="25" width="18.42578125" customWidth="1"/>
    <col min="26" max="26" width="18.28515625" bestFit="1" customWidth="1"/>
    <col min="27" max="27" width="8.85546875" style="58"/>
    <col min="28" max="28" width="8.7109375" bestFit="1" customWidth="1"/>
    <col min="29" max="29" width="12.28515625" bestFit="1" customWidth="1"/>
    <col min="30" max="32" width="12.28515625" customWidth="1"/>
    <col min="33" max="33" width="12.42578125" bestFit="1" customWidth="1"/>
    <col min="34" max="34" width="16.28515625" bestFit="1" customWidth="1"/>
    <col min="35" max="35" width="13.42578125" bestFit="1" customWidth="1"/>
    <col min="36" max="36" width="13.28515625" bestFit="1" customWidth="1"/>
    <col min="37" max="37" width="15.28515625" bestFit="1" customWidth="1"/>
    <col min="38" max="38" width="18.42578125" bestFit="1" customWidth="1"/>
    <col min="39" max="39" width="18.28515625" bestFit="1" customWidth="1"/>
    <col min="40" max="40" width="8.85546875" style="58"/>
    <col min="41" max="41" width="8.7109375" bestFit="1" customWidth="1"/>
    <col min="42" max="42" width="12.28515625" bestFit="1" customWidth="1"/>
    <col min="43" max="45" width="12.28515625" customWidth="1"/>
    <col min="46" max="46" width="12.42578125" bestFit="1" customWidth="1"/>
    <col min="47" max="47" width="16.28515625" bestFit="1" customWidth="1"/>
    <col min="48" max="48" width="13.42578125" bestFit="1" customWidth="1"/>
    <col min="49" max="49" width="13.28515625" bestFit="1" customWidth="1"/>
    <col min="50" max="50" width="15.28515625" bestFit="1" customWidth="1"/>
    <col min="51" max="51" width="18.42578125" bestFit="1" customWidth="1"/>
    <col min="52" max="52" width="18.28515625" bestFit="1" customWidth="1"/>
    <col min="53" max="53" width="8.85546875" style="58"/>
    <col min="54" max="54" width="8.7109375" bestFit="1" customWidth="1"/>
    <col min="55" max="55" width="12.28515625" bestFit="1" customWidth="1"/>
    <col min="56" max="58" width="12.28515625" customWidth="1"/>
    <col min="59" max="59" width="12.42578125" bestFit="1" customWidth="1"/>
    <col min="60" max="60" width="16.28515625" bestFit="1" customWidth="1"/>
    <col min="61" max="61" width="13.42578125" bestFit="1" customWidth="1"/>
    <col min="62" max="62" width="13.28515625" bestFit="1" customWidth="1"/>
    <col min="63" max="63" width="15.28515625" bestFit="1" customWidth="1"/>
    <col min="64" max="64" width="18.42578125" bestFit="1" customWidth="1"/>
    <col min="65" max="65" width="18.28515625" bestFit="1" customWidth="1"/>
    <col min="66" max="66" width="8.85546875" style="58"/>
    <col min="67" max="67" width="8.7109375" bestFit="1" customWidth="1"/>
    <col min="68" max="68" width="12.28515625" bestFit="1" customWidth="1"/>
    <col min="69" max="71" width="12.28515625" customWidth="1"/>
    <col min="72" max="72" width="12.42578125" bestFit="1" customWidth="1"/>
    <col min="73" max="73" width="16.28515625" bestFit="1" customWidth="1"/>
    <col min="74" max="74" width="13.42578125" bestFit="1" customWidth="1"/>
    <col min="75" max="75" width="13.28515625" bestFit="1" customWidth="1"/>
    <col min="76" max="76" width="15.28515625" bestFit="1" customWidth="1"/>
    <col min="77" max="77" width="18.42578125" bestFit="1" customWidth="1"/>
    <col min="78" max="78" width="18.28515625" bestFit="1" customWidth="1"/>
  </cols>
  <sheetData>
    <row r="1" spans="2:78" ht="23.25" x14ac:dyDescent="0.35">
      <c r="B1" s="49" t="s">
        <v>14</v>
      </c>
      <c r="C1" s="49"/>
      <c r="D1" s="49"/>
      <c r="E1" s="49"/>
      <c r="F1" s="49"/>
      <c r="O1" s="2"/>
      <c r="P1" s="2"/>
      <c r="Q1" s="2"/>
      <c r="R1" s="2"/>
      <c r="S1" s="2"/>
    </row>
    <row r="2" spans="2:78" x14ac:dyDescent="0.25">
      <c r="B2" s="5"/>
      <c r="C2" s="5"/>
      <c r="D2" s="5"/>
      <c r="E2" s="5"/>
      <c r="F2" s="5"/>
      <c r="G2" s="113" t="s">
        <v>38</v>
      </c>
      <c r="H2" s="113"/>
      <c r="I2" s="113"/>
      <c r="J2" s="113"/>
      <c r="K2" s="113"/>
      <c r="L2" s="113"/>
      <c r="O2" s="5"/>
      <c r="P2" s="5"/>
      <c r="Q2" s="5"/>
      <c r="R2" s="5"/>
      <c r="S2" s="5"/>
      <c r="T2" s="113" t="s">
        <v>38</v>
      </c>
      <c r="U2" s="113"/>
      <c r="V2" s="113"/>
      <c r="W2" s="113"/>
      <c r="X2" s="113"/>
      <c r="Y2" s="113"/>
      <c r="AB2" s="5"/>
      <c r="AC2" s="5"/>
      <c r="AD2" s="5"/>
      <c r="AE2" s="5"/>
      <c r="AF2" s="5"/>
      <c r="AG2" s="113" t="s">
        <v>38</v>
      </c>
      <c r="AH2" s="113"/>
      <c r="AI2" s="113"/>
      <c r="AJ2" s="113"/>
      <c r="AK2" s="113"/>
      <c r="AL2" s="113"/>
      <c r="AO2" s="5"/>
      <c r="AP2" s="5"/>
      <c r="AQ2" s="5"/>
      <c r="AR2" s="5"/>
      <c r="AS2" s="5"/>
      <c r="AT2" s="113" t="s">
        <v>38</v>
      </c>
      <c r="AU2" s="113"/>
      <c r="AV2" s="113"/>
      <c r="AW2" s="113"/>
      <c r="AX2" s="113"/>
      <c r="AY2" s="113"/>
      <c r="BB2" s="5"/>
      <c r="BC2" s="5"/>
      <c r="BD2" s="5"/>
      <c r="BE2" s="5"/>
      <c r="BF2" s="5"/>
      <c r="BG2" s="113" t="s">
        <v>38</v>
      </c>
      <c r="BH2" s="113"/>
      <c r="BI2" s="113"/>
      <c r="BJ2" s="113"/>
      <c r="BK2" s="113"/>
      <c r="BL2" s="113"/>
      <c r="BO2" s="5"/>
      <c r="BP2" s="5"/>
      <c r="BQ2" s="5"/>
      <c r="BR2" s="5"/>
      <c r="BS2" s="5"/>
      <c r="BT2" s="113" t="s">
        <v>38</v>
      </c>
      <c r="BU2" s="113"/>
      <c r="BV2" s="113"/>
      <c r="BW2" s="113"/>
      <c r="BX2" s="113"/>
      <c r="BY2" s="113"/>
    </row>
    <row r="3" spans="2:78" s="52" customFormat="1" ht="21.6" customHeight="1" x14ac:dyDescent="0.25">
      <c r="B3" s="50" t="s">
        <v>0</v>
      </c>
      <c r="C3" s="50" t="s">
        <v>191</v>
      </c>
      <c r="D3" s="50" t="s">
        <v>192</v>
      </c>
      <c r="E3" s="50" t="s">
        <v>193</v>
      </c>
      <c r="F3" s="50" t="s">
        <v>194</v>
      </c>
      <c r="G3" s="50" t="s">
        <v>1</v>
      </c>
      <c r="H3" s="51" t="s">
        <v>5</v>
      </c>
      <c r="I3" s="50" t="s">
        <v>6</v>
      </c>
      <c r="J3" s="50" t="s">
        <v>7</v>
      </c>
      <c r="K3" s="50" t="s">
        <v>8</v>
      </c>
      <c r="L3" s="50" t="s">
        <v>9</v>
      </c>
      <c r="M3" s="50" t="s">
        <v>10</v>
      </c>
      <c r="N3" s="60"/>
      <c r="O3" s="50" t="s">
        <v>0</v>
      </c>
      <c r="P3" s="50" t="s">
        <v>191</v>
      </c>
      <c r="Q3" s="50" t="s">
        <v>192</v>
      </c>
      <c r="R3" s="50" t="s">
        <v>193</v>
      </c>
      <c r="S3" s="50" t="s">
        <v>194</v>
      </c>
      <c r="T3" s="50" t="s">
        <v>1</v>
      </c>
      <c r="U3" s="50" t="s">
        <v>5</v>
      </c>
      <c r="V3" s="51" t="s">
        <v>6</v>
      </c>
      <c r="W3" s="50" t="s">
        <v>7</v>
      </c>
      <c r="X3" s="50" t="s">
        <v>8</v>
      </c>
      <c r="Y3" s="50" t="s">
        <v>9</v>
      </c>
      <c r="Z3" s="50" t="s">
        <v>10</v>
      </c>
      <c r="AA3" s="61"/>
      <c r="AB3" s="50" t="s">
        <v>0</v>
      </c>
      <c r="AC3" s="50" t="s">
        <v>191</v>
      </c>
      <c r="AD3" s="50" t="s">
        <v>192</v>
      </c>
      <c r="AE3" s="50" t="s">
        <v>193</v>
      </c>
      <c r="AF3" s="50" t="s">
        <v>194</v>
      </c>
      <c r="AG3" s="50" t="s">
        <v>1</v>
      </c>
      <c r="AH3" s="50" t="s">
        <v>5</v>
      </c>
      <c r="AI3" s="50" t="s">
        <v>6</v>
      </c>
      <c r="AJ3" s="51" t="s">
        <v>7</v>
      </c>
      <c r="AK3" s="50" t="s">
        <v>8</v>
      </c>
      <c r="AL3" s="50" t="s">
        <v>9</v>
      </c>
      <c r="AM3" s="50" t="s">
        <v>10</v>
      </c>
      <c r="AN3" s="61"/>
      <c r="AO3" s="50" t="s">
        <v>0</v>
      </c>
      <c r="AP3" s="50" t="s">
        <v>191</v>
      </c>
      <c r="AQ3" s="50" t="s">
        <v>192</v>
      </c>
      <c r="AR3" s="50" t="s">
        <v>193</v>
      </c>
      <c r="AS3" s="50" t="s">
        <v>194</v>
      </c>
      <c r="AT3" s="50" t="s">
        <v>1</v>
      </c>
      <c r="AU3" s="50" t="s">
        <v>5</v>
      </c>
      <c r="AV3" s="50" t="s">
        <v>6</v>
      </c>
      <c r="AW3" s="50" t="s">
        <v>7</v>
      </c>
      <c r="AX3" s="51" t="s">
        <v>8</v>
      </c>
      <c r="AY3" s="50" t="s">
        <v>9</v>
      </c>
      <c r="AZ3" s="50" t="s">
        <v>10</v>
      </c>
      <c r="BA3" s="61"/>
      <c r="BB3" s="50" t="s">
        <v>0</v>
      </c>
      <c r="BC3" s="50" t="s">
        <v>191</v>
      </c>
      <c r="BD3" s="50" t="s">
        <v>192</v>
      </c>
      <c r="BE3" s="50" t="s">
        <v>193</v>
      </c>
      <c r="BF3" s="50" t="s">
        <v>194</v>
      </c>
      <c r="BG3" s="50" t="s">
        <v>1</v>
      </c>
      <c r="BH3" s="50" t="s">
        <v>5</v>
      </c>
      <c r="BI3" s="50" t="s">
        <v>6</v>
      </c>
      <c r="BJ3" s="50" t="s">
        <v>7</v>
      </c>
      <c r="BK3" s="50" t="s">
        <v>8</v>
      </c>
      <c r="BL3" s="51" t="s">
        <v>9</v>
      </c>
      <c r="BM3" s="50" t="s">
        <v>10</v>
      </c>
      <c r="BN3" s="61"/>
      <c r="BO3" s="50" t="s">
        <v>0</v>
      </c>
      <c r="BP3" s="50" t="s">
        <v>191</v>
      </c>
      <c r="BQ3" s="50" t="s">
        <v>192</v>
      </c>
      <c r="BR3" s="50" t="s">
        <v>193</v>
      </c>
      <c r="BS3" s="50" t="s">
        <v>194</v>
      </c>
      <c r="BT3" s="50" t="s">
        <v>1</v>
      </c>
      <c r="BU3" s="50" t="s">
        <v>5</v>
      </c>
      <c r="BV3" s="50" t="s">
        <v>6</v>
      </c>
      <c r="BW3" s="50" t="s">
        <v>7</v>
      </c>
      <c r="BX3" s="50" t="s">
        <v>8</v>
      </c>
      <c r="BY3" s="50" t="s">
        <v>9</v>
      </c>
      <c r="BZ3" s="51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32124-C1DD-4F2A-827E-F61A24416E9A}">
  <sheetPr codeName="Sheet28"/>
  <dimension ref="B1:BZ3"/>
  <sheetViews>
    <sheetView zoomScaleNormal="100" workbookViewId="0">
      <pane xSplit="1" ySplit="3" topLeftCell="B4" activePane="bottomRight" state="frozen"/>
      <selection activeCell="I33" sqref="I33"/>
      <selection pane="topRight" activeCell="I33" sqref="I33"/>
      <selection pane="bottomLeft" activeCell="I33" sqref="I33"/>
      <selection pane="bottomRight" activeCell="B4" sqref="B4"/>
    </sheetView>
  </sheetViews>
  <sheetFormatPr defaultRowHeight="15" x14ac:dyDescent="0.25"/>
  <cols>
    <col min="2" max="2" width="12" customWidth="1"/>
    <col min="3" max="3" width="12.28515625" bestFit="1" customWidth="1"/>
    <col min="4" max="6" width="12.28515625" customWidth="1"/>
    <col min="7" max="7" width="12.42578125" customWidth="1"/>
    <col min="8" max="8" width="16.28515625" bestFit="1" customWidth="1"/>
    <col min="9" max="9" width="13.42578125" bestFit="1" customWidth="1"/>
    <col min="10" max="10" width="13.28515625" bestFit="1" customWidth="1"/>
    <col min="11" max="11" width="15.28515625" bestFit="1" customWidth="1"/>
    <col min="12" max="12" width="18.42578125" bestFit="1" customWidth="1"/>
    <col min="13" max="13" width="18.28515625" bestFit="1" customWidth="1"/>
    <col min="14" max="14" width="8.85546875" style="58"/>
    <col min="15" max="15" width="8.7109375" bestFit="1" customWidth="1"/>
    <col min="16" max="16" width="12.28515625" bestFit="1" customWidth="1"/>
    <col min="17" max="19" width="12.28515625" customWidth="1"/>
    <col min="20" max="20" width="12.42578125" bestFit="1" customWidth="1"/>
    <col min="21" max="21" width="16.28515625" bestFit="1" customWidth="1"/>
    <col min="22" max="22" width="13.42578125" bestFit="1" customWidth="1"/>
    <col min="23" max="23" width="13.28515625" bestFit="1" customWidth="1"/>
    <col min="24" max="24" width="15.28515625" bestFit="1" customWidth="1"/>
    <col min="25" max="25" width="18.42578125" customWidth="1"/>
    <col min="26" max="26" width="18.28515625" bestFit="1" customWidth="1"/>
    <col min="27" max="27" width="8.85546875" style="58"/>
    <col min="28" max="28" width="8.7109375" bestFit="1" customWidth="1"/>
    <col min="29" max="29" width="12.28515625" bestFit="1" customWidth="1"/>
    <col min="30" max="32" width="12.28515625" customWidth="1"/>
    <col min="33" max="33" width="12.42578125" bestFit="1" customWidth="1"/>
    <col min="34" max="34" width="16.28515625" bestFit="1" customWidth="1"/>
    <col min="35" max="35" width="13.42578125" bestFit="1" customWidth="1"/>
    <col min="36" max="36" width="13.28515625" bestFit="1" customWidth="1"/>
    <col min="37" max="37" width="15.28515625" bestFit="1" customWidth="1"/>
    <col min="38" max="38" width="18.42578125" bestFit="1" customWidth="1"/>
    <col min="39" max="39" width="18.28515625" bestFit="1" customWidth="1"/>
    <col min="40" max="40" width="8.85546875" style="58"/>
    <col min="41" max="41" width="8.7109375" bestFit="1" customWidth="1"/>
    <col min="42" max="42" width="12.28515625" bestFit="1" customWidth="1"/>
    <col min="43" max="45" width="12.28515625" customWidth="1"/>
    <col min="46" max="46" width="12.42578125" bestFit="1" customWidth="1"/>
    <col min="47" max="47" width="16.28515625" bestFit="1" customWidth="1"/>
    <col min="48" max="48" width="13.42578125" bestFit="1" customWidth="1"/>
    <col min="49" max="49" width="13.28515625" bestFit="1" customWidth="1"/>
    <col min="50" max="50" width="15.28515625" bestFit="1" customWidth="1"/>
    <col min="51" max="51" width="18.42578125" bestFit="1" customWidth="1"/>
    <col min="52" max="52" width="18.28515625" bestFit="1" customWidth="1"/>
    <col min="53" max="53" width="8.85546875" style="58"/>
    <col min="54" max="54" width="8.7109375" bestFit="1" customWidth="1"/>
    <col min="55" max="55" width="12.28515625" bestFit="1" customWidth="1"/>
    <col min="56" max="58" width="12.28515625" customWidth="1"/>
    <col min="59" max="59" width="12.42578125" bestFit="1" customWidth="1"/>
    <col min="60" max="60" width="16.28515625" bestFit="1" customWidth="1"/>
    <col min="61" max="61" width="13.42578125" bestFit="1" customWidth="1"/>
    <col min="62" max="62" width="13.28515625" bestFit="1" customWidth="1"/>
    <col min="63" max="63" width="15.28515625" bestFit="1" customWidth="1"/>
    <col min="64" max="64" width="18.42578125" bestFit="1" customWidth="1"/>
    <col min="65" max="65" width="18.28515625" bestFit="1" customWidth="1"/>
    <col min="66" max="66" width="8.85546875" style="58"/>
    <col min="67" max="67" width="8.7109375" bestFit="1" customWidth="1"/>
    <col min="68" max="68" width="12.28515625" bestFit="1" customWidth="1"/>
    <col min="69" max="71" width="12.28515625" customWidth="1"/>
    <col min="72" max="72" width="14.7109375" customWidth="1"/>
    <col min="73" max="73" width="16.28515625" bestFit="1" customWidth="1"/>
    <col min="74" max="74" width="13.42578125" bestFit="1" customWidth="1"/>
    <col min="75" max="75" width="13.28515625" bestFit="1" customWidth="1"/>
    <col min="76" max="76" width="15.28515625" bestFit="1" customWidth="1"/>
    <col min="77" max="77" width="18.42578125" bestFit="1" customWidth="1"/>
    <col min="78" max="78" width="18.28515625" bestFit="1" customWidth="1"/>
  </cols>
  <sheetData>
    <row r="1" spans="2:78" ht="23.25" x14ac:dyDescent="0.35">
      <c r="B1" s="49" t="s">
        <v>14</v>
      </c>
      <c r="C1" s="49"/>
      <c r="D1" s="49"/>
      <c r="E1" s="49"/>
      <c r="F1" s="49"/>
      <c r="O1" s="2"/>
      <c r="P1" s="2"/>
      <c r="Q1" s="2"/>
      <c r="R1" s="2"/>
      <c r="S1" s="2"/>
    </row>
    <row r="2" spans="2:78" ht="27.6" customHeight="1" x14ac:dyDescent="0.25">
      <c r="B2" s="5"/>
      <c r="C2" s="5"/>
      <c r="D2" s="5"/>
      <c r="E2" s="5"/>
      <c r="F2" s="5"/>
      <c r="G2" s="113" t="s">
        <v>38</v>
      </c>
      <c r="H2" s="113"/>
      <c r="I2" s="113"/>
      <c r="J2" s="113"/>
      <c r="K2" s="113"/>
      <c r="L2" s="113"/>
      <c r="O2" s="5"/>
      <c r="P2" s="5"/>
      <c r="Q2" s="5"/>
      <c r="R2" s="5"/>
      <c r="S2" s="5"/>
      <c r="T2" s="113" t="s">
        <v>38</v>
      </c>
      <c r="U2" s="113"/>
      <c r="V2" s="113"/>
      <c r="W2" s="113"/>
      <c r="X2" s="113"/>
      <c r="Y2" s="113"/>
      <c r="AB2" s="5"/>
      <c r="AC2" s="5"/>
      <c r="AD2" s="5"/>
      <c r="AE2" s="5"/>
      <c r="AF2" s="5"/>
      <c r="AG2" s="113" t="s">
        <v>38</v>
      </c>
      <c r="AH2" s="113"/>
      <c r="AI2" s="113"/>
      <c r="AJ2" s="113"/>
      <c r="AK2" s="113"/>
      <c r="AL2" s="113"/>
      <c r="AO2" s="5"/>
      <c r="AP2" s="5"/>
      <c r="AQ2" s="5"/>
      <c r="AR2" s="5"/>
      <c r="AS2" s="5"/>
      <c r="AT2" s="113" t="s">
        <v>38</v>
      </c>
      <c r="AU2" s="113"/>
      <c r="AV2" s="113"/>
      <c r="AW2" s="113"/>
      <c r="AX2" s="113"/>
      <c r="AY2" s="113"/>
      <c r="BB2" s="5"/>
      <c r="BC2" s="5"/>
      <c r="BD2" s="5"/>
      <c r="BE2" s="5"/>
      <c r="BF2" s="5"/>
      <c r="BG2" s="113" t="s">
        <v>38</v>
      </c>
      <c r="BH2" s="113"/>
      <c r="BI2" s="113"/>
      <c r="BJ2" s="113"/>
      <c r="BK2" s="113"/>
      <c r="BL2" s="113"/>
      <c r="BO2" s="5"/>
      <c r="BP2" s="5"/>
      <c r="BQ2" s="5"/>
      <c r="BR2" s="5"/>
      <c r="BS2" s="5"/>
      <c r="BT2" s="113" t="s">
        <v>38</v>
      </c>
      <c r="BU2" s="113"/>
      <c r="BV2" s="113"/>
      <c r="BW2" s="113"/>
      <c r="BX2" s="113"/>
      <c r="BY2" s="113"/>
    </row>
    <row r="3" spans="2:78" s="52" customFormat="1" ht="21.6" customHeight="1" x14ac:dyDescent="0.25">
      <c r="B3" s="50" t="s">
        <v>0</v>
      </c>
      <c r="C3" s="50" t="s">
        <v>191</v>
      </c>
      <c r="D3" s="50" t="s">
        <v>192</v>
      </c>
      <c r="E3" s="50" t="s">
        <v>193</v>
      </c>
      <c r="F3" s="50" t="s">
        <v>194</v>
      </c>
      <c r="G3" s="50" t="s">
        <v>1</v>
      </c>
      <c r="H3" s="51" t="s">
        <v>5</v>
      </c>
      <c r="I3" s="50" t="s">
        <v>6</v>
      </c>
      <c r="J3" s="50" t="s">
        <v>7</v>
      </c>
      <c r="K3" s="50" t="s">
        <v>8</v>
      </c>
      <c r="L3" s="50" t="s">
        <v>9</v>
      </c>
      <c r="M3" s="50" t="s">
        <v>10</v>
      </c>
      <c r="N3" s="60"/>
      <c r="O3" s="50" t="s">
        <v>0</v>
      </c>
      <c r="P3" s="50" t="s">
        <v>191</v>
      </c>
      <c r="Q3" s="50" t="s">
        <v>192</v>
      </c>
      <c r="R3" s="50" t="s">
        <v>193</v>
      </c>
      <c r="S3" s="50" t="s">
        <v>194</v>
      </c>
      <c r="T3" s="50" t="s">
        <v>1</v>
      </c>
      <c r="U3" s="50" t="s">
        <v>5</v>
      </c>
      <c r="V3" s="51" t="s">
        <v>6</v>
      </c>
      <c r="W3" s="50" t="s">
        <v>7</v>
      </c>
      <c r="X3" s="50" t="s">
        <v>8</v>
      </c>
      <c r="Y3" s="50" t="s">
        <v>9</v>
      </c>
      <c r="Z3" s="50" t="s">
        <v>10</v>
      </c>
      <c r="AA3" s="61"/>
      <c r="AB3" s="50" t="s">
        <v>0</v>
      </c>
      <c r="AC3" s="50" t="s">
        <v>191</v>
      </c>
      <c r="AD3" s="50" t="s">
        <v>192</v>
      </c>
      <c r="AE3" s="50" t="s">
        <v>193</v>
      </c>
      <c r="AF3" s="50" t="s">
        <v>194</v>
      </c>
      <c r="AG3" s="50" t="s">
        <v>1</v>
      </c>
      <c r="AH3" s="50" t="s">
        <v>5</v>
      </c>
      <c r="AI3" s="50" t="s">
        <v>6</v>
      </c>
      <c r="AJ3" s="51" t="s">
        <v>7</v>
      </c>
      <c r="AK3" s="50" t="s">
        <v>8</v>
      </c>
      <c r="AL3" s="50" t="s">
        <v>9</v>
      </c>
      <c r="AM3" s="50" t="s">
        <v>10</v>
      </c>
      <c r="AN3" s="61"/>
      <c r="AO3" s="50" t="s">
        <v>0</v>
      </c>
      <c r="AP3" s="50" t="s">
        <v>191</v>
      </c>
      <c r="AQ3" s="50" t="s">
        <v>192</v>
      </c>
      <c r="AR3" s="50" t="s">
        <v>193</v>
      </c>
      <c r="AS3" s="50" t="s">
        <v>194</v>
      </c>
      <c r="AT3" s="50" t="s">
        <v>1</v>
      </c>
      <c r="AU3" s="50" t="s">
        <v>5</v>
      </c>
      <c r="AV3" s="50" t="s">
        <v>6</v>
      </c>
      <c r="AW3" s="50" t="s">
        <v>7</v>
      </c>
      <c r="AX3" s="51" t="s">
        <v>8</v>
      </c>
      <c r="AY3" s="50" t="s">
        <v>9</v>
      </c>
      <c r="AZ3" s="50" t="s">
        <v>10</v>
      </c>
      <c r="BA3" s="61"/>
      <c r="BB3" s="50" t="s">
        <v>0</v>
      </c>
      <c r="BC3" s="50" t="s">
        <v>191</v>
      </c>
      <c r="BD3" s="50" t="s">
        <v>192</v>
      </c>
      <c r="BE3" s="50" t="s">
        <v>193</v>
      </c>
      <c r="BF3" s="50" t="s">
        <v>194</v>
      </c>
      <c r="BG3" s="50" t="s">
        <v>1</v>
      </c>
      <c r="BH3" s="50" t="s">
        <v>5</v>
      </c>
      <c r="BI3" s="50" t="s">
        <v>6</v>
      </c>
      <c r="BJ3" s="50" t="s">
        <v>7</v>
      </c>
      <c r="BK3" s="50" t="s">
        <v>8</v>
      </c>
      <c r="BL3" s="51" t="s">
        <v>9</v>
      </c>
      <c r="BM3" s="50" t="s">
        <v>10</v>
      </c>
      <c r="BN3" s="61"/>
      <c r="BO3" s="50" t="s">
        <v>0</v>
      </c>
      <c r="BP3" s="50" t="s">
        <v>191</v>
      </c>
      <c r="BQ3" s="50" t="s">
        <v>192</v>
      </c>
      <c r="BR3" s="50" t="s">
        <v>193</v>
      </c>
      <c r="BS3" s="50" t="s">
        <v>194</v>
      </c>
      <c r="BT3" s="50" t="s">
        <v>1</v>
      </c>
      <c r="BU3" s="50" t="s">
        <v>5</v>
      </c>
      <c r="BV3" s="50" t="s">
        <v>6</v>
      </c>
      <c r="BW3" s="50" t="s">
        <v>7</v>
      </c>
      <c r="BX3" s="50" t="s">
        <v>8</v>
      </c>
      <c r="BY3" s="50" t="s">
        <v>9</v>
      </c>
      <c r="BZ3" s="51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4A54D-97BE-4256-9E48-AAE342148804}">
  <sheetPr codeName="Sheet30"/>
  <dimension ref="B1:BZ3"/>
  <sheetViews>
    <sheetView zoomScaleNormal="100" workbookViewId="0">
      <pane xSplit="1" ySplit="3" topLeftCell="B4" activePane="bottomRight" state="frozen"/>
      <selection activeCell="I33" sqref="I33"/>
      <selection pane="topRight" activeCell="I33" sqref="I33"/>
      <selection pane="bottomLeft" activeCell="I33" sqref="I33"/>
      <selection pane="bottomRight" activeCell="B4" sqref="B4"/>
    </sheetView>
  </sheetViews>
  <sheetFormatPr defaultRowHeight="15" x14ac:dyDescent="0.25"/>
  <cols>
    <col min="2" max="2" width="12" customWidth="1"/>
    <col min="3" max="3" width="12.28515625" bestFit="1" customWidth="1"/>
    <col min="4" max="6" width="12.28515625" customWidth="1"/>
    <col min="7" max="7" width="12.42578125" customWidth="1"/>
    <col min="8" max="8" width="16.28515625" bestFit="1" customWidth="1"/>
    <col min="9" max="9" width="13.42578125" bestFit="1" customWidth="1"/>
    <col min="10" max="10" width="13.28515625" bestFit="1" customWidth="1"/>
    <col min="11" max="11" width="15.28515625" bestFit="1" customWidth="1"/>
    <col min="12" max="12" width="18.42578125" bestFit="1" customWidth="1"/>
    <col min="13" max="13" width="18.28515625" bestFit="1" customWidth="1"/>
    <col min="14" max="14" width="8.85546875" style="58"/>
    <col min="15" max="15" width="8.7109375" bestFit="1" customWidth="1"/>
    <col min="16" max="16" width="12.28515625" bestFit="1" customWidth="1"/>
    <col min="17" max="19" width="12.28515625" customWidth="1"/>
    <col min="20" max="20" width="12.42578125" bestFit="1" customWidth="1"/>
    <col min="21" max="21" width="16.28515625" bestFit="1" customWidth="1"/>
    <col min="22" max="22" width="13.42578125" bestFit="1" customWidth="1"/>
    <col min="23" max="23" width="13.28515625" bestFit="1" customWidth="1"/>
    <col min="24" max="24" width="15.28515625" bestFit="1" customWidth="1"/>
    <col min="25" max="25" width="18.42578125" customWidth="1"/>
    <col min="26" max="26" width="18.28515625" bestFit="1" customWidth="1"/>
    <col min="27" max="27" width="8.85546875" style="58"/>
    <col min="28" max="28" width="8.7109375" bestFit="1" customWidth="1"/>
    <col min="29" max="29" width="12.28515625" bestFit="1" customWidth="1"/>
    <col min="30" max="32" width="12.28515625" customWidth="1"/>
    <col min="33" max="33" width="12.42578125" bestFit="1" customWidth="1"/>
    <col min="34" max="34" width="16.28515625" bestFit="1" customWidth="1"/>
    <col min="35" max="35" width="13.42578125" bestFit="1" customWidth="1"/>
    <col min="36" max="36" width="13.28515625" bestFit="1" customWidth="1"/>
    <col min="37" max="37" width="15.28515625" bestFit="1" customWidth="1"/>
    <col min="38" max="38" width="18.42578125" bestFit="1" customWidth="1"/>
    <col min="39" max="39" width="18.28515625" bestFit="1" customWidth="1"/>
    <col min="40" max="40" width="8.85546875" style="58"/>
    <col min="41" max="41" width="8.7109375" bestFit="1" customWidth="1"/>
    <col min="42" max="42" width="12.28515625" bestFit="1" customWidth="1"/>
    <col min="43" max="45" width="12.28515625" customWidth="1"/>
    <col min="46" max="46" width="12.42578125" bestFit="1" customWidth="1"/>
    <col min="47" max="47" width="16.28515625" bestFit="1" customWidth="1"/>
    <col min="48" max="48" width="13.42578125" bestFit="1" customWidth="1"/>
    <col min="49" max="49" width="13.28515625" bestFit="1" customWidth="1"/>
    <col min="50" max="50" width="15.28515625" bestFit="1" customWidth="1"/>
    <col min="51" max="51" width="18.42578125" bestFit="1" customWidth="1"/>
    <col min="52" max="52" width="18.28515625" bestFit="1" customWidth="1"/>
    <col min="53" max="53" width="8.85546875" style="58"/>
    <col min="54" max="54" width="8.7109375" bestFit="1" customWidth="1"/>
    <col min="55" max="55" width="12.28515625" bestFit="1" customWidth="1"/>
    <col min="56" max="58" width="12.28515625" customWidth="1"/>
    <col min="59" max="59" width="12.42578125" bestFit="1" customWidth="1"/>
    <col min="60" max="60" width="16.28515625" bestFit="1" customWidth="1"/>
    <col min="61" max="61" width="13.42578125" bestFit="1" customWidth="1"/>
    <col min="62" max="62" width="13.28515625" bestFit="1" customWidth="1"/>
    <col min="63" max="63" width="15.28515625" bestFit="1" customWidth="1"/>
    <col min="64" max="64" width="18.42578125" bestFit="1" customWidth="1"/>
    <col min="65" max="65" width="18.28515625" bestFit="1" customWidth="1"/>
    <col min="66" max="66" width="8.85546875" style="58"/>
    <col min="67" max="67" width="8.7109375" bestFit="1" customWidth="1"/>
    <col min="68" max="68" width="12.28515625" bestFit="1" customWidth="1"/>
    <col min="69" max="71" width="12.28515625" customWidth="1"/>
    <col min="72" max="72" width="19.5703125" customWidth="1"/>
    <col min="73" max="73" width="16.28515625" bestFit="1" customWidth="1"/>
    <col min="74" max="74" width="13.42578125" bestFit="1" customWidth="1"/>
    <col min="75" max="75" width="13.28515625" bestFit="1" customWidth="1"/>
    <col min="76" max="76" width="15.28515625" bestFit="1" customWidth="1"/>
    <col min="77" max="77" width="18.42578125" bestFit="1" customWidth="1"/>
    <col min="78" max="78" width="18.28515625" bestFit="1" customWidth="1"/>
  </cols>
  <sheetData>
    <row r="1" spans="2:78" ht="23.25" x14ac:dyDescent="0.35">
      <c r="B1" s="49" t="s">
        <v>14</v>
      </c>
      <c r="C1" s="49"/>
      <c r="D1" s="49"/>
      <c r="E1" s="49"/>
      <c r="F1" s="49"/>
      <c r="O1" s="2"/>
      <c r="P1" s="2"/>
      <c r="Q1" s="2"/>
      <c r="R1" s="2"/>
      <c r="S1" s="2"/>
    </row>
    <row r="2" spans="2:78" x14ac:dyDescent="0.25">
      <c r="B2" s="5"/>
      <c r="C2" s="5"/>
      <c r="D2" s="5"/>
      <c r="E2" s="5"/>
      <c r="F2" s="5"/>
      <c r="G2" s="113" t="s">
        <v>38</v>
      </c>
      <c r="H2" s="113"/>
      <c r="I2" s="113"/>
      <c r="J2" s="113"/>
      <c r="K2" s="113"/>
      <c r="L2" s="113"/>
      <c r="O2" s="5"/>
      <c r="P2" s="5"/>
      <c r="Q2" s="5"/>
      <c r="R2" s="5"/>
      <c r="S2" s="5"/>
      <c r="T2" s="113" t="s">
        <v>38</v>
      </c>
      <c r="U2" s="113"/>
      <c r="V2" s="113"/>
      <c r="W2" s="113"/>
      <c r="X2" s="113"/>
      <c r="Y2" s="113"/>
      <c r="AB2" s="5"/>
      <c r="AC2" s="5"/>
      <c r="AD2" s="5"/>
      <c r="AE2" s="5"/>
      <c r="AF2" s="5"/>
      <c r="AG2" s="113" t="s">
        <v>38</v>
      </c>
      <c r="AH2" s="113"/>
      <c r="AI2" s="113"/>
      <c r="AJ2" s="113"/>
      <c r="AK2" s="113"/>
      <c r="AL2" s="113"/>
      <c r="AO2" s="5"/>
      <c r="AP2" s="5"/>
      <c r="AQ2" s="5"/>
      <c r="AR2" s="5"/>
      <c r="AS2" s="5"/>
      <c r="AT2" s="113" t="s">
        <v>38</v>
      </c>
      <c r="AU2" s="113"/>
      <c r="AV2" s="113"/>
      <c r="AW2" s="113"/>
      <c r="AX2" s="113"/>
      <c r="AY2" s="113"/>
      <c r="BB2" s="5"/>
      <c r="BC2" s="5"/>
      <c r="BD2" s="5"/>
      <c r="BE2" s="5"/>
      <c r="BF2" s="5"/>
      <c r="BG2" s="113" t="s">
        <v>38</v>
      </c>
      <c r="BH2" s="113"/>
      <c r="BI2" s="113"/>
      <c r="BJ2" s="113"/>
      <c r="BK2" s="113"/>
      <c r="BL2" s="113"/>
      <c r="BO2" s="5"/>
      <c r="BP2" s="5"/>
      <c r="BQ2" s="5"/>
      <c r="BR2" s="5"/>
      <c r="BS2" s="5"/>
      <c r="BT2" s="113" t="s">
        <v>38</v>
      </c>
      <c r="BU2" s="113"/>
      <c r="BV2" s="113"/>
      <c r="BW2" s="113"/>
      <c r="BX2" s="113"/>
      <c r="BY2" s="113"/>
    </row>
    <row r="3" spans="2:78" s="52" customFormat="1" ht="21.6" customHeight="1" x14ac:dyDescent="0.25">
      <c r="B3" s="50" t="s">
        <v>0</v>
      </c>
      <c r="C3" s="50" t="s">
        <v>191</v>
      </c>
      <c r="D3" s="50" t="s">
        <v>192</v>
      </c>
      <c r="E3" s="50" t="s">
        <v>193</v>
      </c>
      <c r="F3" s="50" t="s">
        <v>194</v>
      </c>
      <c r="G3" s="50" t="s">
        <v>1</v>
      </c>
      <c r="H3" s="51" t="s">
        <v>5</v>
      </c>
      <c r="I3" s="50" t="s">
        <v>6</v>
      </c>
      <c r="J3" s="50" t="s">
        <v>7</v>
      </c>
      <c r="K3" s="50" t="s">
        <v>8</v>
      </c>
      <c r="L3" s="50" t="s">
        <v>9</v>
      </c>
      <c r="M3" s="50" t="s">
        <v>10</v>
      </c>
      <c r="N3" s="60"/>
      <c r="O3" s="50" t="s">
        <v>0</v>
      </c>
      <c r="P3" s="50" t="s">
        <v>191</v>
      </c>
      <c r="Q3" s="50" t="s">
        <v>192</v>
      </c>
      <c r="R3" s="50" t="s">
        <v>193</v>
      </c>
      <c r="S3" s="50" t="s">
        <v>194</v>
      </c>
      <c r="T3" s="50" t="s">
        <v>1</v>
      </c>
      <c r="U3" s="50" t="s">
        <v>5</v>
      </c>
      <c r="V3" s="51" t="s">
        <v>6</v>
      </c>
      <c r="W3" s="50" t="s">
        <v>7</v>
      </c>
      <c r="X3" s="50" t="s">
        <v>8</v>
      </c>
      <c r="Y3" s="50" t="s">
        <v>9</v>
      </c>
      <c r="Z3" s="50" t="s">
        <v>10</v>
      </c>
      <c r="AA3" s="61"/>
      <c r="AB3" s="50" t="s">
        <v>0</v>
      </c>
      <c r="AC3" s="50" t="s">
        <v>191</v>
      </c>
      <c r="AD3" s="50" t="s">
        <v>192</v>
      </c>
      <c r="AE3" s="50" t="s">
        <v>193</v>
      </c>
      <c r="AF3" s="50" t="s">
        <v>194</v>
      </c>
      <c r="AG3" s="50" t="s">
        <v>1</v>
      </c>
      <c r="AH3" s="50" t="s">
        <v>5</v>
      </c>
      <c r="AI3" s="50" t="s">
        <v>6</v>
      </c>
      <c r="AJ3" s="51" t="s">
        <v>7</v>
      </c>
      <c r="AK3" s="50" t="s">
        <v>8</v>
      </c>
      <c r="AL3" s="50" t="s">
        <v>9</v>
      </c>
      <c r="AM3" s="50" t="s">
        <v>10</v>
      </c>
      <c r="AN3" s="61"/>
      <c r="AO3" s="50" t="s">
        <v>0</v>
      </c>
      <c r="AP3" s="50" t="s">
        <v>191</v>
      </c>
      <c r="AQ3" s="50" t="s">
        <v>192</v>
      </c>
      <c r="AR3" s="50" t="s">
        <v>193</v>
      </c>
      <c r="AS3" s="50" t="s">
        <v>194</v>
      </c>
      <c r="AT3" s="50" t="s">
        <v>1</v>
      </c>
      <c r="AU3" s="50" t="s">
        <v>5</v>
      </c>
      <c r="AV3" s="50" t="s">
        <v>6</v>
      </c>
      <c r="AW3" s="50" t="s">
        <v>7</v>
      </c>
      <c r="AX3" s="51" t="s">
        <v>8</v>
      </c>
      <c r="AY3" s="50" t="s">
        <v>9</v>
      </c>
      <c r="AZ3" s="50" t="s">
        <v>10</v>
      </c>
      <c r="BA3" s="61"/>
      <c r="BB3" s="50" t="s">
        <v>0</v>
      </c>
      <c r="BC3" s="50" t="s">
        <v>191</v>
      </c>
      <c r="BD3" s="50" t="s">
        <v>192</v>
      </c>
      <c r="BE3" s="50" t="s">
        <v>193</v>
      </c>
      <c r="BF3" s="50" t="s">
        <v>194</v>
      </c>
      <c r="BG3" s="50" t="s">
        <v>1</v>
      </c>
      <c r="BH3" s="50" t="s">
        <v>5</v>
      </c>
      <c r="BI3" s="50" t="s">
        <v>6</v>
      </c>
      <c r="BJ3" s="50" t="s">
        <v>7</v>
      </c>
      <c r="BK3" s="50" t="s">
        <v>8</v>
      </c>
      <c r="BL3" s="51" t="s">
        <v>9</v>
      </c>
      <c r="BM3" s="50" t="s">
        <v>10</v>
      </c>
      <c r="BN3" s="61"/>
      <c r="BO3" s="50" t="s">
        <v>0</v>
      </c>
      <c r="BP3" s="50" t="s">
        <v>191</v>
      </c>
      <c r="BQ3" s="50" t="s">
        <v>192</v>
      </c>
      <c r="BR3" s="50" t="s">
        <v>193</v>
      </c>
      <c r="BS3" s="50" t="s">
        <v>194</v>
      </c>
      <c r="BT3" s="50" t="s">
        <v>1</v>
      </c>
      <c r="BU3" s="50" t="s">
        <v>5</v>
      </c>
      <c r="BV3" s="50" t="s">
        <v>6</v>
      </c>
      <c r="BW3" s="50" t="s">
        <v>7</v>
      </c>
      <c r="BX3" s="50" t="s">
        <v>8</v>
      </c>
      <c r="BY3" s="50" t="s">
        <v>9</v>
      </c>
      <c r="BZ3" s="51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9D448-A38E-4737-B417-4C8828903A2E}">
  <sheetPr codeName="Sheet50"/>
  <dimension ref="B1:BZ3"/>
  <sheetViews>
    <sheetView zoomScaleNormal="100" workbookViewId="0">
      <pane xSplit="1" ySplit="3" topLeftCell="B4" activePane="bottomRight" state="frozen"/>
      <selection activeCell="I33" sqref="I33"/>
      <selection pane="topRight" activeCell="I33" sqref="I33"/>
      <selection pane="bottomLeft" activeCell="I33" sqref="I33"/>
      <selection pane="bottomRight" activeCell="B4" sqref="B4"/>
    </sheetView>
  </sheetViews>
  <sheetFormatPr defaultRowHeight="15" x14ac:dyDescent="0.25"/>
  <cols>
    <col min="2" max="2" width="12" customWidth="1"/>
    <col min="3" max="3" width="12.28515625" bestFit="1" customWidth="1"/>
    <col min="4" max="6" width="12.28515625" customWidth="1"/>
    <col min="7" max="7" width="12.42578125" customWidth="1"/>
    <col min="8" max="8" width="16.28515625" bestFit="1" customWidth="1"/>
    <col min="9" max="9" width="13.42578125" bestFit="1" customWidth="1"/>
    <col min="10" max="10" width="13.28515625" bestFit="1" customWidth="1"/>
    <col min="11" max="11" width="15.28515625" bestFit="1" customWidth="1"/>
    <col min="12" max="12" width="18.42578125" bestFit="1" customWidth="1"/>
    <col min="13" max="13" width="18.28515625" bestFit="1" customWidth="1"/>
    <col min="14" max="14" width="8.85546875" style="58"/>
    <col min="15" max="15" width="8.7109375" bestFit="1" customWidth="1"/>
    <col min="16" max="16" width="12.28515625" bestFit="1" customWidth="1"/>
    <col min="17" max="19" width="12.28515625" customWidth="1"/>
    <col min="20" max="20" width="12.42578125" bestFit="1" customWidth="1"/>
    <col min="21" max="21" width="16.28515625" bestFit="1" customWidth="1"/>
    <col min="22" max="22" width="13.42578125" bestFit="1" customWidth="1"/>
    <col min="23" max="23" width="13.28515625" bestFit="1" customWidth="1"/>
    <col min="24" max="24" width="15.28515625" bestFit="1" customWidth="1"/>
    <col min="25" max="25" width="18.42578125" customWidth="1"/>
    <col min="26" max="26" width="18.28515625" bestFit="1" customWidth="1"/>
    <col min="27" max="27" width="8.85546875" style="58"/>
    <col min="28" max="28" width="8.7109375" bestFit="1" customWidth="1"/>
    <col min="29" max="29" width="12.28515625" bestFit="1" customWidth="1"/>
    <col min="30" max="32" width="12.28515625" customWidth="1"/>
    <col min="33" max="33" width="12.42578125" bestFit="1" customWidth="1"/>
    <col min="34" max="34" width="16.28515625" bestFit="1" customWidth="1"/>
    <col min="35" max="35" width="13.42578125" bestFit="1" customWidth="1"/>
    <col min="36" max="36" width="13.28515625" bestFit="1" customWidth="1"/>
    <col min="37" max="37" width="15.28515625" bestFit="1" customWidth="1"/>
    <col min="38" max="38" width="18.42578125" bestFit="1" customWidth="1"/>
    <col min="39" max="39" width="18.28515625" bestFit="1" customWidth="1"/>
    <col min="40" max="40" width="8.85546875" style="58"/>
    <col min="41" max="41" width="8.7109375" bestFit="1" customWidth="1"/>
    <col min="42" max="42" width="12.28515625" bestFit="1" customWidth="1"/>
    <col min="43" max="45" width="12.28515625" customWidth="1"/>
    <col min="46" max="46" width="12.42578125" bestFit="1" customWidth="1"/>
    <col min="47" max="47" width="16.28515625" bestFit="1" customWidth="1"/>
    <col min="48" max="48" width="13.42578125" bestFit="1" customWidth="1"/>
    <col min="49" max="49" width="13.28515625" bestFit="1" customWidth="1"/>
    <col min="50" max="50" width="15.28515625" bestFit="1" customWidth="1"/>
    <col min="51" max="51" width="18.42578125" bestFit="1" customWidth="1"/>
    <col min="52" max="52" width="18.28515625" bestFit="1" customWidth="1"/>
    <col min="53" max="53" width="8.85546875" style="58"/>
    <col min="54" max="54" width="8.7109375" bestFit="1" customWidth="1"/>
    <col min="55" max="55" width="12.28515625" bestFit="1" customWidth="1"/>
    <col min="56" max="58" width="12.28515625" customWidth="1"/>
    <col min="59" max="59" width="12.42578125" bestFit="1" customWidth="1"/>
    <col min="60" max="60" width="16.28515625" bestFit="1" customWidth="1"/>
    <col min="61" max="61" width="13.42578125" bestFit="1" customWidth="1"/>
    <col min="62" max="62" width="13.28515625" bestFit="1" customWidth="1"/>
    <col min="63" max="63" width="15.28515625" bestFit="1" customWidth="1"/>
    <col min="64" max="64" width="18.42578125" bestFit="1" customWidth="1"/>
    <col min="65" max="65" width="18.28515625" bestFit="1" customWidth="1"/>
    <col min="66" max="66" width="8.85546875" style="58"/>
    <col min="67" max="67" width="8.7109375" bestFit="1" customWidth="1"/>
    <col min="68" max="68" width="12.28515625" bestFit="1" customWidth="1"/>
    <col min="69" max="71" width="12.28515625" customWidth="1"/>
    <col min="72" max="72" width="19.5703125" customWidth="1"/>
    <col min="73" max="73" width="16.28515625" bestFit="1" customWidth="1"/>
    <col min="74" max="74" width="13.42578125" bestFit="1" customWidth="1"/>
    <col min="75" max="75" width="13.28515625" bestFit="1" customWidth="1"/>
    <col min="76" max="76" width="15.28515625" bestFit="1" customWidth="1"/>
    <col min="77" max="77" width="18.42578125" bestFit="1" customWidth="1"/>
    <col min="78" max="78" width="18.28515625" bestFit="1" customWidth="1"/>
  </cols>
  <sheetData>
    <row r="1" spans="2:78" ht="23.25" x14ac:dyDescent="0.35">
      <c r="B1" s="49" t="s">
        <v>14</v>
      </c>
      <c r="C1" s="49"/>
      <c r="D1" s="49"/>
      <c r="E1" s="49"/>
      <c r="F1" s="49"/>
      <c r="O1" s="2"/>
      <c r="P1" s="2"/>
      <c r="Q1" s="2"/>
      <c r="R1" s="2"/>
      <c r="S1" s="2"/>
    </row>
    <row r="2" spans="2:78" x14ac:dyDescent="0.25">
      <c r="B2" s="5"/>
      <c r="C2" s="5"/>
      <c r="D2" s="5"/>
      <c r="E2" s="5"/>
      <c r="F2" s="5"/>
      <c r="G2" s="113" t="s">
        <v>38</v>
      </c>
      <c r="H2" s="113"/>
      <c r="I2" s="113"/>
      <c r="J2" s="113"/>
      <c r="K2" s="113"/>
      <c r="L2" s="113"/>
      <c r="O2" s="5"/>
      <c r="P2" s="5"/>
      <c r="Q2" s="5"/>
      <c r="R2" s="5"/>
      <c r="S2" s="5"/>
      <c r="T2" s="113" t="s">
        <v>38</v>
      </c>
      <c r="U2" s="113"/>
      <c r="V2" s="113"/>
      <c r="W2" s="113"/>
      <c r="X2" s="113"/>
      <c r="Y2" s="113"/>
      <c r="AB2" s="5"/>
      <c r="AC2" s="5"/>
      <c r="AD2" s="5"/>
      <c r="AE2" s="5"/>
      <c r="AF2" s="5"/>
      <c r="AG2" s="113" t="s">
        <v>38</v>
      </c>
      <c r="AH2" s="113"/>
      <c r="AI2" s="113"/>
      <c r="AJ2" s="113"/>
      <c r="AK2" s="113"/>
      <c r="AL2" s="113"/>
      <c r="AO2" s="5"/>
      <c r="AP2" s="5"/>
      <c r="AQ2" s="5"/>
      <c r="AR2" s="5"/>
      <c r="AS2" s="5"/>
      <c r="AT2" s="113" t="s">
        <v>38</v>
      </c>
      <c r="AU2" s="113"/>
      <c r="AV2" s="113"/>
      <c r="AW2" s="113"/>
      <c r="AX2" s="113"/>
      <c r="AY2" s="113"/>
      <c r="BB2" s="5"/>
      <c r="BC2" s="5"/>
      <c r="BD2" s="5"/>
      <c r="BE2" s="5"/>
      <c r="BF2" s="5"/>
      <c r="BG2" s="113" t="s">
        <v>38</v>
      </c>
      <c r="BH2" s="113"/>
      <c r="BI2" s="113"/>
      <c r="BJ2" s="113"/>
      <c r="BK2" s="113"/>
      <c r="BL2" s="113"/>
      <c r="BO2" s="5"/>
      <c r="BP2" s="5"/>
      <c r="BQ2" s="5"/>
      <c r="BR2" s="5"/>
      <c r="BS2" s="5"/>
      <c r="BT2" s="113" t="s">
        <v>38</v>
      </c>
      <c r="BU2" s="113"/>
      <c r="BV2" s="113"/>
      <c r="BW2" s="113"/>
      <c r="BX2" s="113"/>
      <c r="BY2" s="113"/>
    </row>
    <row r="3" spans="2:78" s="52" customFormat="1" ht="21.6" customHeight="1" x14ac:dyDescent="0.25">
      <c r="B3" s="50" t="s">
        <v>0</v>
      </c>
      <c r="C3" s="50" t="s">
        <v>191</v>
      </c>
      <c r="D3" s="50" t="s">
        <v>192</v>
      </c>
      <c r="E3" s="50" t="s">
        <v>193</v>
      </c>
      <c r="F3" s="50" t="s">
        <v>194</v>
      </c>
      <c r="G3" s="50" t="s">
        <v>1</v>
      </c>
      <c r="H3" s="51" t="s">
        <v>5</v>
      </c>
      <c r="I3" s="50" t="s">
        <v>6</v>
      </c>
      <c r="J3" s="50" t="s">
        <v>7</v>
      </c>
      <c r="K3" s="50" t="s">
        <v>8</v>
      </c>
      <c r="L3" s="50" t="s">
        <v>9</v>
      </c>
      <c r="M3" s="50" t="s">
        <v>10</v>
      </c>
      <c r="N3" s="60"/>
      <c r="O3" s="50" t="s">
        <v>0</v>
      </c>
      <c r="P3" s="50" t="s">
        <v>191</v>
      </c>
      <c r="Q3" s="50" t="s">
        <v>192</v>
      </c>
      <c r="R3" s="50" t="s">
        <v>193</v>
      </c>
      <c r="S3" s="50" t="s">
        <v>194</v>
      </c>
      <c r="T3" s="50" t="s">
        <v>1</v>
      </c>
      <c r="U3" s="50" t="s">
        <v>5</v>
      </c>
      <c r="V3" s="51" t="s">
        <v>6</v>
      </c>
      <c r="W3" s="50" t="s">
        <v>7</v>
      </c>
      <c r="X3" s="50" t="s">
        <v>8</v>
      </c>
      <c r="Y3" s="50" t="s">
        <v>9</v>
      </c>
      <c r="Z3" s="50" t="s">
        <v>10</v>
      </c>
      <c r="AA3" s="61"/>
      <c r="AB3" s="50" t="s">
        <v>0</v>
      </c>
      <c r="AC3" s="50" t="s">
        <v>191</v>
      </c>
      <c r="AD3" s="50" t="s">
        <v>192</v>
      </c>
      <c r="AE3" s="50" t="s">
        <v>193</v>
      </c>
      <c r="AF3" s="50" t="s">
        <v>194</v>
      </c>
      <c r="AG3" s="50" t="s">
        <v>1</v>
      </c>
      <c r="AH3" s="50" t="s">
        <v>5</v>
      </c>
      <c r="AI3" s="50" t="s">
        <v>6</v>
      </c>
      <c r="AJ3" s="51" t="s">
        <v>7</v>
      </c>
      <c r="AK3" s="50" t="s">
        <v>8</v>
      </c>
      <c r="AL3" s="50" t="s">
        <v>9</v>
      </c>
      <c r="AM3" s="50" t="s">
        <v>10</v>
      </c>
      <c r="AN3" s="61"/>
      <c r="AO3" s="50" t="s">
        <v>0</v>
      </c>
      <c r="AP3" s="50" t="s">
        <v>191</v>
      </c>
      <c r="AQ3" s="50" t="s">
        <v>192</v>
      </c>
      <c r="AR3" s="50" t="s">
        <v>193</v>
      </c>
      <c r="AS3" s="50" t="s">
        <v>194</v>
      </c>
      <c r="AT3" s="50" t="s">
        <v>1</v>
      </c>
      <c r="AU3" s="50" t="s">
        <v>5</v>
      </c>
      <c r="AV3" s="50" t="s">
        <v>6</v>
      </c>
      <c r="AW3" s="50" t="s">
        <v>7</v>
      </c>
      <c r="AX3" s="51" t="s">
        <v>8</v>
      </c>
      <c r="AY3" s="50" t="s">
        <v>9</v>
      </c>
      <c r="AZ3" s="50" t="s">
        <v>10</v>
      </c>
      <c r="BA3" s="61"/>
      <c r="BB3" s="50" t="s">
        <v>0</v>
      </c>
      <c r="BC3" s="50" t="s">
        <v>191</v>
      </c>
      <c r="BD3" s="50" t="s">
        <v>192</v>
      </c>
      <c r="BE3" s="50" t="s">
        <v>193</v>
      </c>
      <c r="BF3" s="50" t="s">
        <v>194</v>
      </c>
      <c r="BG3" s="50" t="s">
        <v>1</v>
      </c>
      <c r="BH3" s="50" t="s">
        <v>5</v>
      </c>
      <c r="BI3" s="50" t="s">
        <v>6</v>
      </c>
      <c r="BJ3" s="50" t="s">
        <v>7</v>
      </c>
      <c r="BK3" s="50" t="s">
        <v>8</v>
      </c>
      <c r="BL3" s="51" t="s">
        <v>9</v>
      </c>
      <c r="BM3" s="50" t="s">
        <v>10</v>
      </c>
      <c r="BN3" s="61"/>
      <c r="BO3" s="50" t="s">
        <v>0</v>
      </c>
      <c r="BP3" s="50" t="s">
        <v>191</v>
      </c>
      <c r="BQ3" s="50" t="s">
        <v>192</v>
      </c>
      <c r="BR3" s="50" t="s">
        <v>193</v>
      </c>
      <c r="BS3" s="50" t="s">
        <v>194</v>
      </c>
      <c r="BT3" s="50" t="s">
        <v>1</v>
      </c>
      <c r="BU3" s="50" t="s">
        <v>5</v>
      </c>
      <c r="BV3" s="50" t="s">
        <v>6</v>
      </c>
      <c r="BW3" s="50" t="s">
        <v>7</v>
      </c>
      <c r="BX3" s="50" t="s">
        <v>8</v>
      </c>
      <c r="BY3" s="50" t="s">
        <v>9</v>
      </c>
      <c r="BZ3" s="51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4B63-94FD-4BB2-ACCD-EBD09BFFD18C}">
  <sheetPr codeName="Sheet51"/>
  <dimension ref="B1:BZ3"/>
  <sheetViews>
    <sheetView zoomScaleNormal="100" workbookViewId="0">
      <pane xSplit="1" ySplit="3" topLeftCell="B4" activePane="bottomRight" state="frozen"/>
      <selection activeCell="I33" sqref="I33"/>
      <selection pane="topRight" activeCell="I33" sqref="I33"/>
      <selection pane="bottomLeft" activeCell="I33" sqref="I33"/>
      <selection pane="bottomRight" activeCell="B4" sqref="B4"/>
    </sheetView>
  </sheetViews>
  <sheetFormatPr defaultRowHeight="15" x14ac:dyDescent="0.25"/>
  <cols>
    <col min="2" max="2" width="12" customWidth="1"/>
    <col min="3" max="3" width="12.28515625" bestFit="1" customWidth="1"/>
    <col min="4" max="6" width="12.28515625" customWidth="1"/>
    <col min="7" max="7" width="12.42578125" customWidth="1"/>
    <col min="8" max="8" width="16.28515625" bestFit="1" customWidth="1"/>
    <col min="9" max="9" width="13.42578125" bestFit="1" customWidth="1"/>
    <col min="10" max="10" width="13.28515625" bestFit="1" customWidth="1"/>
    <col min="11" max="11" width="15.28515625" bestFit="1" customWidth="1"/>
    <col min="12" max="12" width="18.42578125" bestFit="1" customWidth="1"/>
    <col min="13" max="13" width="18.28515625" bestFit="1" customWidth="1"/>
    <col min="14" max="14" width="8.85546875" style="58"/>
    <col min="15" max="15" width="8.7109375" bestFit="1" customWidth="1"/>
    <col min="16" max="16" width="12.28515625" bestFit="1" customWidth="1"/>
    <col min="17" max="19" width="12.28515625" customWidth="1"/>
    <col min="20" max="20" width="12.42578125" bestFit="1" customWidth="1"/>
    <col min="21" max="21" width="16.28515625" bestFit="1" customWidth="1"/>
    <col min="22" max="22" width="13.42578125" bestFit="1" customWidth="1"/>
    <col min="23" max="23" width="13.28515625" bestFit="1" customWidth="1"/>
    <col min="24" max="24" width="15.28515625" bestFit="1" customWidth="1"/>
    <col min="25" max="25" width="18.42578125" customWidth="1"/>
    <col min="26" max="26" width="18.28515625" bestFit="1" customWidth="1"/>
    <col min="27" max="27" width="8.85546875" style="58"/>
    <col min="28" max="28" width="8.7109375" bestFit="1" customWidth="1"/>
    <col min="29" max="29" width="12.28515625" bestFit="1" customWidth="1"/>
    <col min="30" max="32" width="12.28515625" customWidth="1"/>
    <col min="33" max="33" width="12.42578125" bestFit="1" customWidth="1"/>
    <col min="34" max="34" width="16.28515625" bestFit="1" customWidth="1"/>
    <col min="35" max="35" width="13.42578125" bestFit="1" customWidth="1"/>
    <col min="36" max="36" width="13.28515625" bestFit="1" customWidth="1"/>
    <col min="37" max="37" width="15.28515625" bestFit="1" customWidth="1"/>
    <col min="38" max="38" width="18.42578125" bestFit="1" customWidth="1"/>
    <col min="39" max="39" width="18.28515625" bestFit="1" customWidth="1"/>
    <col min="40" max="40" width="8.85546875" style="58"/>
    <col min="41" max="41" width="8.7109375" bestFit="1" customWidth="1"/>
    <col min="42" max="42" width="12.28515625" bestFit="1" customWidth="1"/>
    <col min="43" max="45" width="12.28515625" customWidth="1"/>
    <col min="46" max="46" width="12.42578125" bestFit="1" customWidth="1"/>
    <col min="47" max="47" width="16.28515625" bestFit="1" customWidth="1"/>
    <col min="48" max="48" width="13.42578125" bestFit="1" customWidth="1"/>
    <col min="49" max="49" width="13.28515625" bestFit="1" customWidth="1"/>
    <col min="50" max="50" width="15.28515625" bestFit="1" customWidth="1"/>
    <col min="51" max="51" width="18.42578125" bestFit="1" customWidth="1"/>
    <col min="52" max="52" width="18.28515625" bestFit="1" customWidth="1"/>
    <col min="53" max="53" width="8.85546875" style="58"/>
    <col min="54" max="54" width="8.7109375" bestFit="1" customWidth="1"/>
    <col min="55" max="55" width="12.28515625" bestFit="1" customWidth="1"/>
    <col min="56" max="58" width="12.28515625" customWidth="1"/>
    <col min="59" max="59" width="12.42578125" bestFit="1" customWidth="1"/>
    <col min="60" max="60" width="16.28515625" bestFit="1" customWidth="1"/>
    <col min="61" max="61" width="13.42578125" bestFit="1" customWidth="1"/>
    <col min="62" max="62" width="13.28515625" bestFit="1" customWidth="1"/>
    <col min="63" max="63" width="15.28515625" bestFit="1" customWidth="1"/>
    <col min="64" max="64" width="18.42578125" bestFit="1" customWidth="1"/>
    <col min="65" max="65" width="18.28515625" bestFit="1" customWidth="1"/>
    <col min="66" max="66" width="8.85546875" style="58"/>
    <col min="67" max="67" width="8.7109375" bestFit="1" customWidth="1"/>
    <col min="68" max="68" width="12.28515625" bestFit="1" customWidth="1"/>
    <col min="69" max="71" width="12.28515625" customWidth="1"/>
    <col min="72" max="72" width="19.5703125" customWidth="1"/>
    <col min="73" max="73" width="16.28515625" bestFit="1" customWidth="1"/>
    <col min="74" max="74" width="13.42578125" bestFit="1" customWidth="1"/>
    <col min="75" max="75" width="13.28515625" bestFit="1" customWidth="1"/>
    <col min="76" max="76" width="15.28515625" bestFit="1" customWidth="1"/>
    <col min="77" max="77" width="18.42578125" bestFit="1" customWidth="1"/>
    <col min="78" max="78" width="18.28515625" bestFit="1" customWidth="1"/>
  </cols>
  <sheetData>
    <row r="1" spans="2:78" ht="23.25" x14ac:dyDescent="0.35">
      <c r="B1" s="49" t="s">
        <v>14</v>
      </c>
      <c r="C1" s="49"/>
      <c r="D1" s="49"/>
      <c r="E1" s="49"/>
      <c r="F1" s="49"/>
      <c r="O1" s="2"/>
      <c r="P1" s="2"/>
      <c r="Q1" s="2"/>
      <c r="R1" s="2"/>
      <c r="S1" s="2"/>
    </row>
    <row r="2" spans="2:78" x14ac:dyDescent="0.25">
      <c r="B2" s="5"/>
      <c r="C2" s="5"/>
      <c r="D2" s="5"/>
      <c r="E2" s="5"/>
      <c r="F2" s="5"/>
      <c r="G2" s="113" t="s">
        <v>38</v>
      </c>
      <c r="H2" s="113"/>
      <c r="I2" s="113"/>
      <c r="J2" s="113"/>
      <c r="K2" s="113"/>
      <c r="L2" s="113"/>
      <c r="O2" s="5"/>
      <c r="P2" s="5"/>
      <c r="Q2" s="5"/>
      <c r="R2" s="5"/>
      <c r="S2" s="5"/>
      <c r="T2" s="113" t="s">
        <v>38</v>
      </c>
      <c r="U2" s="113"/>
      <c r="V2" s="113"/>
      <c r="W2" s="113"/>
      <c r="X2" s="113"/>
      <c r="Y2" s="113"/>
      <c r="AB2" s="5"/>
      <c r="AC2" s="5"/>
      <c r="AD2" s="5"/>
      <c r="AE2" s="5"/>
      <c r="AF2" s="5"/>
      <c r="AG2" s="113" t="s">
        <v>38</v>
      </c>
      <c r="AH2" s="113"/>
      <c r="AI2" s="113"/>
      <c r="AJ2" s="113"/>
      <c r="AK2" s="113"/>
      <c r="AL2" s="113"/>
      <c r="AO2" s="5"/>
      <c r="AP2" s="5"/>
      <c r="AQ2" s="5"/>
      <c r="AR2" s="5"/>
      <c r="AS2" s="5"/>
      <c r="AT2" s="113" t="s">
        <v>38</v>
      </c>
      <c r="AU2" s="113"/>
      <c r="AV2" s="113"/>
      <c r="AW2" s="113"/>
      <c r="AX2" s="113"/>
      <c r="AY2" s="113"/>
      <c r="BB2" s="5"/>
      <c r="BC2" s="5"/>
      <c r="BD2" s="5"/>
      <c r="BE2" s="5"/>
      <c r="BF2" s="5"/>
      <c r="BG2" s="113" t="s">
        <v>38</v>
      </c>
      <c r="BH2" s="113"/>
      <c r="BI2" s="113"/>
      <c r="BJ2" s="113"/>
      <c r="BK2" s="113"/>
      <c r="BL2" s="113"/>
      <c r="BO2" s="5"/>
      <c r="BP2" s="5"/>
      <c r="BQ2" s="5"/>
      <c r="BR2" s="5"/>
      <c r="BS2" s="5"/>
      <c r="BT2" s="113" t="s">
        <v>38</v>
      </c>
      <c r="BU2" s="113"/>
      <c r="BV2" s="113"/>
      <c r="BW2" s="113"/>
      <c r="BX2" s="113"/>
      <c r="BY2" s="113"/>
    </row>
    <row r="3" spans="2:78" s="52" customFormat="1" ht="21.6" customHeight="1" x14ac:dyDescent="0.25">
      <c r="B3" s="50" t="s">
        <v>0</v>
      </c>
      <c r="C3" s="50" t="s">
        <v>191</v>
      </c>
      <c r="D3" s="50" t="s">
        <v>192</v>
      </c>
      <c r="E3" s="50" t="s">
        <v>193</v>
      </c>
      <c r="F3" s="50" t="s">
        <v>194</v>
      </c>
      <c r="G3" s="50" t="s">
        <v>1</v>
      </c>
      <c r="H3" s="51" t="s">
        <v>5</v>
      </c>
      <c r="I3" s="50" t="s">
        <v>6</v>
      </c>
      <c r="J3" s="50" t="s">
        <v>7</v>
      </c>
      <c r="K3" s="50" t="s">
        <v>8</v>
      </c>
      <c r="L3" s="50" t="s">
        <v>9</v>
      </c>
      <c r="M3" s="50" t="s">
        <v>10</v>
      </c>
      <c r="N3" s="60"/>
      <c r="O3" s="50" t="s">
        <v>0</v>
      </c>
      <c r="P3" s="50" t="s">
        <v>191</v>
      </c>
      <c r="Q3" s="50" t="s">
        <v>192</v>
      </c>
      <c r="R3" s="50" t="s">
        <v>193</v>
      </c>
      <c r="S3" s="50" t="s">
        <v>194</v>
      </c>
      <c r="T3" s="50" t="s">
        <v>1</v>
      </c>
      <c r="U3" s="50" t="s">
        <v>5</v>
      </c>
      <c r="V3" s="51" t="s">
        <v>6</v>
      </c>
      <c r="W3" s="50" t="s">
        <v>7</v>
      </c>
      <c r="X3" s="50" t="s">
        <v>8</v>
      </c>
      <c r="Y3" s="50" t="s">
        <v>9</v>
      </c>
      <c r="Z3" s="50" t="s">
        <v>10</v>
      </c>
      <c r="AA3" s="61"/>
      <c r="AB3" s="50" t="s">
        <v>0</v>
      </c>
      <c r="AC3" s="50" t="s">
        <v>191</v>
      </c>
      <c r="AD3" s="50" t="s">
        <v>192</v>
      </c>
      <c r="AE3" s="50" t="s">
        <v>193</v>
      </c>
      <c r="AF3" s="50" t="s">
        <v>194</v>
      </c>
      <c r="AG3" s="50" t="s">
        <v>1</v>
      </c>
      <c r="AH3" s="50" t="s">
        <v>5</v>
      </c>
      <c r="AI3" s="50" t="s">
        <v>6</v>
      </c>
      <c r="AJ3" s="51" t="s">
        <v>7</v>
      </c>
      <c r="AK3" s="50" t="s">
        <v>8</v>
      </c>
      <c r="AL3" s="50" t="s">
        <v>9</v>
      </c>
      <c r="AM3" s="50" t="s">
        <v>10</v>
      </c>
      <c r="AN3" s="61"/>
      <c r="AO3" s="50" t="s">
        <v>0</v>
      </c>
      <c r="AP3" s="50" t="s">
        <v>191</v>
      </c>
      <c r="AQ3" s="50" t="s">
        <v>192</v>
      </c>
      <c r="AR3" s="50" t="s">
        <v>193</v>
      </c>
      <c r="AS3" s="50" t="s">
        <v>194</v>
      </c>
      <c r="AT3" s="50" t="s">
        <v>1</v>
      </c>
      <c r="AU3" s="50" t="s">
        <v>5</v>
      </c>
      <c r="AV3" s="50" t="s">
        <v>6</v>
      </c>
      <c r="AW3" s="50" t="s">
        <v>7</v>
      </c>
      <c r="AX3" s="51" t="s">
        <v>8</v>
      </c>
      <c r="AY3" s="50" t="s">
        <v>9</v>
      </c>
      <c r="AZ3" s="50" t="s">
        <v>10</v>
      </c>
      <c r="BA3" s="61"/>
      <c r="BB3" s="50" t="s">
        <v>0</v>
      </c>
      <c r="BC3" s="50" t="s">
        <v>191</v>
      </c>
      <c r="BD3" s="50" t="s">
        <v>192</v>
      </c>
      <c r="BE3" s="50" t="s">
        <v>193</v>
      </c>
      <c r="BF3" s="50" t="s">
        <v>194</v>
      </c>
      <c r="BG3" s="50" t="s">
        <v>1</v>
      </c>
      <c r="BH3" s="50" t="s">
        <v>5</v>
      </c>
      <c r="BI3" s="50" t="s">
        <v>6</v>
      </c>
      <c r="BJ3" s="50" t="s">
        <v>7</v>
      </c>
      <c r="BK3" s="50" t="s">
        <v>8</v>
      </c>
      <c r="BL3" s="51" t="s">
        <v>9</v>
      </c>
      <c r="BM3" s="50" t="s">
        <v>10</v>
      </c>
      <c r="BN3" s="61"/>
      <c r="BO3" s="50" t="s">
        <v>0</v>
      </c>
      <c r="BP3" s="50" t="s">
        <v>191</v>
      </c>
      <c r="BQ3" s="50" t="s">
        <v>192</v>
      </c>
      <c r="BR3" s="50" t="s">
        <v>193</v>
      </c>
      <c r="BS3" s="50" t="s">
        <v>194</v>
      </c>
      <c r="BT3" s="50" t="s">
        <v>1</v>
      </c>
      <c r="BU3" s="50" t="s">
        <v>5</v>
      </c>
      <c r="BV3" s="50" t="s">
        <v>6</v>
      </c>
      <c r="BW3" s="50" t="s">
        <v>7</v>
      </c>
      <c r="BX3" s="50" t="s">
        <v>8</v>
      </c>
      <c r="BY3" s="50" t="s">
        <v>9</v>
      </c>
      <c r="BZ3" s="51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92DF7-363A-4499-9AF4-246ABFA73958}">
  <sheetPr codeName="Sheet21"/>
  <dimension ref="B1:BZ3"/>
  <sheetViews>
    <sheetView zoomScaleNormal="100" workbookViewId="0">
      <pane xSplit="1" ySplit="3" topLeftCell="B4" activePane="bottomRight" state="frozen"/>
      <selection activeCell="I33" sqref="I33"/>
      <selection pane="topRight" activeCell="I33" sqref="I33"/>
      <selection pane="bottomLeft" activeCell="I33" sqref="I33"/>
      <selection pane="bottomRight" activeCell="B4" sqref="B4"/>
    </sheetView>
  </sheetViews>
  <sheetFormatPr defaultRowHeight="15" x14ac:dyDescent="0.25"/>
  <cols>
    <col min="2" max="2" width="12" customWidth="1"/>
    <col min="3" max="3" width="12.28515625" bestFit="1" customWidth="1"/>
    <col min="4" max="6" width="12.28515625" customWidth="1"/>
    <col min="7" max="7" width="12.42578125" customWidth="1"/>
    <col min="8" max="8" width="16.28515625" bestFit="1" customWidth="1"/>
    <col min="9" max="9" width="13.42578125" bestFit="1" customWidth="1"/>
    <col min="10" max="10" width="13.28515625" bestFit="1" customWidth="1"/>
    <col min="11" max="11" width="15.28515625" bestFit="1" customWidth="1"/>
    <col min="12" max="12" width="18.42578125" bestFit="1" customWidth="1"/>
    <col min="13" max="13" width="18.28515625" bestFit="1" customWidth="1"/>
    <col min="14" max="14" width="8.85546875" style="58"/>
    <col min="15" max="15" width="8.7109375" bestFit="1" customWidth="1"/>
    <col min="16" max="16" width="12.28515625" bestFit="1" customWidth="1"/>
    <col min="17" max="19" width="12.28515625" customWidth="1"/>
    <col min="20" max="20" width="12.42578125" bestFit="1" customWidth="1"/>
    <col min="21" max="21" width="16.28515625" bestFit="1" customWidth="1"/>
    <col min="22" max="22" width="13.42578125" bestFit="1" customWidth="1"/>
    <col min="23" max="23" width="13.28515625" bestFit="1" customWidth="1"/>
    <col min="24" max="24" width="15.28515625" bestFit="1" customWidth="1"/>
    <col min="25" max="25" width="18.42578125" customWidth="1"/>
    <col min="26" max="26" width="18.28515625" bestFit="1" customWidth="1"/>
    <col min="27" max="27" width="8.85546875" style="58"/>
    <col min="28" max="28" width="8.7109375" bestFit="1" customWidth="1"/>
    <col min="29" max="29" width="12.28515625" bestFit="1" customWidth="1"/>
    <col min="30" max="32" width="12.28515625" customWidth="1"/>
    <col min="33" max="33" width="12.42578125" bestFit="1" customWidth="1"/>
    <col min="34" max="34" width="16.28515625" bestFit="1" customWidth="1"/>
    <col min="35" max="35" width="13.42578125" bestFit="1" customWidth="1"/>
    <col min="36" max="36" width="13.28515625" bestFit="1" customWidth="1"/>
    <col min="37" max="37" width="15.28515625" bestFit="1" customWidth="1"/>
    <col min="38" max="38" width="18.42578125" bestFit="1" customWidth="1"/>
    <col min="39" max="39" width="18.28515625" bestFit="1" customWidth="1"/>
    <col min="40" max="40" width="8.85546875" style="58"/>
    <col min="41" max="41" width="8.7109375" bestFit="1" customWidth="1"/>
    <col min="42" max="42" width="12.28515625" bestFit="1" customWidth="1"/>
    <col min="43" max="45" width="12.28515625" customWidth="1"/>
    <col min="46" max="46" width="12.42578125" bestFit="1" customWidth="1"/>
    <col min="47" max="47" width="16.28515625" bestFit="1" customWidth="1"/>
    <col min="48" max="48" width="13.42578125" bestFit="1" customWidth="1"/>
    <col min="49" max="49" width="13.28515625" bestFit="1" customWidth="1"/>
    <col min="50" max="50" width="15.28515625" bestFit="1" customWidth="1"/>
    <col min="51" max="51" width="18.42578125" bestFit="1" customWidth="1"/>
    <col min="52" max="52" width="18.28515625" bestFit="1" customWidth="1"/>
    <col min="53" max="53" width="8.85546875" style="58"/>
    <col min="54" max="54" width="8.7109375" bestFit="1" customWidth="1"/>
    <col min="55" max="55" width="12.28515625" bestFit="1" customWidth="1"/>
    <col min="56" max="58" width="12.28515625" customWidth="1"/>
    <col min="59" max="59" width="12.42578125" bestFit="1" customWidth="1"/>
    <col min="60" max="60" width="16.28515625" bestFit="1" customWidth="1"/>
    <col min="61" max="61" width="13.42578125" bestFit="1" customWidth="1"/>
    <col min="62" max="62" width="13.28515625" bestFit="1" customWidth="1"/>
    <col min="63" max="63" width="15.28515625" bestFit="1" customWidth="1"/>
    <col min="64" max="64" width="18.42578125" bestFit="1" customWidth="1"/>
    <col min="65" max="65" width="18.28515625" bestFit="1" customWidth="1"/>
    <col min="66" max="66" width="8.85546875" style="58"/>
    <col min="67" max="67" width="8.7109375" bestFit="1" customWidth="1"/>
    <col min="68" max="68" width="12.28515625" bestFit="1" customWidth="1"/>
    <col min="69" max="71" width="12.28515625" customWidth="1"/>
    <col min="72" max="72" width="12.42578125" bestFit="1" customWidth="1"/>
    <col min="73" max="73" width="16.28515625" bestFit="1" customWidth="1"/>
    <col min="74" max="74" width="13.42578125" bestFit="1" customWidth="1"/>
    <col min="75" max="75" width="13.28515625" bestFit="1" customWidth="1"/>
    <col min="76" max="76" width="15.28515625" bestFit="1" customWidth="1"/>
    <col min="77" max="77" width="18.42578125" bestFit="1" customWidth="1"/>
    <col min="78" max="78" width="18.28515625" bestFit="1" customWidth="1"/>
  </cols>
  <sheetData>
    <row r="1" spans="2:78" ht="23.25" x14ac:dyDescent="0.35">
      <c r="B1" s="49" t="s">
        <v>14</v>
      </c>
      <c r="C1" s="49"/>
      <c r="D1" s="49"/>
      <c r="E1" s="49"/>
      <c r="F1" s="49"/>
      <c r="O1" s="2"/>
      <c r="P1" s="2"/>
      <c r="Q1" s="2"/>
      <c r="R1" s="2"/>
      <c r="S1" s="2"/>
    </row>
    <row r="2" spans="2:78" x14ac:dyDescent="0.25">
      <c r="B2" s="5"/>
      <c r="C2" s="5"/>
      <c r="D2" s="5"/>
      <c r="E2" s="5"/>
      <c r="F2" s="5"/>
      <c r="G2" s="113" t="s">
        <v>38</v>
      </c>
      <c r="H2" s="113"/>
      <c r="I2" s="113"/>
      <c r="J2" s="113"/>
      <c r="K2" s="113"/>
      <c r="L2" s="113"/>
      <c r="O2" s="5"/>
      <c r="P2" s="5"/>
      <c r="Q2" s="5"/>
      <c r="R2" s="5"/>
      <c r="S2" s="5"/>
      <c r="T2" s="113" t="s">
        <v>38</v>
      </c>
      <c r="U2" s="113"/>
      <c r="V2" s="113"/>
      <c r="W2" s="113"/>
      <c r="X2" s="113"/>
      <c r="Y2" s="113"/>
      <c r="AB2" s="5"/>
      <c r="AC2" s="5"/>
      <c r="AD2" s="5"/>
      <c r="AE2" s="5"/>
      <c r="AF2" s="5"/>
      <c r="AG2" s="113" t="s">
        <v>38</v>
      </c>
      <c r="AH2" s="113"/>
      <c r="AI2" s="113"/>
      <c r="AJ2" s="113"/>
      <c r="AK2" s="113"/>
      <c r="AL2" s="113"/>
      <c r="AO2" s="5"/>
      <c r="AP2" s="5"/>
      <c r="AQ2" s="5"/>
      <c r="AR2" s="5"/>
      <c r="AS2" s="5"/>
      <c r="AT2" s="113" t="s">
        <v>38</v>
      </c>
      <c r="AU2" s="113"/>
      <c r="AV2" s="113"/>
      <c r="AW2" s="113"/>
      <c r="AX2" s="113"/>
      <c r="AY2" s="113"/>
      <c r="BB2" s="5"/>
      <c r="BC2" s="5"/>
      <c r="BD2" s="5"/>
      <c r="BE2" s="5"/>
      <c r="BF2" s="5"/>
      <c r="BG2" s="113" t="s">
        <v>38</v>
      </c>
      <c r="BH2" s="113"/>
      <c r="BI2" s="113"/>
      <c r="BJ2" s="113"/>
      <c r="BK2" s="113"/>
      <c r="BL2" s="113"/>
      <c r="BO2" s="5"/>
      <c r="BP2" s="5"/>
      <c r="BQ2" s="5"/>
      <c r="BR2" s="5"/>
      <c r="BS2" s="5"/>
      <c r="BT2" s="113" t="s">
        <v>38</v>
      </c>
      <c r="BU2" s="113"/>
      <c r="BV2" s="113"/>
      <c r="BW2" s="113"/>
      <c r="BX2" s="113"/>
      <c r="BY2" s="113"/>
    </row>
    <row r="3" spans="2:78" s="52" customFormat="1" ht="21.6" customHeight="1" x14ac:dyDescent="0.25">
      <c r="B3" s="50" t="s">
        <v>0</v>
      </c>
      <c r="C3" s="50" t="s">
        <v>191</v>
      </c>
      <c r="D3" s="50" t="s">
        <v>192</v>
      </c>
      <c r="E3" s="50" t="s">
        <v>193</v>
      </c>
      <c r="F3" s="50" t="s">
        <v>194</v>
      </c>
      <c r="G3" s="50" t="s">
        <v>1</v>
      </c>
      <c r="H3" s="51" t="s">
        <v>5</v>
      </c>
      <c r="I3" s="50" t="s">
        <v>6</v>
      </c>
      <c r="J3" s="50" t="s">
        <v>7</v>
      </c>
      <c r="K3" s="50" t="s">
        <v>8</v>
      </c>
      <c r="L3" s="50" t="s">
        <v>9</v>
      </c>
      <c r="M3" s="50" t="s">
        <v>10</v>
      </c>
      <c r="N3" s="60"/>
      <c r="O3" s="50" t="s">
        <v>0</v>
      </c>
      <c r="P3" s="50" t="s">
        <v>191</v>
      </c>
      <c r="Q3" s="50" t="s">
        <v>192</v>
      </c>
      <c r="R3" s="50" t="s">
        <v>193</v>
      </c>
      <c r="S3" s="50" t="s">
        <v>194</v>
      </c>
      <c r="T3" s="50" t="s">
        <v>1</v>
      </c>
      <c r="U3" s="50" t="s">
        <v>5</v>
      </c>
      <c r="V3" s="51" t="s">
        <v>6</v>
      </c>
      <c r="W3" s="50" t="s">
        <v>7</v>
      </c>
      <c r="X3" s="50" t="s">
        <v>8</v>
      </c>
      <c r="Y3" s="50" t="s">
        <v>9</v>
      </c>
      <c r="Z3" s="50" t="s">
        <v>10</v>
      </c>
      <c r="AA3" s="61"/>
      <c r="AB3" s="50" t="s">
        <v>0</v>
      </c>
      <c r="AC3" s="50" t="s">
        <v>191</v>
      </c>
      <c r="AD3" s="50" t="s">
        <v>192</v>
      </c>
      <c r="AE3" s="50" t="s">
        <v>193</v>
      </c>
      <c r="AF3" s="50" t="s">
        <v>194</v>
      </c>
      <c r="AG3" s="50" t="s">
        <v>1</v>
      </c>
      <c r="AH3" s="50" t="s">
        <v>5</v>
      </c>
      <c r="AI3" s="50" t="s">
        <v>6</v>
      </c>
      <c r="AJ3" s="51" t="s">
        <v>7</v>
      </c>
      <c r="AK3" s="50" t="s">
        <v>8</v>
      </c>
      <c r="AL3" s="50" t="s">
        <v>9</v>
      </c>
      <c r="AM3" s="50" t="s">
        <v>10</v>
      </c>
      <c r="AN3" s="61"/>
      <c r="AO3" s="50" t="s">
        <v>0</v>
      </c>
      <c r="AP3" s="50" t="s">
        <v>191</v>
      </c>
      <c r="AQ3" s="50" t="s">
        <v>192</v>
      </c>
      <c r="AR3" s="50" t="s">
        <v>193</v>
      </c>
      <c r="AS3" s="50" t="s">
        <v>194</v>
      </c>
      <c r="AT3" s="50" t="s">
        <v>1</v>
      </c>
      <c r="AU3" s="50" t="s">
        <v>5</v>
      </c>
      <c r="AV3" s="50" t="s">
        <v>6</v>
      </c>
      <c r="AW3" s="50" t="s">
        <v>7</v>
      </c>
      <c r="AX3" s="51" t="s">
        <v>8</v>
      </c>
      <c r="AY3" s="50" t="s">
        <v>9</v>
      </c>
      <c r="AZ3" s="50" t="s">
        <v>10</v>
      </c>
      <c r="BA3" s="61"/>
      <c r="BB3" s="50" t="s">
        <v>0</v>
      </c>
      <c r="BC3" s="50" t="s">
        <v>191</v>
      </c>
      <c r="BD3" s="50" t="s">
        <v>192</v>
      </c>
      <c r="BE3" s="50" t="s">
        <v>193</v>
      </c>
      <c r="BF3" s="50" t="s">
        <v>194</v>
      </c>
      <c r="BG3" s="50" t="s">
        <v>1</v>
      </c>
      <c r="BH3" s="50" t="s">
        <v>5</v>
      </c>
      <c r="BI3" s="50" t="s">
        <v>6</v>
      </c>
      <c r="BJ3" s="50" t="s">
        <v>7</v>
      </c>
      <c r="BK3" s="50" t="s">
        <v>8</v>
      </c>
      <c r="BL3" s="51" t="s">
        <v>9</v>
      </c>
      <c r="BM3" s="50" t="s">
        <v>10</v>
      </c>
      <c r="BN3" s="61"/>
      <c r="BO3" s="50" t="s">
        <v>0</v>
      </c>
      <c r="BP3" s="50" t="s">
        <v>191</v>
      </c>
      <c r="BQ3" s="50" t="s">
        <v>192</v>
      </c>
      <c r="BR3" s="50" t="s">
        <v>193</v>
      </c>
      <c r="BS3" s="50" t="s">
        <v>194</v>
      </c>
      <c r="BT3" s="50" t="s">
        <v>1</v>
      </c>
      <c r="BU3" s="50" t="s">
        <v>5</v>
      </c>
      <c r="BV3" s="50" t="s">
        <v>6</v>
      </c>
      <c r="BW3" s="50" t="s">
        <v>7</v>
      </c>
      <c r="BX3" s="50" t="s">
        <v>8</v>
      </c>
      <c r="BY3" s="50" t="s">
        <v>9</v>
      </c>
      <c r="BZ3" s="51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A2038-6725-4ADA-9535-654AB608837C}">
  <sheetPr codeName="Sheet22"/>
  <dimension ref="B1:BZ3"/>
  <sheetViews>
    <sheetView zoomScaleNormal="100" workbookViewId="0">
      <pane xSplit="1" ySplit="3" topLeftCell="B4" activePane="bottomRight" state="frozen"/>
      <selection activeCell="I33" sqref="I33"/>
      <selection pane="topRight" activeCell="I33" sqref="I33"/>
      <selection pane="bottomLeft" activeCell="I33" sqref="I33"/>
      <selection pane="bottomRight" activeCell="B4" sqref="B4"/>
    </sheetView>
  </sheetViews>
  <sheetFormatPr defaultRowHeight="15" x14ac:dyDescent="0.25"/>
  <cols>
    <col min="2" max="2" width="12" customWidth="1"/>
    <col min="3" max="3" width="12.28515625" bestFit="1" customWidth="1"/>
    <col min="4" max="6" width="12.28515625" customWidth="1"/>
    <col min="7" max="7" width="12.42578125" customWidth="1"/>
    <col min="8" max="8" width="16.28515625" bestFit="1" customWidth="1"/>
    <col min="9" max="9" width="13.42578125" bestFit="1" customWidth="1"/>
    <col min="10" max="10" width="13.28515625" bestFit="1" customWidth="1"/>
    <col min="11" max="11" width="15.28515625" bestFit="1" customWidth="1"/>
    <col min="12" max="12" width="18.42578125" bestFit="1" customWidth="1"/>
    <col min="13" max="13" width="18.28515625" bestFit="1" customWidth="1"/>
    <col min="14" max="14" width="8.85546875" style="58"/>
    <col min="15" max="15" width="8.7109375" bestFit="1" customWidth="1"/>
    <col min="16" max="16" width="12.28515625" bestFit="1" customWidth="1"/>
    <col min="17" max="19" width="12.28515625" customWidth="1"/>
    <col min="20" max="20" width="12.42578125" bestFit="1" customWidth="1"/>
    <col min="21" max="21" width="16.28515625" bestFit="1" customWidth="1"/>
    <col min="22" max="22" width="13.42578125" bestFit="1" customWidth="1"/>
    <col min="23" max="23" width="13.28515625" bestFit="1" customWidth="1"/>
    <col min="24" max="24" width="15.28515625" bestFit="1" customWidth="1"/>
    <col min="25" max="25" width="18.42578125" customWidth="1"/>
    <col min="26" max="26" width="18.28515625" bestFit="1" customWidth="1"/>
    <col min="27" max="27" width="8.85546875" style="58"/>
    <col min="28" max="28" width="8.7109375" bestFit="1" customWidth="1"/>
    <col min="29" max="29" width="12.28515625" bestFit="1" customWidth="1"/>
    <col min="30" max="32" width="12.28515625" customWidth="1"/>
    <col min="33" max="33" width="12.42578125" bestFit="1" customWidth="1"/>
    <col min="34" max="34" width="16.28515625" bestFit="1" customWidth="1"/>
    <col min="35" max="35" width="13.42578125" bestFit="1" customWidth="1"/>
    <col min="36" max="36" width="13.28515625" bestFit="1" customWidth="1"/>
    <col min="37" max="37" width="15.28515625" bestFit="1" customWidth="1"/>
    <col min="38" max="38" width="18.42578125" bestFit="1" customWidth="1"/>
    <col min="39" max="39" width="18.28515625" bestFit="1" customWidth="1"/>
    <col min="40" max="40" width="8.85546875" style="58"/>
    <col min="41" max="41" width="8.7109375" bestFit="1" customWidth="1"/>
    <col min="42" max="42" width="12.28515625" bestFit="1" customWidth="1"/>
    <col min="43" max="45" width="12.28515625" customWidth="1"/>
    <col min="46" max="46" width="12.42578125" bestFit="1" customWidth="1"/>
    <col min="47" max="47" width="16.28515625" bestFit="1" customWidth="1"/>
    <col min="48" max="48" width="13.42578125" bestFit="1" customWidth="1"/>
    <col min="49" max="49" width="13.28515625" bestFit="1" customWidth="1"/>
    <col min="50" max="50" width="15.28515625" bestFit="1" customWidth="1"/>
    <col min="51" max="51" width="18.42578125" bestFit="1" customWidth="1"/>
    <col min="52" max="52" width="18.28515625" bestFit="1" customWidth="1"/>
    <col min="53" max="53" width="8.85546875" style="58"/>
    <col min="54" max="54" width="8.7109375" bestFit="1" customWidth="1"/>
    <col min="55" max="55" width="12.28515625" bestFit="1" customWidth="1"/>
    <col min="56" max="58" width="12.28515625" customWidth="1"/>
    <col min="59" max="59" width="12.42578125" bestFit="1" customWidth="1"/>
    <col min="60" max="60" width="16.28515625" bestFit="1" customWidth="1"/>
    <col min="61" max="61" width="13.42578125" bestFit="1" customWidth="1"/>
    <col min="62" max="62" width="13.28515625" bestFit="1" customWidth="1"/>
    <col min="63" max="63" width="15.28515625" bestFit="1" customWidth="1"/>
    <col min="64" max="64" width="18.42578125" bestFit="1" customWidth="1"/>
    <col min="65" max="65" width="18.28515625" bestFit="1" customWidth="1"/>
    <col min="66" max="66" width="8.85546875" style="58"/>
    <col min="67" max="67" width="8.7109375" bestFit="1" customWidth="1"/>
    <col min="68" max="68" width="12.28515625" bestFit="1" customWidth="1"/>
    <col min="69" max="71" width="12.28515625" customWidth="1"/>
    <col min="72" max="72" width="12.42578125" bestFit="1" customWidth="1"/>
    <col min="73" max="73" width="16.28515625" bestFit="1" customWidth="1"/>
    <col min="74" max="74" width="13.42578125" bestFit="1" customWidth="1"/>
    <col min="75" max="75" width="13.28515625" bestFit="1" customWidth="1"/>
    <col min="76" max="76" width="15.28515625" bestFit="1" customWidth="1"/>
    <col min="77" max="77" width="18.42578125" bestFit="1" customWidth="1"/>
    <col min="78" max="78" width="18.28515625" bestFit="1" customWidth="1"/>
  </cols>
  <sheetData>
    <row r="1" spans="2:78" ht="23.25" x14ac:dyDescent="0.35">
      <c r="B1" s="49" t="s">
        <v>14</v>
      </c>
      <c r="C1" s="49"/>
      <c r="D1" s="49"/>
      <c r="E1" s="49"/>
      <c r="F1" s="49"/>
      <c r="O1" s="2"/>
      <c r="P1" s="2"/>
      <c r="Q1" s="2"/>
      <c r="R1" s="2"/>
      <c r="S1" s="2"/>
    </row>
    <row r="2" spans="2:78" x14ac:dyDescent="0.25">
      <c r="B2" s="5"/>
      <c r="C2" s="5"/>
      <c r="D2" s="5"/>
      <c r="E2" s="5"/>
      <c r="F2" s="5"/>
      <c r="G2" s="113" t="s">
        <v>38</v>
      </c>
      <c r="H2" s="113"/>
      <c r="I2" s="113"/>
      <c r="J2" s="113"/>
      <c r="K2" s="113"/>
      <c r="L2" s="113"/>
      <c r="O2" s="5"/>
      <c r="P2" s="5"/>
      <c r="Q2" s="5"/>
      <c r="R2" s="5"/>
      <c r="S2" s="5"/>
      <c r="T2" s="113" t="s">
        <v>38</v>
      </c>
      <c r="U2" s="113"/>
      <c r="V2" s="113"/>
      <c r="W2" s="113"/>
      <c r="X2" s="113"/>
      <c r="Y2" s="113"/>
      <c r="AB2" s="5"/>
      <c r="AC2" s="5"/>
      <c r="AD2" s="5"/>
      <c r="AE2" s="5"/>
      <c r="AF2" s="5"/>
      <c r="AG2" s="113" t="s">
        <v>38</v>
      </c>
      <c r="AH2" s="113"/>
      <c r="AI2" s="113"/>
      <c r="AJ2" s="113"/>
      <c r="AK2" s="113"/>
      <c r="AL2" s="113"/>
      <c r="AO2" s="5"/>
      <c r="AP2" s="5"/>
      <c r="AQ2" s="5"/>
      <c r="AR2" s="5"/>
      <c r="AS2" s="5"/>
      <c r="AT2" s="113" t="s">
        <v>38</v>
      </c>
      <c r="AU2" s="113"/>
      <c r="AV2" s="113"/>
      <c r="AW2" s="113"/>
      <c r="AX2" s="113"/>
      <c r="AY2" s="113"/>
      <c r="BB2" s="5"/>
      <c r="BC2" s="5"/>
      <c r="BD2" s="5"/>
      <c r="BE2" s="5"/>
      <c r="BF2" s="5"/>
      <c r="BG2" s="113" t="s">
        <v>38</v>
      </c>
      <c r="BH2" s="113"/>
      <c r="BI2" s="113"/>
      <c r="BJ2" s="113"/>
      <c r="BK2" s="113"/>
      <c r="BL2" s="113"/>
      <c r="BO2" s="5"/>
      <c r="BP2" s="5"/>
      <c r="BQ2" s="5"/>
      <c r="BR2" s="5"/>
      <c r="BS2" s="5"/>
      <c r="BT2" s="113" t="s">
        <v>38</v>
      </c>
      <c r="BU2" s="113"/>
      <c r="BV2" s="113"/>
      <c r="BW2" s="113"/>
      <c r="BX2" s="113"/>
      <c r="BY2" s="113"/>
    </row>
    <row r="3" spans="2:78" s="52" customFormat="1" ht="21.6" customHeight="1" x14ac:dyDescent="0.25">
      <c r="B3" s="50" t="s">
        <v>0</v>
      </c>
      <c r="C3" s="50" t="s">
        <v>191</v>
      </c>
      <c r="D3" s="50" t="s">
        <v>192</v>
      </c>
      <c r="E3" s="50" t="s">
        <v>193</v>
      </c>
      <c r="F3" s="50" t="s">
        <v>194</v>
      </c>
      <c r="G3" s="50" t="s">
        <v>1</v>
      </c>
      <c r="H3" s="51" t="s">
        <v>5</v>
      </c>
      <c r="I3" s="50" t="s">
        <v>6</v>
      </c>
      <c r="J3" s="50" t="s">
        <v>7</v>
      </c>
      <c r="K3" s="50" t="s">
        <v>8</v>
      </c>
      <c r="L3" s="50" t="s">
        <v>9</v>
      </c>
      <c r="M3" s="50" t="s">
        <v>10</v>
      </c>
      <c r="N3" s="60"/>
      <c r="O3" s="50" t="s">
        <v>0</v>
      </c>
      <c r="P3" s="50" t="s">
        <v>191</v>
      </c>
      <c r="Q3" s="50" t="s">
        <v>192</v>
      </c>
      <c r="R3" s="50" t="s">
        <v>193</v>
      </c>
      <c r="S3" s="50" t="s">
        <v>194</v>
      </c>
      <c r="T3" s="50" t="s">
        <v>1</v>
      </c>
      <c r="U3" s="50" t="s">
        <v>5</v>
      </c>
      <c r="V3" s="51" t="s">
        <v>6</v>
      </c>
      <c r="W3" s="50" t="s">
        <v>7</v>
      </c>
      <c r="X3" s="50" t="s">
        <v>8</v>
      </c>
      <c r="Y3" s="50" t="s">
        <v>9</v>
      </c>
      <c r="Z3" s="50" t="s">
        <v>10</v>
      </c>
      <c r="AA3" s="61"/>
      <c r="AB3" s="50" t="s">
        <v>0</v>
      </c>
      <c r="AC3" s="50" t="s">
        <v>191</v>
      </c>
      <c r="AD3" s="50" t="s">
        <v>192</v>
      </c>
      <c r="AE3" s="50" t="s">
        <v>193</v>
      </c>
      <c r="AF3" s="50" t="s">
        <v>194</v>
      </c>
      <c r="AG3" s="50" t="s">
        <v>1</v>
      </c>
      <c r="AH3" s="50" t="s">
        <v>5</v>
      </c>
      <c r="AI3" s="50" t="s">
        <v>6</v>
      </c>
      <c r="AJ3" s="51" t="s">
        <v>7</v>
      </c>
      <c r="AK3" s="50" t="s">
        <v>8</v>
      </c>
      <c r="AL3" s="50" t="s">
        <v>9</v>
      </c>
      <c r="AM3" s="50" t="s">
        <v>10</v>
      </c>
      <c r="AN3" s="61"/>
      <c r="AO3" s="50" t="s">
        <v>0</v>
      </c>
      <c r="AP3" s="50" t="s">
        <v>191</v>
      </c>
      <c r="AQ3" s="50" t="s">
        <v>192</v>
      </c>
      <c r="AR3" s="50" t="s">
        <v>193</v>
      </c>
      <c r="AS3" s="50" t="s">
        <v>194</v>
      </c>
      <c r="AT3" s="50" t="s">
        <v>1</v>
      </c>
      <c r="AU3" s="50" t="s">
        <v>5</v>
      </c>
      <c r="AV3" s="50" t="s">
        <v>6</v>
      </c>
      <c r="AW3" s="50" t="s">
        <v>7</v>
      </c>
      <c r="AX3" s="51" t="s">
        <v>8</v>
      </c>
      <c r="AY3" s="50" t="s">
        <v>9</v>
      </c>
      <c r="AZ3" s="50" t="s">
        <v>10</v>
      </c>
      <c r="BA3" s="61"/>
      <c r="BB3" s="50" t="s">
        <v>0</v>
      </c>
      <c r="BC3" s="50" t="s">
        <v>191</v>
      </c>
      <c r="BD3" s="50" t="s">
        <v>192</v>
      </c>
      <c r="BE3" s="50" t="s">
        <v>193</v>
      </c>
      <c r="BF3" s="50" t="s">
        <v>194</v>
      </c>
      <c r="BG3" s="50" t="s">
        <v>1</v>
      </c>
      <c r="BH3" s="50" t="s">
        <v>5</v>
      </c>
      <c r="BI3" s="50" t="s">
        <v>6</v>
      </c>
      <c r="BJ3" s="50" t="s">
        <v>7</v>
      </c>
      <c r="BK3" s="50" t="s">
        <v>8</v>
      </c>
      <c r="BL3" s="51" t="s">
        <v>9</v>
      </c>
      <c r="BM3" s="50" t="s">
        <v>10</v>
      </c>
      <c r="BN3" s="61"/>
      <c r="BO3" s="50" t="s">
        <v>0</v>
      </c>
      <c r="BP3" s="50" t="s">
        <v>191</v>
      </c>
      <c r="BQ3" s="50" t="s">
        <v>192</v>
      </c>
      <c r="BR3" s="50" t="s">
        <v>193</v>
      </c>
      <c r="BS3" s="50" t="s">
        <v>194</v>
      </c>
      <c r="BT3" s="50" t="s">
        <v>1</v>
      </c>
      <c r="BU3" s="50" t="s">
        <v>5</v>
      </c>
      <c r="BV3" s="50" t="s">
        <v>6</v>
      </c>
      <c r="BW3" s="50" t="s">
        <v>7</v>
      </c>
      <c r="BX3" s="50" t="s">
        <v>8</v>
      </c>
      <c r="BY3" s="50" t="s">
        <v>9</v>
      </c>
      <c r="BZ3" s="51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A02B7-39BB-4607-BBA7-9BBB69314FCB}">
  <sheetPr codeName="Sheet23"/>
  <dimension ref="B1:BZ3"/>
  <sheetViews>
    <sheetView zoomScaleNormal="100" workbookViewId="0">
      <pane xSplit="1" ySplit="3" topLeftCell="B4" activePane="bottomRight" state="frozen"/>
      <selection activeCell="I33" sqref="I33"/>
      <selection pane="topRight" activeCell="I33" sqref="I33"/>
      <selection pane="bottomLeft" activeCell="I33" sqref="I33"/>
      <selection pane="bottomRight" activeCell="B4" sqref="B4"/>
    </sheetView>
  </sheetViews>
  <sheetFormatPr defaultRowHeight="15" x14ac:dyDescent="0.25"/>
  <cols>
    <col min="2" max="2" width="12" customWidth="1"/>
    <col min="3" max="3" width="12.28515625" bestFit="1" customWidth="1"/>
    <col min="4" max="6" width="12.28515625" customWidth="1"/>
    <col min="7" max="7" width="12.42578125" customWidth="1"/>
    <col min="8" max="8" width="16.28515625" bestFit="1" customWidth="1"/>
    <col min="9" max="9" width="13.42578125" bestFit="1" customWidth="1"/>
    <col min="10" max="10" width="13.28515625" bestFit="1" customWidth="1"/>
    <col min="11" max="11" width="15.28515625" bestFit="1" customWidth="1"/>
    <col min="12" max="12" width="18.42578125" bestFit="1" customWidth="1"/>
    <col min="13" max="13" width="18.28515625" bestFit="1" customWidth="1"/>
    <col min="14" max="14" width="8.85546875" style="58"/>
    <col min="15" max="15" width="8.7109375" bestFit="1" customWidth="1"/>
    <col min="16" max="16" width="12.28515625" bestFit="1" customWidth="1"/>
    <col min="17" max="19" width="12.28515625" customWidth="1"/>
    <col min="20" max="20" width="12.42578125" bestFit="1" customWidth="1"/>
    <col min="21" max="21" width="16.28515625" bestFit="1" customWidth="1"/>
    <col min="22" max="22" width="13.42578125" bestFit="1" customWidth="1"/>
    <col min="23" max="23" width="13.28515625" bestFit="1" customWidth="1"/>
    <col min="24" max="24" width="15.28515625" bestFit="1" customWidth="1"/>
    <col min="25" max="25" width="18.42578125" customWidth="1"/>
    <col min="26" max="26" width="18.28515625" bestFit="1" customWidth="1"/>
    <col min="27" max="27" width="8.85546875" style="58"/>
    <col min="28" max="28" width="8.7109375" bestFit="1" customWidth="1"/>
    <col min="29" max="29" width="12.28515625" bestFit="1" customWidth="1"/>
    <col min="30" max="32" width="12.28515625" customWidth="1"/>
    <col min="33" max="33" width="12.42578125" bestFit="1" customWidth="1"/>
    <col min="34" max="34" width="16.28515625" bestFit="1" customWidth="1"/>
    <col min="35" max="35" width="13.42578125" bestFit="1" customWidth="1"/>
    <col min="36" max="36" width="13.28515625" bestFit="1" customWidth="1"/>
    <col min="37" max="37" width="15.28515625" bestFit="1" customWidth="1"/>
    <col min="38" max="38" width="18.42578125" bestFit="1" customWidth="1"/>
    <col min="39" max="39" width="18.28515625" bestFit="1" customWidth="1"/>
    <col min="40" max="40" width="8.85546875" style="58"/>
    <col min="41" max="41" width="8.7109375" bestFit="1" customWidth="1"/>
    <col min="42" max="42" width="12.28515625" bestFit="1" customWidth="1"/>
    <col min="43" max="45" width="12.28515625" customWidth="1"/>
    <col min="46" max="46" width="12.42578125" bestFit="1" customWidth="1"/>
    <col min="47" max="47" width="16.28515625" bestFit="1" customWidth="1"/>
    <col min="48" max="48" width="13.42578125" bestFit="1" customWidth="1"/>
    <col min="49" max="49" width="13.28515625" bestFit="1" customWidth="1"/>
    <col min="50" max="50" width="15.28515625" bestFit="1" customWidth="1"/>
    <col min="51" max="51" width="18.42578125" bestFit="1" customWidth="1"/>
    <col min="52" max="52" width="18.28515625" bestFit="1" customWidth="1"/>
    <col min="53" max="53" width="8.85546875" style="58"/>
    <col min="54" max="54" width="8.7109375" bestFit="1" customWidth="1"/>
    <col min="55" max="55" width="12.28515625" bestFit="1" customWidth="1"/>
    <col min="56" max="58" width="12.28515625" customWidth="1"/>
    <col min="59" max="59" width="12.42578125" bestFit="1" customWidth="1"/>
    <col min="60" max="60" width="16.28515625" bestFit="1" customWidth="1"/>
    <col min="61" max="61" width="13.42578125" bestFit="1" customWidth="1"/>
    <col min="62" max="62" width="13.28515625" bestFit="1" customWidth="1"/>
    <col min="63" max="63" width="15.28515625" bestFit="1" customWidth="1"/>
    <col min="64" max="64" width="18.42578125" bestFit="1" customWidth="1"/>
    <col min="65" max="65" width="18.28515625" bestFit="1" customWidth="1"/>
    <col min="66" max="66" width="8.85546875" style="58"/>
    <col min="67" max="67" width="8.7109375" bestFit="1" customWidth="1"/>
    <col min="68" max="68" width="12.28515625" bestFit="1" customWidth="1"/>
    <col min="69" max="71" width="12.28515625" customWidth="1"/>
    <col min="72" max="72" width="16.28515625" customWidth="1"/>
    <col min="73" max="73" width="16.28515625" bestFit="1" customWidth="1"/>
    <col min="74" max="74" width="13.42578125" bestFit="1" customWidth="1"/>
    <col min="75" max="75" width="13.28515625" bestFit="1" customWidth="1"/>
    <col min="76" max="76" width="15.28515625" bestFit="1" customWidth="1"/>
    <col min="77" max="77" width="18.42578125" bestFit="1" customWidth="1"/>
    <col min="78" max="78" width="18.28515625" bestFit="1" customWidth="1"/>
  </cols>
  <sheetData>
    <row r="1" spans="2:78" ht="23.25" x14ac:dyDescent="0.35">
      <c r="B1" s="49" t="s">
        <v>14</v>
      </c>
      <c r="C1" s="49"/>
      <c r="D1" s="49"/>
      <c r="E1" s="49"/>
      <c r="F1" s="49"/>
      <c r="O1" s="2"/>
      <c r="P1" s="2"/>
      <c r="Q1" s="2"/>
      <c r="R1" s="2"/>
      <c r="S1" s="2"/>
    </row>
    <row r="2" spans="2:78" x14ac:dyDescent="0.25">
      <c r="B2" s="5"/>
      <c r="C2" s="5"/>
      <c r="D2" s="5"/>
      <c r="E2" s="5"/>
      <c r="F2" s="5"/>
      <c r="G2" s="113" t="s">
        <v>38</v>
      </c>
      <c r="H2" s="113"/>
      <c r="I2" s="113"/>
      <c r="J2" s="113"/>
      <c r="K2" s="113"/>
      <c r="L2" s="113"/>
      <c r="O2" s="5"/>
      <c r="P2" s="5"/>
      <c r="Q2" s="5"/>
      <c r="R2" s="5"/>
      <c r="S2" s="5"/>
      <c r="T2" s="113" t="s">
        <v>38</v>
      </c>
      <c r="U2" s="113"/>
      <c r="V2" s="113"/>
      <c r="W2" s="113"/>
      <c r="X2" s="113"/>
      <c r="Y2" s="113"/>
      <c r="AB2" s="5"/>
      <c r="AC2" s="5"/>
      <c r="AD2" s="5"/>
      <c r="AE2" s="5"/>
      <c r="AF2" s="5"/>
      <c r="AG2" s="113" t="s">
        <v>38</v>
      </c>
      <c r="AH2" s="113"/>
      <c r="AI2" s="113"/>
      <c r="AJ2" s="113"/>
      <c r="AK2" s="113"/>
      <c r="AL2" s="113"/>
      <c r="AO2" s="5"/>
      <c r="AP2" s="5"/>
      <c r="AQ2" s="5"/>
      <c r="AR2" s="5"/>
      <c r="AS2" s="5"/>
      <c r="AT2" s="113" t="s">
        <v>38</v>
      </c>
      <c r="AU2" s="113"/>
      <c r="AV2" s="113"/>
      <c r="AW2" s="113"/>
      <c r="AX2" s="113"/>
      <c r="AY2" s="113"/>
      <c r="BB2" s="5"/>
      <c r="BC2" s="5"/>
      <c r="BD2" s="5"/>
      <c r="BE2" s="5"/>
      <c r="BF2" s="5"/>
      <c r="BG2" s="113" t="s">
        <v>38</v>
      </c>
      <c r="BH2" s="113"/>
      <c r="BI2" s="113"/>
      <c r="BJ2" s="113"/>
      <c r="BK2" s="113"/>
      <c r="BL2" s="113"/>
      <c r="BO2" s="5"/>
      <c r="BP2" s="5"/>
      <c r="BQ2" s="5"/>
      <c r="BR2" s="5"/>
      <c r="BS2" s="5"/>
      <c r="BT2" s="113" t="s">
        <v>38</v>
      </c>
      <c r="BU2" s="113"/>
      <c r="BV2" s="113"/>
      <c r="BW2" s="113"/>
      <c r="BX2" s="113"/>
      <c r="BY2" s="113"/>
    </row>
    <row r="3" spans="2:78" s="52" customFormat="1" ht="21.6" customHeight="1" x14ac:dyDescent="0.25">
      <c r="B3" s="50" t="s">
        <v>0</v>
      </c>
      <c r="C3" s="50" t="s">
        <v>191</v>
      </c>
      <c r="D3" s="50" t="s">
        <v>192</v>
      </c>
      <c r="E3" s="50" t="s">
        <v>193</v>
      </c>
      <c r="F3" s="50" t="s">
        <v>194</v>
      </c>
      <c r="G3" s="50" t="s">
        <v>1</v>
      </c>
      <c r="H3" s="51" t="s">
        <v>5</v>
      </c>
      <c r="I3" s="50" t="s">
        <v>6</v>
      </c>
      <c r="J3" s="50" t="s">
        <v>7</v>
      </c>
      <c r="K3" s="50" t="s">
        <v>8</v>
      </c>
      <c r="L3" s="50" t="s">
        <v>9</v>
      </c>
      <c r="M3" s="50" t="s">
        <v>10</v>
      </c>
      <c r="N3" s="60"/>
      <c r="O3" s="50" t="s">
        <v>0</v>
      </c>
      <c r="P3" s="50" t="s">
        <v>191</v>
      </c>
      <c r="Q3" s="50" t="s">
        <v>192</v>
      </c>
      <c r="R3" s="50" t="s">
        <v>193</v>
      </c>
      <c r="S3" s="50" t="s">
        <v>194</v>
      </c>
      <c r="T3" s="50" t="s">
        <v>1</v>
      </c>
      <c r="U3" s="50" t="s">
        <v>5</v>
      </c>
      <c r="V3" s="51" t="s">
        <v>6</v>
      </c>
      <c r="W3" s="50" t="s">
        <v>7</v>
      </c>
      <c r="X3" s="50" t="s">
        <v>8</v>
      </c>
      <c r="Y3" s="50" t="s">
        <v>9</v>
      </c>
      <c r="Z3" s="50" t="s">
        <v>10</v>
      </c>
      <c r="AA3" s="61"/>
      <c r="AB3" s="50" t="s">
        <v>0</v>
      </c>
      <c r="AC3" s="50" t="s">
        <v>191</v>
      </c>
      <c r="AD3" s="50" t="s">
        <v>192</v>
      </c>
      <c r="AE3" s="50" t="s">
        <v>193</v>
      </c>
      <c r="AF3" s="50" t="s">
        <v>194</v>
      </c>
      <c r="AG3" s="50" t="s">
        <v>1</v>
      </c>
      <c r="AH3" s="50" t="s">
        <v>5</v>
      </c>
      <c r="AI3" s="50" t="s">
        <v>6</v>
      </c>
      <c r="AJ3" s="51" t="s">
        <v>7</v>
      </c>
      <c r="AK3" s="50" t="s">
        <v>8</v>
      </c>
      <c r="AL3" s="50" t="s">
        <v>9</v>
      </c>
      <c r="AM3" s="50" t="s">
        <v>10</v>
      </c>
      <c r="AN3" s="61"/>
      <c r="AO3" s="50" t="s">
        <v>0</v>
      </c>
      <c r="AP3" s="50" t="s">
        <v>191</v>
      </c>
      <c r="AQ3" s="50" t="s">
        <v>192</v>
      </c>
      <c r="AR3" s="50" t="s">
        <v>193</v>
      </c>
      <c r="AS3" s="50" t="s">
        <v>194</v>
      </c>
      <c r="AT3" s="50" t="s">
        <v>1</v>
      </c>
      <c r="AU3" s="50" t="s">
        <v>5</v>
      </c>
      <c r="AV3" s="50" t="s">
        <v>6</v>
      </c>
      <c r="AW3" s="50" t="s">
        <v>7</v>
      </c>
      <c r="AX3" s="51" t="s">
        <v>8</v>
      </c>
      <c r="AY3" s="50" t="s">
        <v>9</v>
      </c>
      <c r="AZ3" s="50" t="s">
        <v>10</v>
      </c>
      <c r="BA3" s="61"/>
      <c r="BB3" s="50" t="s">
        <v>0</v>
      </c>
      <c r="BC3" s="50" t="s">
        <v>191</v>
      </c>
      <c r="BD3" s="50" t="s">
        <v>192</v>
      </c>
      <c r="BE3" s="50" t="s">
        <v>193</v>
      </c>
      <c r="BF3" s="50" t="s">
        <v>194</v>
      </c>
      <c r="BG3" s="50" t="s">
        <v>1</v>
      </c>
      <c r="BH3" s="50" t="s">
        <v>5</v>
      </c>
      <c r="BI3" s="50" t="s">
        <v>6</v>
      </c>
      <c r="BJ3" s="50" t="s">
        <v>7</v>
      </c>
      <c r="BK3" s="50" t="s">
        <v>8</v>
      </c>
      <c r="BL3" s="51" t="s">
        <v>9</v>
      </c>
      <c r="BM3" s="50" t="s">
        <v>10</v>
      </c>
      <c r="BN3" s="61"/>
      <c r="BO3" s="50" t="s">
        <v>0</v>
      </c>
      <c r="BP3" s="50" t="s">
        <v>191</v>
      </c>
      <c r="BQ3" s="50" t="s">
        <v>192</v>
      </c>
      <c r="BR3" s="50" t="s">
        <v>193</v>
      </c>
      <c r="BS3" s="50" t="s">
        <v>194</v>
      </c>
      <c r="BT3" s="50" t="s">
        <v>1</v>
      </c>
      <c r="BU3" s="50" t="s">
        <v>5</v>
      </c>
      <c r="BV3" s="50" t="s">
        <v>6</v>
      </c>
      <c r="BW3" s="50" t="s">
        <v>7</v>
      </c>
      <c r="BX3" s="50" t="s">
        <v>8</v>
      </c>
      <c r="BY3" s="50" t="s">
        <v>9</v>
      </c>
      <c r="BZ3" s="51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3A234-C0F8-486E-8607-8C35F7674EEF}">
  <sheetPr codeName="Sheet25"/>
  <dimension ref="B1:BZ3"/>
  <sheetViews>
    <sheetView zoomScaleNormal="100" workbookViewId="0">
      <pane xSplit="1" ySplit="3" topLeftCell="B4" activePane="bottomRight" state="frozen"/>
      <selection activeCell="I33" sqref="I33"/>
      <selection pane="topRight" activeCell="I33" sqref="I33"/>
      <selection pane="bottomLeft" activeCell="I33" sqref="I33"/>
      <selection pane="bottomRight" activeCell="B4" sqref="B4"/>
    </sheetView>
  </sheetViews>
  <sheetFormatPr defaultRowHeight="15" x14ac:dyDescent="0.25"/>
  <cols>
    <col min="2" max="2" width="12" customWidth="1"/>
    <col min="3" max="3" width="12.28515625" bestFit="1" customWidth="1"/>
    <col min="4" max="6" width="12.28515625" customWidth="1"/>
    <col min="7" max="7" width="36.7109375" customWidth="1"/>
    <col min="8" max="8" width="16.28515625" bestFit="1" customWidth="1"/>
    <col min="9" max="9" width="13.42578125" bestFit="1" customWidth="1"/>
    <col min="10" max="10" width="13.28515625" bestFit="1" customWidth="1"/>
    <col min="11" max="11" width="15.28515625" bestFit="1" customWidth="1"/>
    <col min="12" max="12" width="18.42578125" bestFit="1" customWidth="1"/>
    <col min="13" max="13" width="18.28515625" bestFit="1" customWidth="1"/>
    <col min="14" max="14" width="8.85546875" style="58"/>
    <col min="15" max="15" width="8.7109375" bestFit="1" customWidth="1"/>
    <col min="16" max="16" width="12.28515625" bestFit="1" customWidth="1"/>
    <col min="17" max="19" width="12.28515625" customWidth="1"/>
    <col min="20" max="20" width="12.42578125" bestFit="1" customWidth="1"/>
    <col min="21" max="21" width="16.28515625" bestFit="1" customWidth="1"/>
    <col min="22" max="22" width="13.42578125" bestFit="1" customWidth="1"/>
    <col min="23" max="23" width="13.28515625" bestFit="1" customWidth="1"/>
    <col min="24" max="24" width="15.28515625" bestFit="1" customWidth="1"/>
    <col min="25" max="25" width="18.42578125" customWidth="1"/>
    <col min="26" max="26" width="18.28515625" bestFit="1" customWidth="1"/>
    <col min="27" max="27" width="8.85546875" style="58"/>
    <col min="28" max="28" width="8.7109375" bestFit="1" customWidth="1"/>
    <col min="29" max="29" width="12.28515625" bestFit="1" customWidth="1"/>
    <col min="30" max="32" width="12.28515625" customWidth="1"/>
    <col min="33" max="33" width="12.42578125" bestFit="1" customWidth="1"/>
    <col min="34" max="34" width="16.28515625" bestFit="1" customWidth="1"/>
    <col min="35" max="35" width="13.42578125" bestFit="1" customWidth="1"/>
    <col min="36" max="36" width="13.28515625" bestFit="1" customWidth="1"/>
    <col min="37" max="37" width="15.28515625" bestFit="1" customWidth="1"/>
    <col min="38" max="38" width="18.42578125" bestFit="1" customWidth="1"/>
    <col min="39" max="39" width="18.28515625" bestFit="1" customWidth="1"/>
    <col min="40" max="40" width="8.85546875" style="58"/>
    <col min="41" max="41" width="8.7109375" bestFit="1" customWidth="1"/>
    <col min="42" max="42" width="12.28515625" bestFit="1" customWidth="1"/>
    <col min="43" max="45" width="12.28515625" customWidth="1"/>
    <col min="46" max="46" width="12.42578125" bestFit="1" customWidth="1"/>
    <col min="47" max="47" width="16.28515625" bestFit="1" customWidth="1"/>
    <col min="48" max="48" width="13.42578125" bestFit="1" customWidth="1"/>
    <col min="49" max="49" width="13.28515625" bestFit="1" customWidth="1"/>
    <col min="50" max="50" width="15.28515625" bestFit="1" customWidth="1"/>
    <col min="51" max="51" width="18.42578125" bestFit="1" customWidth="1"/>
    <col min="52" max="52" width="18.28515625" bestFit="1" customWidth="1"/>
    <col min="53" max="53" width="8.85546875" style="58"/>
    <col min="54" max="54" width="8.7109375" bestFit="1" customWidth="1"/>
    <col min="55" max="55" width="12.28515625" bestFit="1" customWidth="1"/>
    <col min="56" max="58" width="12.28515625" customWidth="1"/>
    <col min="59" max="59" width="12.42578125" bestFit="1" customWidth="1"/>
    <col min="60" max="60" width="16.28515625" bestFit="1" customWidth="1"/>
    <col min="61" max="61" width="13.42578125" bestFit="1" customWidth="1"/>
    <col min="62" max="62" width="13.28515625" bestFit="1" customWidth="1"/>
    <col min="63" max="63" width="15.28515625" bestFit="1" customWidth="1"/>
    <col min="64" max="64" width="18.42578125" bestFit="1" customWidth="1"/>
    <col min="65" max="65" width="18.28515625" bestFit="1" customWidth="1"/>
    <col min="66" max="66" width="8.85546875" style="58"/>
    <col min="67" max="67" width="8.7109375" bestFit="1" customWidth="1"/>
    <col min="68" max="68" width="12.28515625" bestFit="1" customWidth="1"/>
    <col min="69" max="71" width="12.28515625" customWidth="1"/>
    <col min="72" max="72" width="12.42578125" bestFit="1" customWidth="1"/>
    <col min="73" max="73" width="16.28515625" bestFit="1" customWidth="1"/>
    <col min="74" max="74" width="13.42578125" bestFit="1" customWidth="1"/>
    <col min="75" max="75" width="13.28515625" bestFit="1" customWidth="1"/>
    <col min="76" max="76" width="15.28515625" bestFit="1" customWidth="1"/>
    <col min="77" max="77" width="18.42578125" bestFit="1" customWidth="1"/>
    <col min="78" max="78" width="18.28515625" bestFit="1" customWidth="1"/>
  </cols>
  <sheetData>
    <row r="1" spans="2:78" ht="23.25" x14ac:dyDescent="0.35">
      <c r="B1" s="49" t="s">
        <v>14</v>
      </c>
      <c r="C1" s="49"/>
      <c r="D1" s="49"/>
      <c r="E1" s="49"/>
      <c r="F1" s="49"/>
      <c r="O1" s="2"/>
      <c r="P1" s="2"/>
      <c r="Q1" s="2"/>
      <c r="R1" s="2"/>
      <c r="S1" s="2"/>
    </row>
    <row r="2" spans="2:78" x14ac:dyDescent="0.25">
      <c r="B2" s="5"/>
      <c r="C2" s="5"/>
      <c r="D2" s="5"/>
      <c r="E2" s="5"/>
      <c r="F2" s="5"/>
      <c r="G2" s="113" t="s">
        <v>38</v>
      </c>
      <c r="H2" s="113"/>
      <c r="I2" s="113"/>
      <c r="J2" s="113"/>
      <c r="K2" s="113"/>
      <c r="L2" s="113"/>
      <c r="O2" s="5"/>
      <c r="P2" s="5"/>
      <c r="Q2" s="5"/>
      <c r="R2" s="5"/>
      <c r="S2" s="5"/>
      <c r="T2" s="113" t="s">
        <v>38</v>
      </c>
      <c r="U2" s="113"/>
      <c r="V2" s="113"/>
      <c r="W2" s="113"/>
      <c r="X2" s="113"/>
      <c r="Y2" s="113"/>
      <c r="AB2" s="5"/>
      <c r="AC2" s="5"/>
      <c r="AD2" s="5"/>
      <c r="AE2" s="5"/>
      <c r="AF2" s="5"/>
      <c r="AG2" s="113" t="s">
        <v>38</v>
      </c>
      <c r="AH2" s="113"/>
      <c r="AI2" s="113"/>
      <c r="AJ2" s="113"/>
      <c r="AK2" s="113"/>
      <c r="AL2" s="113"/>
      <c r="AO2" s="5"/>
      <c r="AP2" s="5"/>
      <c r="AQ2" s="5"/>
      <c r="AR2" s="5"/>
      <c r="AS2" s="5"/>
      <c r="AT2" s="113" t="s">
        <v>38</v>
      </c>
      <c r="AU2" s="113"/>
      <c r="AV2" s="113"/>
      <c r="AW2" s="113"/>
      <c r="AX2" s="113"/>
      <c r="AY2" s="113"/>
      <c r="BB2" s="5"/>
      <c r="BC2" s="5"/>
      <c r="BD2" s="5"/>
      <c r="BE2" s="5"/>
      <c r="BF2" s="5"/>
      <c r="BG2" s="113" t="s">
        <v>38</v>
      </c>
      <c r="BH2" s="113"/>
      <c r="BI2" s="113"/>
      <c r="BJ2" s="113"/>
      <c r="BK2" s="113"/>
      <c r="BL2" s="113"/>
      <c r="BO2" s="5"/>
      <c r="BP2" s="5"/>
      <c r="BQ2" s="5"/>
      <c r="BR2" s="5"/>
      <c r="BS2" s="5"/>
      <c r="BT2" s="113" t="s">
        <v>38</v>
      </c>
      <c r="BU2" s="113"/>
      <c r="BV2" s="113"/>
      <c r="BW2" s="113"/>
      <c r="BX2" s="113"/>
      <c r="BY2" s="113"/>
    </row>
    <row r="3" spans="2:78" s="52" customFormat="1" ht="21.6" customHeight="1" x14ac:dyDescent="0.25">
      <c r="B3" s="50" t="s">
        <v>0</v>
      </c>
      <c r="C3" s="50" t="s">
        <v>191</v>
      </c>
      <c r="D3" s="50" t="s">
        <v>192</v>
      </c>
      <c r="E3" s="50" t="s">
        <v>193</v>
      </c>
      <c r="F3" s="50" t="s">
        <v>194</v>
      </c>
      <c r="G3" s="50" t="s">
        <v>1</v>
      </c>
      <c r="H3" s="51" t="s">
        <v>5</v>
      </c>
      <c r="I3" s="50" t="s">
        <v>6</v>
      </c>
      <c r="J3" s="50" t="s">
        <v>7</v>
      </c>
      <c r="K3" s="50" t="s">
        <v>8</v>
      </c>
      <c r="L3" s="50" t="s">
        <v>9</v>
      </c>
      <c r="M3" s="50" t="s">
        <v>10</v>
      </c>
      <c r="N3" s="60"/>
      <c r="O3" s="50" t="s">
        <v>0</v>
      </c>
      <c r="P3" s="50" t="s">
        <v>191</v>
      </c>
      <c r="Q3" s="50" t="s">
        <v>192</v>
      </c>
      <c r="R3" s="50" t="s">
        <v>193</v>
      </c>
      <c r="S3" s="50" t="s">
        <v>194</v>
      </c>
      <c r="T3" s="50" t="s">
        <v>1</v>
      </c>
      <c r="U3" s="50" t="s">
        <v>5</v>
      </c>
      <c r="V3" s="51" t="s">
        <v>6</v>
      </c>
      <c r="W3" s="50" t="s">
        <v>7</v>
      </c>
      <c r="X3" s="50" t="s">
        <v>8</v>
      </c>
      <c r="Y3" s="50" t="s">
        <v>9</v>
      </c>
      <c r="Z3" s="50" t="s">
        <v>10</v>
      </c>
      <c r="AA3" s="61"/>
      <c r="AB3" s="50" t="s">
        <v>0</v>
      </c>
      <c r="AC3" s="50" t="s">
        <v>191</v>
      </c>
      <c r="AD3" s="50" t="s">
        <v>192</v>
      </c>
      <c r="AE3" s="50" t="s">
        <v>193</v>
      </c>
      <c r="AF3" s="50" t="s">
        <v>194</v>
      </c>
      <c r="AG3" s="50" t="s">
        <v>1</v>
      </c>
      <c r="AH3" s="50" t="s">
        <v>5</v>
      </c>
      <c r="AI3" s="50" t="s">
        <v>6</v>
      </c>
      <c r="AJ3" s="51" t="s">
        <v>7</v>
      </c>
      <c r="AK3" s="50" t="s">
        <v>8</v>
      </c>
      <c r="AL3" s="50" t="s">
        <v>9</v>
      </c>
      <c r="AM3" s="50" t="s">
        <v>10</v>
      </c>
      <c r="AN3" s="61"/>
      <c r="AO3" s="50" t="s">
        <v>0</v>
      </c>
      <c r="AP3" s="50" t="s">
        <v>191</v>
      </c>
      <c r="AQ3" s="50" t="s">
        <v>192</v>
      </c>
      <c r="AR3" s="50" t="s">
        <v>193</v>
      </c>
      <c r="AS3" s="50" t="s">
        <v>194</v>
      </c>
      <c r="AT3" s="50" t="s">
        <v>1</v>
      </c>
      <c r="AU3" s="50" t="s">
        <v>5</v>
      </c>
      <c r="AV3" s="50" t="s">
        <v>6</v>
      </c>
      <c r="AW3" s="50" t="s">
        <v>7</v>
      </c>
      <c r="AX3" s="51" t="s">
        <v>8</v>
      </c>
      <c r="AY3" s="50" t="s">
        <v>9</v>
      </c>
      <c r="AZ3" s="50" t="s">
        <v>10</v>
      </c>
      <c r="BA3" s="61"/>
      <c r="BB3" s="50" t="s">
        <v>0</v>
      </c>
      <c r="BC3" s="50" t="s">
        <v>191</v>
      </c>
      <c r="BD3" s="50" t="s">
        <v>192</v>
      </c>
      <c r="BE3" s="50" t="s">
        <v>193</v>
      </c>
      <c r="BF3" s="50" t="s">
        <v>194</v>
      </c>
      <c r="BG3" s="50" t="s">
        <v>1</v>
      </c>
      <c r="BH3" s="50" t="s">
        <v>5</v>
      </c>
      <c r="BI3" s="50" t="s">
        <v>6</v>
      </c>
      <c r="BJ3" s="50" t="s">
        <v>7</v>
      </c>
      <c r="BK3" s="50" t="s">
        <v>8</v>
      </c>
      <c r="BL3" s="51" t="s">
        <v>9</v>
      </c>
      <c r="BM3" s="50" t="s">
        <v>10</v>
      </c>
      <c r="BN3" s="61"/>
      <c r="BO3" s="50" t="s">
        <v>0</v>
      </c>
      <c r="BP3" s="50" t="s">
        <v>191</v>
      </c>
      <c r="BQ3" s="50" t="s">
        <v>192</v>
      </c>
      <c r="BR3" s="50" t="s">
        <v>193</v>
      </c>
      <c r="BS3" s="50" t="s">
        <v>194</v>
      </c>
      <c r="BT3" s="50" t="s">
        <v>1</v>
      </c>
      <c r="BU3" s="50" t="s">
        <v>5</v>
      </c>
      <c r="BV3" s="50" t="s">
        <v>6</v>
      </c>
      <c r="BW3" s="50" t="s">
        <v>7</v>
      </c>
      <c r="BX3" s="50" t="s">
        <v>8</v>
      </c>
      <c r="BY3" s="50" t="s">
        <v>9</v>
      </c>
      <c r="BZ3" s="51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4C136-B06B-4AB0-B2D1-D8D58ABFCA25}">
  <sheetPr codeName="Sheet24"/>
  <dimension ref="B1:BZ3"/>
  <sheetViews>
    <sheetView zoomScaleNormal="100" workbookViewId="0">
      <pane xSplit="1" ySplit="3" topLeftCell="B4" activePane="bottomRight" state="frozen"/>
      <selection activeCell="I33" sqref="I33"/>
      <selection pane="topRight" activeCell="I33" sqref="I33"/>
      <selection pane="bottomLeft" activeCell="I33" sqref="I33"/>
      <selection pane="bottomRight" activeCell="B4" sqref="B4"/>
    </sheetView>
  </sheetViews>
  <sheetFormatPr defaultRowHeight="15" x14ac:dyDescent="0.25"/>
  <cols>
    <col min="2" max="2" width="12" customWidth="1"/>
    <col min="3" max="3" width="12.28515625" bestFit="1" customWidth="1"/>
    <col min="4" max="6" width="12.28515625" customWidth="1"/>
    <col min="7" max="7" width="12.42578125" customWidth="1"/>
    <col min="8" max="8" width="16.28515625" bestFit="1" customWidth="1"/>
    <col min="9" max="9" width="13.42578125" bestFit="1" customWidth="1"/>
    <col min="10" max="10" width="13.28515625" bestFit="1" customWidth="1"/>
    <col min="11" max="11" width="15.28515625" bestFit="1" customWidth="1"/>
    <col min="12" max="12" width="18.42578125" bestFit="1" customWidth="1"/>
    <col min="13" max="13" width="18.28515625" bestFit="1" customWidth="1"/>
    <col min="14" max="14" width="8.85546875" style="58"/>
    <col min="15" max="15" width="8.7109375" bestFit="1" customWidth="1"/>
    <col min="16" max="16" width="12.28515625" bestFit="1" customWidth="1"/>
    <col min="17" max="19" width="12.28515625" customWidth="1"/>
    <col min="20" max="20" width="12.42578125" bestFit="1" customWidth="1"/>
    <col min="21" max="21" width="16.28515625" bestFit="1" customWidth="1"/>
    <col min="22" max="22" width="13.42578125" bestFit="1" customWidth="1"/>
    <col min="23" max="23" width="13.28515625" bestFit="1" customWidth="1"/>
    <col min="24" max="24" width="15.28515625" bestFit="1" customWidth="1"/>
    <col min="25" max="25" width="18.42578125" customWidth="1"/>
    <col min="26" max="26" width="18.28515625" bestFit="1" customWidth="1"/>
    <col min="27" max="27" width="8.85546875" style="58"/>
    <col min="28" max="28" width="8.7109375" bestFit="1" customWidth="1"/>
    <col min="29" max="29" width="12.28515625" bestFit="1" customWidth="1"/>
    <col min="30" max="32" width="12.28515625" customWidth="1"/>
    <col min="33" max="33" width="12.42578125" bestFit="1" customWidth="1"/>
    <col min="34" max="34" width="16.28515625" bestFit="1" customWidth="1"/>
    <col min="35" max="35" width="13.42578125" bestFit="1" customWidth="1"/>
    <col min="36" max="36" width="13.28515625" bestFit="1" customWidth="1"/>
    <col min="37" max="37" width="15.28515625" bestFit="1" customWidth="1"/>
    <col min="38" max="38" width="18.42578125" bestFit="1" customWidth="1"/>
    <col min="39" max="39" width="18.28515625" bestFit="1" customWidth="1"/>
    <col min="40" max="40" width="8.85546875" style="58"/>
    <col min="41" max="41" width="8.7109375" bestFit="1" customWidth="1"/>
    <col min="42" max="42" width="12.28515625" bestFit="1" customWidth="1"/>
    <col min="43" max="45" width="12.28515625" customWidth="1"/>
    <col min="46" max="46" width="12.42578125" bestFit="1" customWidth="1"/>
    <col min="47" max="47" width="16.28515625" bestFit="1" customWidth="1"/>
    <col min="48" max="48" width="13.42578125" bestFit="1" customWidth="1"/>
    <col min="49" max="49" width="13.28515625" bestFit="1" customWidth="1"/>
    <col min="50" max="50" width="15.28515625" bestFit="1" customWidth="1"/>
    <col min="51" max="51" width="18.42578125" bestFit="1" customWidth="1"/>
    <col min="52" max="52" width="18.28515625" bestFit="1" customWidth="1"/>
    <col min="53" max="53" width="8.85546875" style="58"/>
    <col min="54" max="54" width="8.7109375" bestFit="1" customWidth="1"/>
    <col min="55" max="55" width="12.28515625" bestFit="1" customWidth="1"/>
    <col min="56" max="58" width="12.28515625" customWidth="1"/>
    <col min="59" max="59" width="12.42578125" bestFit="1" customWidth="1"/>
    <col min="60" max="60" width="16.28515625" bestFit="1" customWidth="1"/>
    <col min="61" max="61" width="13.42578125" bestFit="1" customWidth="1"/>
    <col min="62" max="62" width="13.28515625" bestFit="1" customWidth="1"/>
    <col min="63" max="63" width="15.28515625" bestFit="1" customWidth="1"/>
    <col min="64" max="64" width="18.42578125" bestFit="1" customWidth="1"/>
    <col min="65" max="65" width="18.28515625" bestFit="1" customWidth="1"/>
    <col min="66" max="66" width="8.85546875" style="58"/>
    <col min="67" max="67" width="8.7109375" bestFit="1" customWidth="1"/>
    <col min="68" max="68" width="12.28515625" bestFit="1" customWidth="1"/>
    <col min="69" max="71" width="12.28515625" customWidth="1"/>
    <col min="72" max="72" width="12.42578125" bestFit="1" customWidth="1"/>
    <col min="73" max="73" width="16.28515625" bestFit="1" customWidth="1"/>
    <col min="74" max="74" width="13.42578125" bestFit="1" customWidth="1"/>
    <col min="75" max="75" width="13.28515625" bestFit="1" customWidth="1"/>
    <col min="76" max="76" width="15.28515625" bestFit="1" customWidth="1"/>
    <col min="77" max="77" width="18.42578125" bestFit="1" customWidth="1"/>
    <col min="78" max="78" width="18.28515625" bestFit="1" customWidth="1"/>
  </cols>
  <sheetData>
    <row r="1" spans="2:78" ht="23.25" x14ac:dyDescent="0.35">
      <c r="B1" s="49" t="s">
        <v>14</v>
      </c>
      <c r="C1" s="49"/>
      <c r="D1" s="49"/>
      <c r="E1" s="49"/>
      <c r="F1" s="49"/>
      <c r="O1" s="2"/>
      <c r="P1" s="2"/>
      <c r="Q1" s="2"/>
      <c r="R1" s="2"/>
      <c r="S1" s="2"/>
    </row>
    <row r="2" spans="2:78" x14ac:dyDescent="0.25">
      <c r="B2" s="5"/>
      <c r="C2" s="5"/>
      <c r="D2" s="5"/>
      <c r="E2" s="5"/>
      <c r="F2" s="5"/>
      <c r="G2" s="113" t="s">
        <v>38</v>
      </c>
      <c r="H2" s="113"/>
      <c r="I2" s="113"/>
      <c r="J2" s="113"/>
      <c r="K2" s="113"/>
      <c r="L2" s="113"/>
      <c r="O2" s="5"/>
      <c r="P2" s="5"/>
      <c r="Q2" s="5"/>
      <c r="R2" s="5"/>
      <c r="S2" s="5"/>
      <c r="T2" s="113" t="s">
        <v>38</v>
      </c>
      <c r="U2" s="113"/>
      <c r="V2" s="113"/>
      <c r="W2" s="113"/>
      <c r="X2" s="113"/>
      <c r="Y2" s="113"/>
      <c r="AB2" s="5"/>
      <c r="AC2" s="5"/>
      <c r="AD2" s="5"/>
      <c r="AE2" s="5"/>
      <c r="AF2" s="5"/>
      <c r="AG2" s="113" t="s">
        <v>38</v>
      </c>
      <c r="AH2" s="113"/>
      <c r="AI2" s="113"/>
      <c r="AJ2" s="113"/>
      <c r="AK2" s="113"/>
      <c r="AL2" s="113"/>
      <c r="AO2" s="5"/>
      <c r="AP2" s="5"/>
      <c r="AQ2" s="5"/>
      <c r="AR2" s="5"/>
      <c r="AS2" s="5"/>
      <c r="AT2" s="113" t="s">
        <v>38</v>
      </c>
      <c r="AU2" s="113"/>
      <c r="AV2" s="113"/>
      <c r="AW2" s="113"/>
      <c r="AX2" s="113"/>
      <c r="AY2" s="113"/>
      <c r="BB2" s="5"/>
      <c r="BC2" s="5"/>
      <c r="BD2" s="5"/>
      <c r="BE2" s="5"/>
      <c r="BF2" s="5"/>
      <c r="BG2" s="113" t="s">
        <v>38</v>
      </c>
      <c r="BH2" s="113"/>
      <c r="BI2" s="113"/>
      <c r="BJ2" s="113"/>
      <c r="BK2" s="113"/>
      <c r="BL2" s="113"/>
      <c r="BO2" s="5"/>
      <c r="BP2" s="5"/>
      <c r="BQ2" s="5"/>
      <c r="BR2" s="5"/>
      <c r="BS2" s="5"/>
      <c r="BT2" s="113" t="s">
        <v>38</v>
      </c>
      <c r="BU2" s="113"/>
      <c r="BV2" s="113"/>
      <c r="BW2" s="113"/>
      <c r="BX2" s="113"/>
      <c r="BY2" s="113"/>
    </row>
    <row r="3" spans="2:78" s="52" customFormat="1" ht="21.6" customHeight="1" x14ac:dyDescent="0.25">
      <c r="B3" s="50" t="s">
        <v>0</v>
      </c>
      <c r="C3" s="50" t="s">
        <v>191</v>
      </c>
      <c r="D3" s="50" t="s">
        <v>192</v>
      </c>
      <c r="E3" s="50" t="s">
        <v>193</v>
      </c>
      <c r="F3" s="50" t="s">
        <v>194</v>
      </c>
      <c r="G3" s="50" t="s">
        <v>1</v>
      </c>
      <c r="H3" s="51" t="s">
        <v>5</v>
      </c>
      <c r="I3" s="50" t="s">
        <v>6</v>
      </c>
      <c r="J3" s="50" t="s">
        <v>7</v>
      </c>
      <c r="K3" s="50" t="s">
        <v>8</v>
      </c>
      <c r="L3" s="50" t="s">
        <v>9</v>
      </c>
      <c r="M3" s="50" t="s">
        <v>10</v>
      </c>
      <c r="N3" s="60"/>
      <c r="O3" s="50" t="s">
        <v>0</v>
      </c>
      <c r="P3" s="50" t="s">
        <v>191</v>
      </c>
      <c r="Q3" s="50" t="s">
        <v>192</v>
      </c>
      <c r="R3" s="50" t="s">
        <v>193</v>
      </c>
      <c r="S3" s="50" t="s">
        <v>194</v>
      </c>
      <c r="T3" s="50" t="s">
        <v>1</v>
      </c>
      <c r="U3" s="50" t="s">
        <v>5</v>
      </c>
      <c r="V3" s="51" t="s">
        <v>6</v>
      </c>
      <c r="W3" s="50" t="s">
        <v>7</v>
      </c>
      <c r="X3" s="50" t="s">
        <v>8</v>
      </c>
      <c r="Y3" s="50" t="s">
        <v>9</v>
      </c>
      <c r="Z3" s="50" t="s">
        <v>10</v>
      </c>
      <c r="AA3" s="61"/>
      <c r="AB3" s="50" t="s">
        <v>0</v>
      </c>
      <c r="AC3" s="50" t="s">
        <v>191</v>
      </c>
      <c r="AD3" s="50" t="s">
        <v>192</v>
      </c>
      <c r="AE3" s="50" t="s">
        <v>193</v>
      </c>
      <c r="AF3" s="50" t="s">
        <v>194</v>
      </c>
      <c r="AG3" s="50" t="s">
        <v>1</v>
      </c>
      <c r="AH3" s="50" t="s">
        <v>5</v>
      </c>
      <c r="AI3" s="50" t="s">
        <v>6</v>
      </c>
      <c r="AJ3" s="51" t="s">
        <v>7</v>
      </c>
      <c r="AK3" s="50" t="s">
        <v>8</v>
      </c>
      <c r="AL3" s="50" t="s">
        <v>9</v>
      </c>
      <c r="AM3" s="50" t="s">
        <v>10</v>
      </c>
      <c r="AN3" s="61"/>
      <c r="AO3" s="50" t="s">
        <v>0</v>
      </c>
      <c r="AP3" s="50" t="s">
        <v>191</v>
      </c>
      <c r="AQ3" s="50" t="s">
        <v>192</v>
      </c>
      <c r="AR3" s="50" t="s">
        <v>193</v>
      </c>
      <c r="AS3" s="50" t="s">
        <v>194</v>
      </c>
      <c r="AT3" s="50" t="s">
        <v>1</v>
      </c>
      <c r="AU3" s="50" t="s">
        <v>5</v>
      </c>
      <c r="AV3" s="50" t="s">
        <v>6</v>
      </c>
      <c r="AW3" s="50" t="s">
        <v>7</v>
      </c>
      <c r="AX3" s="51" t="s">
        <v>8</v>
      </c>
      <c r="AY3" s="50" t="s">
        <v>9</v>
      </c>
      <c r="AZ3" s="50" t="s">
        <v>10</v>
      </c>
      <c r="BA3" s="61"/>
      <c r="BB3" s="50" t="s">
        <v>0</v>
      </c>
      <c r="BC3" s="50" t="s">
        <v>191</v>
      </c>
      <c r="BD3" s="50" t="s">
        <v>192</v>
      </c>
      <c r="BE3" s="50" t="s">
        <v>193</v>
      </c>
      <c r="BF3" s="50" t="s">
        <v>194</v>
      </c>
      <c r="BG3" s="50" t="s">
        <v>1</v>
      </c>
      <c r="BH3" s="50" t="s">
        <v>5</v>
      </c>
      <c r="BI3" s="50" t="s">
        <v>6</v>
      </c>
      <c r="BJ3" s="50" t="s">
        <v>7</v>
      </c>
      <c r="BK3" s="50" t="s">
        <v>8</v>
      </c>
      <c r="BL3" s="51" t="s">
        <v>9</v>
      </c>
      <c r="BM3" s="50" t="s">
        <v>10</v>
      </c>
      <c r="BN3" s="61"/>
      <c r="BO3" s="50" t="s">
        <v>0</v>
      </c>
      <c r="BP3" s="50" t="s">
        <v>191</v>
      </c>
      <c r="BQ3" s="50" t="s">
        <v>192</v>
      </c>
      <c r="BR3" s="50" t="s">
        <v>193</v>
      </c>
      <c r="BS3" s="50" t="s">
        <v>194</v>
      </c>
      <c r="BT3" s="50" t="s">
        <v>1</v>
      </c>
      <c r="BU3" s="50" t="s">
        <v>5</v>
      </c>
      <c r="BV3" s="50" t="s">
        <v>6</v>
      </c>
      <c r="BW3" s="50" t="s">
        <v>7</v>
      </c>
      <c r="BX3" s="50" t="s">
        <v>8</v>
      </c>
      <c r="BY3" s="50" t="s">
        <v>9</v>
      </c>
      <c r="BZ3" s="51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62FD5-6917-4374-940A-E3170673D615}">
  <sheetPr codeName="Sheet26"/>
  <dimension ref="B1:BZ3"/>
  <sheetViews>
    <sheetView zoomScaleNormal="100" workbookViewId="0">
      <pane xSplit="1" ySplit="3" topLeftCell="B4" activePane="bottomRight" state="frozen"/>
      <selection activeCell="I33" sqref="I33"/>
      <selection pane="topRight" activeCell="I33" sqref="I33"/>
      <selection pane="bottomLeft" activeCell="I33" sqref="I33"/>
      <selection pane="bottomRight" activeCell="B4" sqref="B4"/>
    </sheetView>
  </sheetViews>
  <sheetFormatPr defaultRowHeight="15" x14ac:dyDescent="0.25"/>
  <cols>
    <col min="2" max="2" width="12" customWidth="1"/>
    <col min="3" max="3" width="12.28515625" bestFit="1" customWidth="1"/>
    <col min="4" max="6" width="12.28515625" customWidth="1"/>
    <col min="7" max="7" width="26.7109375" customWidth="1"/>
    <col min="8" max="8" width="16.28515625" bestFit="1" customWidth="1"/>
    <col min="9" max="9" width="13.42578125" bestFit="1" customWidth="1"/>
    <col min="10" max="10" width="13.28515625" bestFit="1" customWidth="1"/>
    <col min="11" max="11" width="15.28515625" bestFit="1" customWidth="1"/>
    <col min="12" max="12" width="18.42578125" bestFit="1" customWidth="1"/>
    <col min="13" max="13" width="18.28515625" bestFit="1" customWidth="1"/>
    <col min="14" max="14" width="8.85546875" style="58"/>
    <col min="15" max="15" width="8.7109375" bestFit="1" customWidth="1"/>
    <col min="16" max="16" width="12.28515625" bestFit="1" customWidth="1"/>
    <col min="17" max="19" width="12.28515625" customWidth="1"/>
    <col min="20" max="20" width="12.42578125" bestFit="1" customWidth="1"/>
    <col min="21" max="21" width="16.28515625" bestFit="1" customWidth="1"/>
    <col min="22" max="22" width="13.42578125" bestFit="1" customWidth="1"/>
    <col min="23" max="23" width="13.28515625" bestFit="1" customWidth="1"/>
    <col min="24" max="24" width="15.28515625" bestFit="1" customWidth="1"/>
    <col min="25" max="25" width="18.42578125" customWidth="1"/>
    <col min="26" max="26" width="18.28515625" bestFit="1" customWidth="1"/>
    <col min="27" max="27" width="8.85546875" style="58"/>
    <col min="28" max="28" width="8.7109375" bestFit="1" customWidth="1"/>
    <col min="29" max="29" width="12.28515625" bestFit="1" customWidth="1"/>
    <col min="30" max="32" width="12.28515625" customWidth="1"/>
    <col min="33" max="33" width="12.42578125" bestFit="1" customWidth="1"/>
    <col min="34" max="34" width="16.28515625" bestFit="1" customWidth="1"/>
    <col min="35" max="35" width="13.42578125" bestFit="1" customWidth="1"/>
    <col min="36" max="36" width="13.28515625" bestFit="1" customWidth="1"/>
    <col min="37" max="37" width="15.28515625" bestFit="1" customWidth="1"/>
    <col min="38" max="38" width="18.42578125" bestFit="1" customWidth="1"/>
    <col min="39" max="39" width="18.28515625" bestFit="1" customWidth="1"/>
    <col min="40" max="40" width="8.85546875" style="58"/>
    <col min="41" max="41" width="8.7109375" bestFit="1" customWidth="1"/>
    <col min="42" max="42" width="12.28515625" bestFit="1" customWidth="1"/>
    <col min="43" max="45" width="12.28515625" customWidth="1"/>
    <col min="46" max="46" width="12.42578125" bestFit="1" customWidth="1"/>
    <col min="47" max="47" width="16.28515625" bestFit="1" customWidth="1"/>
    <col min="48" max="48" width="13.42578125" bestFit="1" customWidth="1"/>
    <col min="49" max="49" width="13.28515625" bestFit="1" customWidth="1"/>
    <col min="50" max="50" width="15.28515625" bestFit="1" customWidth="1"/>
    <col min="51" max="51" width="18.42578125" bestFit="1" customWidth="1"/>
    <col min="52" max="52" width="18.28515625" bestFit="1" customWidth="1"/>
    <col min="53" max="53" width="8.85546875" style="58"/>
    <col min="54" max="54" width="8.7109375" bestFit="1" customWidth="1"/>
    <col min="55" max="55" width="12.28515625" bestFit="1" customWidth="1"/>
    <col min="56" max="58" width="12.28515625" customWidth="1"/>
    <col min="59" max="59" width="12.42578125" bestFit="1" customWidth="1"/>
    <col min="60" max="60" width="16.28515625" bestFit="1" customWidth="1"/>
    <col min="61" max="61" width="13.42578125" bestFit="1" customWidth="1"/>
    <col min="62" max="62" width="13.28515625" bestFit="1" customWidth="1"/>
    <col min="63" max="63" width="15.28515625" bestFit="1" customWidth="1"/>
    <col min="64" max="64" width="18.42578125" bestFit="1" customWidth="1"/>
    <col min="65" max="65" width="18.28515625" bestFit="1" customWidth="1"/>
    <col min="66" max="66" width="8.85546875" style="58"/>
    <col min="67" max="67" width="8.7109375" bestFit="1" customWidth="1"/>
    <col min="68" max="68" width="12.28515625" bestFit="1" customWidth="1"/>
    <col min="69" max="71" width="12.28515625" customWidth="1"/>
    <col min="72" max="72" width="12.42578125" bestFit="1" customWidth="1"/>
    <col min="73" max="73" width="16.28515625" bestFit="1" customWidth="1"/>
    <col min="74" max="74" width="13.42578125" bestFit="1" customWidth="1"/>
    <col min="75" max="75" width="13.28515625" bestFit="1" customWidth="1"/>
    <col min="76" max="76" width="15.28515625" bestFit="1" customWidth="1"/>
    <col min="77" max="77" width="18.42578125" bestFit="1" customWidth="1"/>
    <col min="78" max="78" width="18.28515625" bestFit="1" customWidth="1"/>
  </cols>
  <sheetData>
    <row r="1" spans="2:78" ht="23.25" x14ac:dyDescent="0.35">
      <c r="B1" s="49" t="s">
        <v>14</v>
      </c>
      <c r="C1" s="49"/>
      <c r="D1" s="49"/>
      <c r="E1" s="49"/>
      <c r="F1" s="49"/>
      <c r="O1" s="2"/>
      <c r="P1" s="2"/>
      <c r="Q1" s="2"/>
      <c r="R1" s="2"/>
      <c r="S1" s="2"/>
    </row>
    <row r="2" spans="2:78" x14ac:dyDescent="0.25">
      <c r="B2" s="5"/>
      <c r="C2" s="5"/>
      <c r="D2" s="5"/>
      <c r="E2" s="5"/>
      <c r="F2" s="5"/>
      <c r="G2" s="113" t="s">
        <v>38</v>
      </c>
      <c r="H2" s="113"/>
      <c r="I2" s="113"/>
      <c r="J2" s="113"/>
      <c r="K2" s="113"/>
      <c r="L2" s="113"/>
      <c r="O2" s="5"/>
      <c r="P2" s="5"/>
      <c r="Q2" s="5"/>
      <c r="R2" s="5"/>
      <c r="S2" s="5"/>
      <c r="T2" s="113" t="s">
        <v>38</v>
      </c>
      <c r="U2" s="113"/>
      <c r="V2" s="113"/>
      <c r="W2" s="113"/>
      <c r="X2" s="113"/>
      <c r="Y2" s="113"/>
      <c r="AB2" s="5"/>
      <c r="AC2" s="5"/>
      <c r="AD2" s="5"/>
      <c r="AE2" s="5"/>
      <c r="AF2" s="5"/>
      <c r="AG2" s="113" t="s">
        <v>38</v>
      </c>
      <c r="AH2" s="113"/>
      <c r="AI2" s="113"/>
      <c r="AJ2" s="113"/>
      <c r="AK2" s="113"/>
      <c r="AL2" s="113"/>
      <c r="AO2" s="5"/>
      <c r="AP2" s="5"/>
      <c r="AQ2" s="5"/>
      <c r="AR2" s="5"/>
      <c r="AS2" s="5"/>
      <c r="AT2" s="113" t="s">
        <v>38</v>
      </c>
      <c r="AU2" s="113"/>
      <c r="AV2" s="113"/>
      <c r="AW2" s="113"/>
      <c r="AX2" s="113"/>
      <c r="AY2" s="113"/>
      <c r="BB2" s="5"/>
      <c r="BC2" s="5"/>
      <c r="BD2" s="5"/>
      <c r="BE2" s="5"/>
      <c r="BF2" s="5"/>
      <c r="BG2" s="113" t="s">
        <v>38</v>
      </c>
      <c r="BH2" s="113"/>
      <c r="BI2" s="113"/>
      <c r="BJ2" s="113"/>
      <c r="BK2" s="113"/>
      <c r="BL2" s="113"/>
      <c r="BO2" s="5"/>
      <c r="BP2" s="5"/>
      <c r="BQ2" s="5"/>
      <c r="BR2" s="5"/>
      <c r="BS2" s="5"/>
      <c r="BT2" s="113" t="s">
        <v>38</v>
      </c>
      <c r="BU2" s="113"/>
      <c r="BV2" s="113"/>
      <c r="BW2" s="113"/>
      <c r="BX2" s="113"/>
      <c r="BY2" s="113"/>
    </row>
    <row r="3" spans="2:78" s="52" customFormat="1" ht="21.6" customHeight="1" x14ac:dyDescent="0.25">
      <c r="B3" s="50" t="s">
        <v>0</v>
      </c>
      <c r="C3" s="50" t="s">
        <v>191</v>
      </c>
      <c r="D3" s="50" t="s">
        <v>192</v>
      </c>
      <c r="E3" s="50" t="s">
        <v>193</v>
      </c>
      <c r="F3" s="50" t="s">
        <v>194</v>
      </c>
      <c r="G3" s="50" t="s">
        <v>1</v>
      </c>
      <c r="H3" s="51" t="s">
        <v>5</v>
      </c>
      <c r="I3" s="50" t="s">
        <v>6</v>
      </c>
      <c r="J3" s="50" t="s">
        <v>7</v>
      </c>
      <c r="K3" s="50" t="s">
        <v>8</v>
      </c>
      <c r="L3" s="50" t="s">
        <v>9</v>
      </c>
      <c r="M3" s="50" t="s">
        <v>10</v>
      </c>
      <c r="N3" s="60"/>
      <c r="O3" s="50" t="s">
        <v>0</v>
      </c>
      <c r="P3" s="50" t="s">
        <v>191</v>
      </c>
      <c r="Q3" s="50" t="s">
        <v>192</v>
      </c>
      <c r="R3" s="50" t="s">
        <v>193</v>
      </c>
      <c r="S3" s="50" t="s">
        <v>194</v>
      </c>
      <c r="T3" s="50" t="s">
        <v>1</v>
      </c>
      <c r="U3" s="50" t="s">
        <v>5</v>
      </c>
      <c r="V3" s="51" t="s">
        <v>6</v>
      </c>
      <c r="W3" s="50" t="s">
        <v>7</v>
      </c>
      <c r="X3" s="50" t="s">
        <v>8</v>
      </c>
      <c r="Y3" s="50" t="s">
        <v>9</v>
      </c>
      <c r="Z3" s="50" t="s">
        <v>10</v>
      </c>
      <c r="AA3" s="61"/>
      <c r="AB3" s="50" t="s">
        <v>0</v>
      </c>
      <c r="AC3" s="50" t="s">
        <v>191</v>
      </c>
      <c r="AD3" s="50" t="s">
        <v>192</v>
      </c>
      <c r="AE3" s="50" t="s">
        <v>193</v>
      </c>
      <c r="AF3" s="50" t="s">
        <v>194</v>
      </c>
      <c r="AG3" s="50" t="s">
        <v>1</v>
      </c>
      <c r="AH3" s="50" t="s">
        <v>5</v>
      </c>
      <c r="AI3" s="50" t="s">
        <v>6</v>
      </c>
      <c r="AJ3" s="51" t="s">
        <v>7</v>
      </c>
      <c r="AK3" s="50" t="s">
        <v>8</v>
      </c>
      <c r="AL3" s="50" t="s">
        <v>9</v>
      </c>
      <c r="AM3" s="50" t="s">
        <v>10</v>
      </c>
      <c r="AN3" s="61"/>
      <c r="AO3" s="50" t="s">
        <v>0</v>
      </c>
      <c r="AP3" s="50" t="s">
        <v>191</v>
      </c>
      <c r="AQ3" s="50" t="s">
        <v>192</v>
      </c>
      <c r="AR3" s="50" t="s">
        <v>193</v>
      </c>
      <c r="AS3" s="50" t="s">
        <v>194</v>
      </c>
      <c r="AT3" s="50" t="s">
        <v>1</v>
      </c>
      <c r="AU3" s="50" t="s">
        <v>5</v>
      </c>
      <c r="AV3" s="50" t="s">
        <v>6</v>
      </c>
      <c r="AW3" s="50" t="s">
        <v>7</v>
      </c>
      <c r="AX3" s="51" t="s">
        <v>8</v>
      </c>
      <c r="AY3" s="50" t="s">
        <v>9</v>
      </c>
      <c r="AZ3" s="50" t="s">
        <v>10</v>
      </c>
      <c r="BA3" s="61"/>
      <c r="BB3" s="50" t="s">
        <v>0</v>
      </c>
      <c r="BC3" s="50" t="s">
        <v>191</v>
      </c>
      <c r="BD3" s="50" t="s">
        <v>192</v>
      </c>
      <c r="BE3" s="50" t="s">
        <v>193</v>
      </c>
      <c r="BF3" s="50" t="s">
        <v>194</v>
      </c>
      <c r="BG3" s="50" t="s">
        <v>1</v>
      </c>
      <c r="BH3" s="50" t="s">
        <v>5</v>
      </c>
      <c r="BI3" s="50" t="s">
        <v>6</v>
      </c>
      <c r="BJ3" s="50" t="s">
        <v>7</v>
      </c>
      <c r="BK3" s="50" t="s">
        <v>8</v>
      </c>
      <c r="BL3" s="51" t="s">
        <v>9</v>
      </c>
      <c r="BM3" s="50" t="s">
        <v>10</v>
      </c>
      <c r="BN3" s="61"/>
      <c r="BO3" s="50" t="s">
        <v>0</v>
      </c>
      <c r="BP3" s="50" t="s">
        <v>191</v>
      </c>
      <c r="BQ3" s="50" t="s">
        <v>192</v>
      </c>
      <c r="BR3" s="50" t="s">
        <v>193</v>
      </c>
      <c r="BS3" s="50" t="s">
        <v>194</v>
      </c>
      <c r="BT3" s="50" t="s">
        <v>1</v>
      </c>
      <c r="BU3" s="50" t="s">
        <v>5</v>
      </c>
      <c r="BV3" s="50" t="s">
        <v>6</v>
      </c>
      <c r="BW3" s="50" t="s">
        <v>7</v>
      </c>
      <c r="BX3" s="50" t="s">
        <v>8</v>
      </c>
      <c r="BY3" s="50" t="s">
        <v>9</v>
      </c>
      <c r="BZ3" s="51" t="s">
        <v>10</v>
      </c>
    </row>
  </sheetData>
  <mergeCells count="6">
    <mergeCell ref="BT2:BY2"/>
    <mergeCell ref="G2:L2"/>
    <mergeCell ref="T2:Y2"/>
    <mergeCell ref="AG2:AL2"/>
    <mergeCell ref="AT2:AY2"/>
    <mergeCell ref="BG2:BL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6B2F9-1737-4120-AD36-F3623AD4551E}">
  <sheetPr codeName="Sheet9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19" t="s">
        <v>0</v>
      </c>
      <c r="C3" s="19" t="s">
        <v>191</v>
      </c>
      <c r="D3" s="83" t="s">
        <v>192</v>
      </c>
      <c r="E3" s="83" t="s">
        <v>193</v>
      </c>
      <c r="F3" s="83" t="s">
        <v>194</v>
      </c>
      <c r="G3" s="19" t="s">
        <v>1</v>
      </c>
      <c r="H3" s="55" t="s">
        <v>5</v>
      </c>
      <c r="I3" s="19" t="s">
        <v>6</v>
      </c>
      <c r="J3" s="19" t="s">
        <v>7</v>
      </c>
      <c r="K3" s="19" t="s">
        <v>8</v>
      </c>
      <c r="L3" s="19" t="s">
        <v>9</v>
      </c>
      <c r="M3" s="19" t="s">
        <v>10</v>
      </c>
      <c r="N3" s="17"/>
      <c r="O3" s="19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19" t="s">
        <v>1</v>
      </c>
      <c r="U3" s="19" t="s">
        <v>5</v>
      </c>
      <c r="V3" s="55" t="s">
        <v>6</v>
      </c>
      <c r="W3" s="19" t="s">
        <v>7</v>
      </c>
      <c r="X3" s="19" t="s">
        <v>8</v>
      </c>
      <c r="Y3" s="19" t="s">
        <v>9</v>
      </c>
      <c r="Z3" s="19" t="s">
        <v>10</v>
      </c>
      <c r="AA3" s="18"/>
      <c r="AB3" s="19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19" t="s">
        <v>1</v>
      </c>
      <c r="AH3" s="19" t="s">
        <v>5</v>
      </c>
      <c r="AI3" s="19" t="s">
        <v>6</v>
      </c>
      <c r="AJ3" s="55" t="s">
        <v>7</v>
      </c>
      <c r="AK3" s="19" t="s">
        <v>8</v>
      </c>
      <c r="AL3" s="19" t="s">
        <v>9</v>
      </c>
      <c r="AM3" s="19" t="s">
        <v>10</v>
      </c>
      <c r="AN3" s="18"/>
      <c r="AO3" s="19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19" t="s">
        <v>1</v>
      </c>
      <c r="AU3" s="19" t="s">
        <v>5</v>
      </c>
      <c r="AV3" s="19" t="s">
        <v>6</v>
      </c>
      <c r="AW3" s="19" t="s">
        <v>7</v>
      </c>
      <c r="AX3" s="55" t="s">
        <v>8</v>
      </c>
      <c r="AY3" s="19" t="s">
        <v>9</v>
      </c>
      <c r="AZ3" s="19" t="s">
        <v>10</v>
      </c>
      <c r="BA3" s="18"/>
      <c r="BB3" s="19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19" t="s">
        <v>1</v>
      </c>
      <c r="BH3" s="19" t="s">
        <v>5</v>
      </c>
      <c r="BI3" s="19" t="s">
        <v>6</v>
      </c>
      <c r="BJ3" s="19" t="s">
        <v>7</v>
      </c>
      <c r="BK3" s="19" t="s">
        <v>8</v>
      </c>
      <c r="BL3" s="55" t="s">
        <v>9</v>
      </c>
      <c r="BM3" s="19" t="s">
        <v>10</v>
      </c>
      <c r="BN3" s="18"/>
      <c r="BO3" s="19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19" t="s">
        <v>1</v>
      </c>
      <c r="BU3" s="19" t="s">
        <v>5</v>
      </c>
      <c r="BV3" s="19" t="s">
        <v>6</v>
      </c>
      <c r="BW3" s="19" t="s">
        <v>7</v>
      </c>
      <c r="BX3" s="19" t="s">
        <v>8</v>
      </c>
      <c r="BY3" s="19" t="s">
        <v>9</v>
      </c>
      <c r="BZ3" s="55" t="s">
        <v>10</v>
      </c>
    </row>
  </sheetData>
  <mergeCells count="6">
    <mergeCell ref="AT2:AY2"/>
    <mergeCell ref="BG2:BL2"/>
    <mergeCell ref="BT2:BY2"/>
    <mergeCell ref="G2:L2"/>
    <mergeCell ref="T2:Y2"/>
    <mergeCell ref="AG2:AL2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FE1DD-9E54-40FC-B0F2-883404046F0C}">
  <sheetPr codeName="Sheet10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F305-6BC6-430C-8C6C-1A0508BFC338}">
  <sheetPr codeName="Sheet11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B30EF-98EF-4CDF-A5A9-784E5272BAD6}">
  <sheetPr codeName="Sheet12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63465-4EA5-45C8-A25E-6BFFCC106AD2}">
  <sheetPr codeName="Sheet13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9B65-8CD3-4E2C-92BD-71B655957FC4}">
  <sheetPr codeName="Sheet14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C6A5A-1FB2-4CEA-8120-CCD7B3056B51}">
  <sheetPr codeName="Sheet15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6EFF0-52DB-4699-8505-DA6CA6BE51DB}">
  <sheetPr codeName="Sheet16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A0154-463D-418E-9221-5A1A38104CBA}">
  <sheetPr codeName="Sheet17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F0319-3D79-4915-BD23-F92474A99D53}">
  <sheetPr codeName="Sheet18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1F1A1-8F4F-4E5A-9335-4B66B24BCBA8}">
  <sheetPr codeName="Sheet20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6D9E1-EB4A-4719-B04D-1826597ADA6D}">
  <sheetPr codeName="Sheet31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DB8D-92E6-4245-8C82-DBF519E8569D}">
  <sheetPr codeName="Sheet32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482ED-B2AD-45BD-AFDE-4D84197242CC}">
  <sheetPr codeName="Sheet33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B9CAE-B932-443F-8C71-A3B655038928}">
  <sheetPr codeName="Sheet34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662E-2689-478B-8CB6-A9B0B2D1A47C}">
  <sheetPr codeName="Sheet35"/>
  <dimension ref="A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1:78" ht="23.25" x14ac:dyDescent="0.35">
      <c r="A1" s="65"/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1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1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5AB16-FF0E-4844-A1E5-24586C3EACF1}">
  <sheetPr codeName="Sheet36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6D3A9-DABD-43F3-BBB4-CCA22714D107}">
  <sheetPr codeName="Sheet37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FF428-FD54-4EC7-A068-2D2751958AFD}">
  <sheetPr codeName="Sheet38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2E148-7926-4A9E-B31B-DD20053035C8}">
  <sheetPr codeName="Sheet39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4659D-3F51-44F0-9C95-C388C5D2D932}">
  <sheetPr codeName="Sheet40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30AEC-A2CD-4CB3-8845-E6DD21716E3C}">
  <sheetPr codeName="Sheet41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21D1C-3C87-415A-A2DE-7E44ECBB1460}">
  <sheetPr codeName="Sheet42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0033-DB22-4A8B-ACBA-581E0EB9CB95}">
  <sheetPr codeName="Sheet43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E5640-9A2F-4B6E-B119-BFA784974784}">
  <sheetPr codeName="Sheet44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1E502-0531-4AAA-A625-605BA0E06223}">
  <sheetPr codeName="Sheet45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E638D-1B11-4623-9793-16CEF2F68E6A}">
  <sheetPr codeName="Sheet46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71FFF-4428-4057-BDF0-3FBA4C01137D}">
  <sheetPr codeName="Sheet47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A5335-0F0A-4716-8366-6E0366D4685C}">
  <sheetPr codeName="Sheet48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DB6BB-1C89-45F1-94DF-41934D5B4D2D}">
  <sheetPr codeName="Sheet49"/>
  <dimension ref="B1:BZ3"/>
  <sheetViews>
    <sheetView zoomScaleNormal="100" workbookViewId="0">
      <pane xSplit="1" ySplit="3" topLeftCell="B4" activePane="bottomRight" state="frozen"/>
      <selection activeCell="N33" sqref="N33"/>
      <selection pane="topRight" activeCell="N33" sqref="N33"/>
      <selection pane="bottomLeft" activeCell="N33" sqref="N33"/>
      <selection pane="bottomRight" activeCell="B4" sqref="B4"/>
    </sheetView>
  </sheetViews>
  <sheetFormatPr defaultRowHeight="15" x14ac:dyDescent="0.25"/>
  <cols>
    <col min="7" max="7" width="31.7109375" customWidth="1"/>
    <col min="8" max="8" width="15.28515625" bestFit="1" customWidth="1"/>
    <col min="9" max="10" width="12.5703125" bestFit="1" customWidth="1"/>
    <col min="11" max="11" width="14.5703125" bestFit="1" customWidth="1"/>
    <col min="12" max="13" width="17.28515625" bestFit="1" customWidth="1"/>
    <col min="15" max="15" width="8.28515625" bestFit="1" customWidth="1"/>
    <col min="16" max="19" width="11" customWidth="1"/>
    <col min="20" max="20" width="32.28515625" customWidth="1"/>
    <col min="21" max="21" width="14.5703125" bestFit="1" customWidth="1"/>
    <col min="22" max="23" width="17.28515625" bestFit="1" customWidth="1"/>
    <col min="24" max="24" width="17.28515625" customWidth="1"/>
    <col min="25" max="25" width="18.42578125" customWidth="1"/>
    <col min="26" max="26" width="22.7109375" customWidth="1"/>
    <col min="33" max="33" width="31.42578125" customWidth="1"/>
    <col min="34" max="34" width="15.28515625" bestFit="1" customWidth="1"/>
    <col min="35" max="35" width="12.5703125" bestFit="1" customWidth="1"/>
    <col min="36" max="36" width="17.7109375" customWidth="1"/>
    <col min="37" max="38" width="17.28515625" customWidth="1"/>
    <col min="39" max="39" width="23.28515625" customWidth="1"/>
    <col min="46" max="46" width="32.7109375" bestFit="1" customWidth="1"/>
    <col min="47" max="47" width="15.28515625" bestFit="1" customWidth="1"/>
    <col min="48" max="48" width="20.140625" customWidth="1"/>
    <col min="49" max="49" width="20.85546875" customWidth="1"/>
    <col min="50" max="50" width="21.85546875" customWidth="1"/>
    <col min="51" max="51" width="23.28515625" customWidth="1"/>
    <col min="52" max="52" width="21.7109375" customWidth="1"/>
    <col min="59" max="59" width="32.7109375" bestFit="1" customWidth="1"/>
    <col min="60" max="60" width="15.7109375" customWidth="1"/>
    <col min="61" max="61" width="20.42578125" customWidth="1"/>
    <col min="62" max="62" width="22.42578125" customWidth="1"/>
    <col min="63" max="63" width="23.140625" customWidth="1"/>
    <col min="64" max="64" width="23.28515625" customWidth="1"/>
    <col min="65" max="65" width="22" customWidth="1"/>
    <col min="72" max="72" width="32.7109375" bestFit="1" customWidth="1"/>
    <col min="73" max="73" width="15.28515625" bestFit="1" customWidth="1"/>
    <col min="74" max="74" width="20.28515625" customWidth="1"/>
    <col min="75" max="75" width="22.42578125" customWidth="1"/>
    <col min="76" max="76" width="22.28515625" customWidth="1"/>
    <col min="77" max="77" width="23.7109375" customWidth="1"/>
    <col min="78" max="78" width="23.28515625" customWidth="1"/>
  </cols>
  <sheetData>
    <row r="1" spans="2:78" ht="23.25" x14ac:dyDescent="0.35">
      <c r="B1" s="8" t="s">
        <v>14</v>
      </c>
      <c r="C1" s="8"/>
      <c r="D1" s="8"/>
      <c r="E1" s="8"/>
      <c r="F1" s="8"/>
      <c r="H1" s="7"/>
      <c r="N1" s="17"/>
      <c r="O1" s="2"/>
      <c r="V1" s="14"/>
      <c r="AA1" s="17"/>
      <c r="AJ1" s="7"/>
      <c r="AN1" s="1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17"/>
      <c r="BL1" s="7"/>
      <c r="BN1" s="17"/>
      <c r="BZ1" s="7"/>
    </row>
    <row r="2" spans="2:78" x14ac:dyDescent="0.25">
      <c r="B2" s="5"/>
      <c r="G2" s="113" t="s">
        <v>16</v>
      </c>
      <c r="H2" s="113"/>
      <c r="I2" s="113"/>
      <c r="J2" s="113"/>
      <c r="K2" s="113"/>
      <c r="L2" s="113"/>
      <c r="N2" s="17"/>
      <c r="O2" s="5"/>
      <c r="T2" s="113" t="s">
        <v>17</v>
      </c>
      <c r="U2" s="113"/>
      <c r="V2" s="113"/>
      <c r="W2" s="113"/>
      <c r="X2" s="113"/>
      <c r="Y2" s="113"/>
      <c r="AA2" s="17"/>
      <c r="AB2" s="5"/>
      <c r="AG2" s="113" t="s">
        <v>20</v>
      </c>
      <c r="AH2" s="113"/>
      <c r="AI2" s="113"/>
      <c r="AJ2" s="113"/>
      <c r="AK2" s="113"/>
      <c r="AL2" s="113"/>
      <c r="AN2" s="17"/>
      <c r="AO2" s="5"/>
      <c r="AT2" s="113" t="s">
        <v>21</v>
      </c>
      <c r="AU2" s="113"/>
      <c r="AV2" s="113"/>
      <c r="AW2" s="113"/>
      <c r="AX2" s="113"/>
      <c r="AY2" s="113"/>
      <c r="BA2" s="17"/>
      <c r="BB2" s="5"/>
      <c r="BG2" s="113" t="s">
        <v>19</v>
      </c>
      <c r="BH2" s="113"/>
      <c r="BI2" s="113"/>
      <c r="BJ2" s="113"/>
      <c r="BK2" s="113"/>
      <c r="BL2" s="113"/>
      <c r="BN2" s="17"/>
      <c r="BO2" s="5"/>
      <c r="BT2" s="113" t="s">
        <v>18</v>
      </c>
      <c r="BU2" s="113"/>
      <c r="BV2" s="113"/>
      <c r="BW2" s="113"/>
      <c r="BX2" s="113"/>
      <c r="BY2" s="113"/>
    </row>
    <row r="3" spans="2:78" s="2" customFormat="1" x14ac:dyDescent="0.25">
      <c r="B3" s="53" t="s">
        <v>0</v>
      </c>
      <c r="C3" s="53" t="s">
        <v>191</v>
      </c>
      <c r="D3" s="83" t="s">
        <v>192</v>
      </c>
      <c r="E3" s="83" t="s">
        <v>193</v>
      </c>
      <c r="F3" s="83" t="s">
        <v>194</v>
      </c>
      <c r="G3" s="53" t="s">
        <v>1</v>
      </c>
      <c r="H3" s="55" t="s">
        <v>5</v>
      </c>
      <c r="I3" s="53" t="s">
        <v>6</v>
      </c>
      <c r="J3" s="53" t="s">
        <v>7</v>
      </c>
      <c r="K3" s="53" t="s">
        <v>8</v>
      </c>
      <c r="L3" s="53" t="s">
        <v>9</v>
      </c>
      <c r="M3" s="53" t="s">
        <v>10</v>
      </c>
      <c r="N3" s="17"/>
      <c r="O3" s="53" t="s">
        <v>0</v>
      </c>
      <c r="P3" s="53" t="s">
        <v>191</v>
      </c>
      <c r="Q3" s="83" t="s">
        <v>192</v>
      </c>
      <c r="R3" s="83" t="s">
        <v>193</v>
      </c>
      <c r="S3" s="83" t="s">
        <v>194</v>
      </c>
      <c r="T3" s="53" t="s">
        <v>1</v>
      </c>
      <c r="U3" s="53" t="s">
        <v>5</v>
      </c>
      <c r="V3" s="55" t="s">
        <v>6</v>
      </c>
      <c r="W3" s="53" t="s">
        <v>7</v>
      </c>
      <c r="X3" s="53" t="s">
        <v>8</v>
      </c>
      <c r="Y3" s="53" t="s">
        <v>9</v>
      </c>
      <c r="Z3" s="53" t="s">
        <v>10</v>
      </c>
      <c r="AA3" s="18"/>
      <c r="AB3" s="53" t="s">
        <v>0</v>
      </c>
      <c r="AC3" s="53" t="s">
        <v>191</v>
      </c>
      <c r="AD3" s="83" t="s">
        <v>192</v>
      </c>
      <c r="AE3" s="83" t="s">
        <v>193</v>
      </c>
      <c r="AF3" s="83" t="s">
        <v>194</v>
      </c>
      <c r="AG3" s="53" t="s">
        <v>1</v>
      </c>
      <c r="AH3" s="53" t="s">
        <v>5</v>
      </c>
      <c r="AI3" s="53" t="s">
        <v>6</v>
      </c>
      <c r="AJ3" s="55" t="s">
        <v>7</v>
      </c>
      <c r="AK3" s="53" t="s">
        <v>8</v>
      </c>
      <c r="AL3" s="53" t="s">
        <v>9</v>
      </c>
      <c r="AM3" s="53" t="s">
        <v>10</v>
      </c>
      <c r="AN3" s="18"/>
      <c r="AO3" s="53" t="s">
        <v>0</v>
      </c>
      <c r="AP3" s="53" t="s">
        <v>191</v>
      </c>
      <c r="AQ3" s="83" t="s">
        <v>192</v>
      </c>
      <c r="AR3" s="83" t="s">
        <v>193</v>
      </c>
      <c r="AS3" s="83" t="s">
        <v>194</v>
      </c>
      <c r="AT3" s="53" t="s">
        <v>1</v>
      </c>
      <c r="AU3" s="53" t="s">
        <v>5</v>
      </c>
      <c r="AV3" s="53" t="s">
        <v>6</v>
      </c>
      <c r="AW3" s="53" t="s">
        <v>7</v>
      </c>
      <c r="AX3" s="55" t="s">
        <v>8</v>
      </c>
      <c r="AY3" s="53" t="s">
        <v>9</v>
      </c>
      <c r="AZ3" s="53" t="s">
        <v>10</v>
      </c>
      <c r="BA3" s="18"/>
      <c r="BB3" s="53" t="s">
        <v>0</v>
      </c>
      <c r="BC3" s="53" t="s">
        <v>191</v>
      </c>
      <c r="BD3" s="83" t="s">
        <v>192</v>
      </c>
      <c r="BE3" s="83" t="s">
        <v>193</v>
      </c>
      <c r="BF3" s="83" t="s">
        <v>194</v>
      </c>
      <c r="BG3" s="53" t="s">
        <v>1</v>
      </c>
      <c r="BH3" s="53" t="s">
        <v>5</v>
      </c>
      <c r="BI3" s="53" t="s">
        <v>6</v>
      </c>
      <c r="BJ3" s="53" t="s">
        <v>7</v>
      </c>
      <c r="BK3" s="53" t="s">
        <v>8</v>
      </c>
      <c r="BL3" s="55" t="s">
        <v>9</v>
      </c>
      <c r="BM3" s="53" t="s">
        <v>10</v>
      </c>
      <c r="BN3" s="18"/>
      <c r="BO3" s="53" t="s">
        <v>0</v>
      </c>
      <c r="BP3" s="53" t="s">
        <v>191</v>
      </c>
      <c r="BQ3" s="83" t="s">
        <v>192</v>
      </c>
      <c r="BR3" s="83" t="s">
        <v>193</v>
      </c>
      <c r="BS3" s="83" t="s">
        <v>194</v>
      </c>
      <c r="BT3" s="53" t="s">
        <v>1</v>
      </c>
      <c r="BU3" s="53" t="s">
        <v>5</v>
      </c>
      <c r="BV3" s="53" t="s">
        <v>6</v>
      </c>
      <c r="BW3" s="53" t="s">
        <v>7</v>
      </c>
      <c r="BX3" s="53" t="s">
        <v>8</v>
      </c>
      <c r="BY3" s="53" t="s">
        <v>9</v>
      </c>
      <c r="BZ3" s="55" t="s">
        <v>10</v>
      </c>
    </row>
  </sheetData>
  <mergeCells count="6">
    <mergeCell ref="BG2:BL2"/>
    <mergeCell ref="BT2:BY2"/>
    <mergeCell ref="G2:L2"/>
    <mergeCell ref="T2:Y2"/>
    <mergeCell ref="AG2:AL2"/>
    <mergeCell ref="AT2:AY2"/>
  </mergeCell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3889A-5CBA-41B3-BBC9-B246EDFFE6D4}">
  <sheetPr codeName="Sheet58"/>
  <dimension ref="A1:AZ2535"/>
  <sheetViews>
    <sheetView zoomScale="70" zoomScaleNormal="70" workbookViewId="0"/>
  </sheetViews>
  <sheetFormatPr defaultRowHeight="15" x14ac:dyDescent="0.25"/>
  <cols>
    <col min="1" max="1" width="10.28515625" customWidth="1"/>
    <col min="2" max="2" width="11.7109375" customWidth="1"/>
    <col min="3" max="3" width="13.42578125" bestFit="1" customWidth="1"/>
    <col min="4" max="4" width="8.85546875" customWidth="1"/>
    <col min="5" max="6" width="14.85546875" bestFit="1" customWidth="1"/>
    <col min="7" max="8" width="20.5703125" bestFit="1" customWidth="1"/>
    <col min="9" max="10" width="35.7109375" customWidth="1"/>
    <col min="11" max="11" width="17.28515625" bestFit="1" customWidth="1"/>
    <col min="12" max="13" width="15.85546875" bestFit="1" customWidth="1"/>
    <col min="14" max="15" width="19.140625" bestFit="1" customWidth="1"/>
    <col min="16" max="16" width="18.85546875" customWidth="1"/>
    <col min="17" max="17" width="15.85546875" customWidth="1"/>
    <col min="18" max="21" width="15.85546875" bestFit="1" customWidth="1"/>
    <col min="22" max="22" width="16.85546875" bestFit="1" customWidth="1"/>
    <col min="23" max="23" width="16.7109375" bestFit="1" customWidth="1"/>
    <col min="24" max="24" width="13" bestFit="1" customWidth="1"/>
    <col min="25" max="25" width="20.5703125" bestFit="1" customWidth="1"/>
    <col min="26" max="26" width="14.85546875" bestFit="1" customWidth="1"/>
    <col min="27" max="27" width="35.7109375" customWidth="1"/>
    <col min="28" max="29" width="15.85546875" bestFit="1" customWidth="1"/>
    <col min="30" max="30" width="16.85546875" bestFit="1" customWidth="1"/>
    <col min="31" max="31" width="16.85546875" customWidth="1"/>
    <col min="32" max="33" width="15.85546875" bestFit="1" customWidth="1"/>
    <col min="34" max="34" width="12.5703125" customWidth="1"/>
    <col min="35" max="36" width="14.42578125" customWidth="1"/>
  </cols>
  <sheetData>
    <row r="1" spans="1:38" x14ac:dyDescent="0.25">
      <c r="A1" s="26" t="str">
        <f>'MODEL INTRO'!M19</f>
        <v>S2</v>
      </c>
      <c r="F1" s="65"/>
      <c r="G1" s="65"/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</row>
    <row r="2" spans="1:38" x14ac:dyDescent="0.25">
      <c r="A2" s="27" t="s">
        <v>170</v>
      </c>
      <c r="F2" s="65"/>
      <c r="G2" s="65"/>
      <c r="I2" s="103" t="s">
        <v>63</v>
      </c>
      <c r="J2" s="25">
        <f ca="1">MAX(J$65:INDIRECT("G"&amp;$C$61))</f>
        <v>0</v>
      </c>
      <c r="K2" s="25">
        <f ca="1">MAX(K$65:INDIRECT("H"&amp;$C$61))</f>
        <v>0</v>
      </c>
      <c r="L2" s="25">
        <f ca="1">MAX(L$65:INDIRECT("I"&amp;$C$61))</f>
        <v>0</v>
      </c>
      <c r="M2" s="25">
        <f ca="1">MAX(M$65:INDIRECT("J"&amp;$C$61))</f>
        <v>0</v>
      </c>
      <c r="N2" s="25">
        <f ca="1">MAX(N$65:INDIRECT("K"&amp;$C$61))</f>
        <v>0</v>
      </c>
      <c r="O2" s="25">
        <f ca="1">MAX(O$65:INDIRECT("L"&amp;$C$61))</f>
        <v>0</v>
      </c>
      <c r="Q2" s="103" t="s">
        <v>64</v>
      </c>
      <c r="R2" s="25" t="e">
        <f ca="1">LARGE(J$65:INDIRECT("G"&amp;$C$61),2)</f>
        <v>#NUM!</v>
      </c>
      <c r="S2" s="25" t="e">
        <f ca="1">LARGE(K$65:INDIRECT("H"&amp;$C$61),2)</f>
        <v>#NUM!</v>
      </c>
      <c r="T2" s="25" t="e">
        <f ca="1">LARGE(L$65:INDIRECT("I"&amp;$C$61),2)</f>
        <v>#NUM!</v>
      </c>
      <c r="U2" s="25" t="e">
        <f ca="1">LARGE(M$65:INDIRECT("J"&amp;$C$61),2)</f>
        <v>#NUM!</v>
      </c>
      <c r="V2" s="25" t="e">
        <f ca="1">LARGE(N$65:INDIRECT("K"&amp;$C$61),2)</f>
        <v>#NUM!</v>
      </c>
      <c r="W2" s="25" t="e">
        <f ca="1">LARGE(O$65:INDIRECT("L"&amp;$C$61),2)</f>
        <v>#NUM!</v>
      </c>
      <c r="Y2" s="103" t="s">
        <v>65</v>
      </c>
      <c r="Z2" s="25" t="e">
        <f ca="1">LARGE(J$65:INDIRECT("G"&amp;$C$61),3)</f>
        <v>#NUM!</v>
      </c>
      <c r="AA2" s="25" t="e">
        <f ca="1">LARGE(K$65:INDIRECT("H"&amp;$C$61),3)</f>
        <v>#NUM!</v>
      </c>
      <c r="AB2" s="25" t="e">
        <f ca="1">LARGE(L$65:INDIRECT("I"&amp;$C$61),3)</f>
        <v>#NUM!</v>
      </c>
      <c r="AC2" s="25" t="e">
        <f ca="1">LARGE(M$65:INDIRECT("J"&amp;$C$61),3)</f>
        <v>#NUM!</v>
      </c>
      <c r="AD2" s="25" t="e">
        <f ca="1">LARGE(N$65:INDIRECT("K"&amp;$C$61),3)</f>
        <v>#NUM!</v>
      </c>
      <c r="AE2" s="25" t="e">
        <f ca="1">LARGE(O$65:INDIRECT("L"&amp;$C$61),3)</f>
        <v>#NUM!</v>
      </c>
      <c r="AI2" s="24" t="s">
        <v>163</v>
      </c>
    </row>
    <row r="3" spans="1:38" x14ac:dyDescent="0.25">
      <c r="A3" s="27" t="s">
        <v>121</v>
      </c>
      <c r="I3" s="103" t="s">
        <v>30</v>
      </c>
      <c r="J3" s="56" t="e">
        <f ca="1">MATCH(MAX(Q$65:INDIRECT(AB14&amp;$C$61)),Q$65:INDIRECT(AB14&amp;$C$61),0)</f>
        <v>#N/A</v>
      </c>
      <c r="K3" s="56" t="e">
        <f ca="1">MATCH(MAX(R$65:INDIRECT(AC14&amp;$C$61)),R$65:INDIRECT(AC14&amp;$C$61),0)</f>
        <v>#N/A</v>
      </c>
      <c r="L3" s="56" t="e">
        <f ca="1">MATCH(MAX(S$65:INDIRECT(AD14&amp;$C$61)),S$65:INDIRECT(AD14&amp;$C$61),0)</f>
        <v>#N/A</v>
      </c>
      <c r="M3" s="56" t="e">
        <f ca="1">MATCH(MAX(T$65:INDIRECT(AE14&amp;$C$61)),T$65:INDIRECT(AE14&amp;$C$61),0)</f>
        <v>#N/A</v>
      </c>
      <c r="N3" s="56" t="e">
        <f ca="1">MATCH(MAX(U$65:INDIRECT(AF14&amp;$C$61)),U$65:INDIRECT(AF14&amp;$C$61),0)</f>
        <v>#N/A</v>
      </c>
      <c r="O3" s="56" t="e">
        <f ca="1">MATCH(MAX(V$65:INDIRECT(AG14&amp;$C$61)),V$65:INDIRECT(AG14&amp;$C$61),0)</f>
        <v>#N/A</v>
      </c>
      <c r="Q3" s="103" t="s">
        <v>30</v>
      </c>
      <c r="R3" s="56" t="e">
        <f ca="1">MATCH(LARGE(Q$65:INDIRECT(AB14&amp;$C$61),2),Q$65:INDIRECT(AB14&amp;$C$61),0)</f>
        <v>#NUM!</v>
      </c>
      <c r="S3" s="56" t="e">
        <f ca="1">MATCH(LARGE(R$65:INDIRECT(AC14&amp;$C$61),2),R$65:INDIRECT(AC14&amp;$C$61),0)</f>
        <v>#NUM!</v>
      </c>
      <c r="T3" s="56" t="e">
        <f ca="1">MATCH(LARGE(S$65:INDIRECT(AD14&amp;$C$61),2),S$65:INDIRECT(AD14&amp;$C$61),0)</f>
        <v>#NUM!</v>
      </c>
      <c r="U3" s="56" t="e">
        <f ca="1">MATCH(LARGE(T$65:INDIRECT(AE14&amp;$C$61),2),T$65:INDIRECT(AE14&amp;$C$61),0)</f>
        <v>#NUM!</v>
      </c>
      <c r="V3" s="56" t="e">
        <f ca="1">MATCH(LARGE(U$65:INDIRECT(AF14&amp;$C$61),2),U$65:INDIRECT(AF14&amp;$C$61),0)</f>
        <v>#NUM!</v>
      </c>
      <c r="W3" s="56" t="e">
        <f ca="1">MATCH(LARGE(V$65:INDIRECT(AG14&amp;$C$61),2),V$65:INDIRECT(AG14&amp;$C$61),0)</f>
        <v>#NUM!</v>
      </c>
      <c r="Y3" s="103" t="s">
        <v>30</v>
      </c>
      <c r="Z3" s="56" t="e">
        <f ca="1">MATCH(LARGE(Q$65:INDIRECT(AB14&amp;$C$61),3),Q$65:INDIRECT(AB14&amp;$C$61),0)</f>
        <v>#NUM!</v>
      </c>
      <c r="AA3" s="56" t="e">
        <f ca="1">MATCH(LARGE(R$65:INDIRECT(AC14&amp;$C$61),3),R$65:INDIRECT(AC14&amp;$C$61),0)</f>
        <v>#NUM!</v>
      </c>
      <c r="AB3" s="56" t="e">
        <f ca="1">MATCH(LARGE(S$65:INDIRECT(AD14&amp;$C$61),3),S$65:INDIRECT(AD14&amp;$C$61),0)</f>
        <v>#NUM!</v>
      </c>
      <c r="AC3" s="56" t="e">
        <f ca="1">MATCH(LARGE(T$65:INDIRECT(AE14&amp;$C$61),3),T$65:INDIRECT(AE14&amp;$C$61),0)</f>
        <v>#NUM!</v>
      </c>
      <c r="AD3" s="56" t="e">
        <f ca="1">MATCH(LARGE(U$65:INDIRECT(AF14&amp;$C$61),3),U$65:INDIRECT(AF14&amp;$C$61),0)</f>
        <v>#NUM!</v>
      </c>
      <c r="AE3" s="56" t="e">
        <f ca="1">MATCH(LARGE(V$65:INDIRECT(AG14&amp;$C$61),3),V$65:INDIRECT(AG14&amp;$C$61),0)</f>
        <v>#NUM!</v>
      </c>
      <c r="AI3" s="24" t="s">
        <v>164</v>
      </c>
      <c r="AJ3" s="71" t="s">
        <v>146</v>
      </c>
    </row>
    <row r="4" spans="1:38" x14ac:dyDescent="0.25">
      <c r="I4" s="103"/>
      <c r="J4" s="54"/>
      <c r="K4" s="54"/>
      <c r="L4" s="54"/>
      <c r="M4" s="54"/>
      <c r="N4" s="54"/>
      <c r="O4" s="54"/>
      <c r="Q4" s="103"/>
      <c r="R4" s="54"/>
      <c r="S4" s="54"/>
      <c r="T4" s="54"/>
      <c r="U4" s="54"/>
      <c r="V4" s="54"/>
      <c r="W4" s="54"/>
      <c r="Y4" s="103"/>
      <c r="Z4" s="54"/>
      <c r="AA4" s="54"/>
      <c r="AB4" s="54"/>
      <c r="AC4" s="54"/>
      <c r="AD4" s="54"/>
      <c r="AE4" s="54"/>
      <c r="AI4" s="24" t="s">
        <v>165</v>
      </c>
      <c r="AJ4" s="71" t="s">
        <v>147</v>
      </c>
    </row>
    <row r="5" spans="1:38" x14ac:dyDescent="0.25">
      <c r="I5" s="103" t="s">
        <v>66</v>
      </c>
      <c r="J5" s="25">
        <f ca="1">MIN(J$65:INDIRECT("G"&amp;$C$61))</f>
        <v>0</v>
      </c>
      <c r="K5" s="25">
        <f ca="1">MIN(K$65:INDIRECT("H"&amp;$C$61))</f>
        <v>0</v>
      </c>
      <c r="L5" s="25">
        <f ca="1">MIN(L$65:INDIRECT("I"&amp;$C$61))</f>
        <v>0</v>
      </c>
      <c r="M5" s="25">
        <f ca="1">MIN(M$65:INDIRECT("J"&amp;$C$61))</f>
        <v>0</v>
      </c>
      <c r="N5" s="25">
        <f ca="1">MIN(N$65:INDIRECT("K"&amp;$C$61))</f>
        <v>0</v>
      </c>
      <c r="O5" s="25">
        <f ca="1">MIN(O$65:INDIRECT("L"&amp;$C$61))</f>
        <v>0</v>
      </c>
      <c r="Q5" s="103" t="s">
        <v>67</v>
      </c>
      <c r="R5" s="25" t="e">
        <f ca="1">SMALL(J$65:INDIRECT("G"&amp;$C$61),2)</f>
        <v>#NUM!</v>
      </c>
      <c r="S5" s="25" t="e">
        <f ca="1">SMALL(K$65:INDIRECT("H"&amp;$C$61),2)</f>
        <v>#NUM!</v>
      </c>
      <c r="T5" s="25" t="e">
        <f ca="1">SMALL(L$65:INDIRECT("I"&amp;$C$61),2)</f>
        <v>#NUM!</v>
      </c>
      <c r="U5" s="25" t="e">
        <f ca="1">SMALL(M$65:INDIRECT("J"&amp;$C$61),2)</f>
        <v>#NUM!</v>
      </c>
      <c r="V5" s="25" t="e">
        <f ca="1">SMALL(N$65:INDIRECT("K"&amp;$C$61),2)</f>
        <v>#NUM!</v>
      </c>
      <c r="W5" s="25" t="e">
        <f ca="1">SMALL(O$65:INDIRECT("L"&amp;$C$61),2)</f>
        <v>#NUM!</v>
      </c>
      <c r="Y5" s="103" t="s">
        <v>68</v>
      </c>
      <c r="Z5" s="25" t="e">
        <f ca="1">SMALL(J$65:INDIRECT("G"&amp;$C$61),3)</f>
        <v>#NUM!</v>
      </c>
      <c r="AA5" s="25" t="e">
        <f ca="1">SMALL(K$65:INDIRECT("H"&amp;$C$61),3)</f>
        <v>#NUM!</v>
      </c>
      <c r="AB5" s="25" t="e">
        <f ca="1">SMALL(L$65:INDIRECT("I"&amp;$C$61),3)</f>
        <v>#NUM!</v>
      </c>
      <c r="AC5" s="25" t="e">
        <f ca="1">SMALL(M$65:INDIRECT("J"&amp;$C$61),3)</f>
        <v>#NUM!</v>
      </c>
      <c r="AD5" s="25" t="e">
        <f ca="1">SMALL(N$65:INDIRECT("K"&amp;$C$61),3)</f>
        <v>#NUM!</v>
      </c>
      <c r="AE5" s="25" t="e">
        <f ca="1">SMALL(O$65:INDIRECT("L"&amp;$C$61),3)</f>
        <v>#NUM!</v>
      </c>
      <c r="AI5" s="24" t="s">
        <v>166</v>
      </c>
      <c r="AJ5" s="70" t="s">
        <v>148</v>
      </c>
    </row>
    <row r="6" spans="1:38" x14ac:dyDescent="0.25">
      <c r="I6" s="103" t="s">
        <v>30</v>
      </c>
      <c r="J6" s="56" t="e">
        <f t="array" aca="1" ref="J6" ca="1">MATCH(MIN(Q$65:INDIRECT(AB14&amp;$C$61)),Q$65:INDIRECT(AB14&amp;$C$61),0)</f>
        <v>#N/A</v>
      </c>
      <c r="K6" s="56" t="e">
        <f t="array" aca="1" ref="K6" ca="1">MATCH(MIN(R$65:INDIRECT(AC14&amp;$C$61)),R$65:INDIRECT(AC14&amp;$C$61),0)</f>
        <v>#N/A</v>
      </c>
      <c r="L6" s="56" t="e">
        <f t="array" aca="1" ref="L6" ca="1">MATCH(MIN(S$65:INDIRECT(AD14&amp;$C$61)),S$65:INDIRECT(AD14&amp;$C$61),0)</f>
        <v>#N/A</v>
      </c>
      <c r="M6" s="56" t="e">
        <f t="array" aca="1" ref="M6" ca="1">MATCH(MIN(T$65:INDIRECT(AE14&amp;$C$61)),T$65:INDIRECT(AE14&amp;$C$61),0)</f>
        <v>#N/A</v>
      </c>
      <c r="N6" s="56" t="e">
        <f t="array" aca="1" ref="N6" ca="1">MATCH(MIN(U$65:INDIRECT(AF14&amp;$C$61)),U$65:INDIRECT(AF14&amp;$C$61),0)</f>
        <v>#N/A</v>
      </c>
      <c r="O6" s="56" t="e">
        <f t="array" aca="1" ref="O6" ca="1">MATCH(MIN(V$65:INDIRECT(AG14&amp;$C$61)),V$65:INDIRECT(AG14&amp;$C$61),0)</f>
        <v>#N/A</v>
      </c>
      <c r="Q6" s="103" t="s">
        <v>30</v>
      </c>
      <c r="R6" s="56" t="e">
        <f ca="1">MATCH(SMALL(Q$65:INDIRECT(AB14&amp;$C$61),2),Q$65:INDIRECT(AB14&amp;$C$61),0)</f>
        <v>#NUM!</v>
      </c>
      <c r="S6" s="56" t="e">
        <f ca="1">MATCH(SMALL(R$65:INDIRECT(AC14&amp;$C$61),2),R$65:INDIRECT(AC14&amp;$C$61),0)</f>
        <v>#NUM!</v>
      </c>
      <c r="T6" s="56" t="e">
        <f ca="1">MATCH(SMALL(S$65:INDIRECT(AD14&amp;$C$61),2),S$65:INDIRECT(AD14&amp;$C$61),0)</f>
        <v>#NUM!</v>
      </c>
      <c r="U6" s="56" t="e">
        <f ca="1">MATCH(SMALL(T$65:INDIRECT(AE14&amp;$C$61),2),T$65:INDIRECT(AE14&amp;$C$61),0)</f>
        <v>#NUM!</v>
      </c>
      <c r="V6" s="56" t="e">
        <f ca="1">MATCH(SMALL(U$65:INDIRECT(AF14&amp;$C$61),2),U$65:INDIRECT(AF14&amp;$C$61),0)</f>
        <v>#NUM!</v>
      </c>
      <c r="W6" s="56" t="e">
        <f ca="1">MATCH(SMALL(V$65:INDIRECT(AG14&amp;$C$61),2),V$65:INDIRECT(AG14&amp;$C$61),0)</f>
        <v>#NUM!</v>
      </c>
      <c r="Y6" s="103" t="s">
        <v>30</v>
      </c>
      <c r="Z6" s="56" t="e">
        <f ca="1">MATCH(SMALL(Q$65:INDIRECT(AB14&amp;$C$61),3),Q$65:INDIRECT(AB14&amp;$C$61),0)</f>
        <v>#NUM!</v>
      </c>
      <c r="AA6" s="56" t="e">
        <f ca="1">MATCH(SMALL(R$65:INDIRECT(AC14&amp;$C$61),3),R$65:INDIRECT(AC14&amp;$C$61),0)</f>
        <v>#NUM!</v>
      </c>
      <c r="AB6" s="56" t="e">
        <f ca="1">MATCH(SMALL(S$65:INDIRECT(AD14&amp;$C$61),3),S$65:INDIRECT(AD14&amp;$C$61),0)</f>
        <v>#NUM!</v>
      </c>
      <c r="AC6" s="56" t="e">
        <f ca="1">MATCH(SMALL(T$65:INDIRECT(AE14&amp;$C$61),3),T$65:INDIRECT(AE14&amp;$C$61),0)</f>
        <v>#NUM!</v>
      </c>
      <c r="AD6" s="56" t="e">
        <f ca="1">MATCH(SMALL(U$65:INDIRECT(AF14&amp;$C$61),3),U$65:INDIRECT(AF14&amp;$C$61),0)</f>
        <v>#NUM!</v>
      </c>
      <c r="AE6" s="56" t="e">
        <f ca="1">MATCH(SMALL(V$65:INDIRECT(AG14&amp;$C$61),3),V$65:INDIRECT(AG14&amp;$C$61),0)</f>
        <v>#NUM!</v>
      </c>
      <c r="AI6" s="24" t="s">
        <v>167</v>
      </c>
      <c r="AJ6" s="70" t="s">
        <v>159</v>
      </c>
    </row>
    <row r="7" spans="1:38" x14ac:dyDescent="0.25">
      <c r="Q7" s="104"/>
      <c r="AA7" s="65"/>
      <c r="AJ7" s="72" t="s">
        <v>160</v>
      </c>
    </row>
    <row r="8" spans="1:38" x14ac:dyDescent="0.25">
      <c r="Q8" s="104"/>
      <c r="AJ8" t="s">
        <v>161</v>
      </c>
    </row>
    <row r="9" spans="1:38" x14ac:dyDescent="0.25">
      <c r="Q9" s="104"/>
      <c r="R9" s="3"/>
      <c r="S9" s="3"/>
      <c r="Z9" s="3"/>
      <c r="AA9" s="3"/>
      <c r="AB9" s="3"/>
      <c r="AC9" s="3"/>
    </row>
    <row r="10" spans="1:38" x14ac:dyDescent="0.25">
      <c r="Q10" s="104"/>
      <c r="AB10" s="23"/>
      <c r="AC10" s="64" t="s">
        <v>176</v>
      </c>
      <c r="AD10" s="76">
        <v>1</v>
      </c>
      <c r="AE10" t="s">
        <v>183</v>
      </c>
    </row>
    <row r="11" spans="1:38" x14ac:dyDescent="0.25">
      <c r="Q11" s="104"/>
      <c r="AB11" s="23"/>
      <c r="AC11" s="64" t="s">
        <v>177</v>
      </c>
      <c r="AD11" s="76">
        <v>3156</v>
      </c>
      <c r="AL11" s="3"/>
    </row>
    <row r="12" spans="1:38" x14ac:dyDescent="0.25">
      <c r="D12" s="69" t="s">
        <v>0</v>
      </c>
      <c r="E12" s="69" t="s">
        <v>266</v>
      </c>
      <c r="F12" s="28" t="s">
        <v>191</v>
      </c>
      <c r="G12" s="28" t="s">
        <v>192</v>
      </c>
      <c r="H12" s="28" t="s">
        <v>193</v>
      </c>
      <c r="I12" s="28" t="s">
        <v>194</v>
      </c>
      <c r="J12" t="s">
        <v>129</v>
      </c>
      <c r="K12" t="s">
        <v>5</v>
      </c>
      <c r="L12" t="s">
        <v>6</v>
      </c>
      <c r="M12" t="s">
        <v>7</v>
      </c>
      <c r="N12" t="s">
        <v>8</v>
      </c>
      <c r="O12" t="s">
        <v>9</v>
      </c>
      <c r="P12" t="s">
        <v>10</v>
      </c>
      <c r="Q12" s="104"/>
      <c r="T12" s="69" t="s">
        <v>122</v>
      </c>
      <c r="U12" s="69" t="s">
        <v>0</v>
      </c>
      <c r="V12" s="69" t="s">
        <v>266</v>
      </c>
      <c r="W12" s="28" t="s">
        <v>191</v>
      </c>
      <c r="X12" s="28" t="s">
        <v>192</v>
      </c>
      <c r="Y12" s="28" t="s">
        <v>193</v>
      </c>
      <c r="Z12" s="28" t="s">
        <v>194</v>
      </c>
      <c r="AA12" s="69" t="s">
        <v>129</v>
      </c>
      <c r="AB12" s="68" t="s">
        <v>123</v>
      </c>
      <c r="AC12" s="68" t="s">
        <v>124</v>
      </c>
      <c r="AD12" s="68" t="s">
        <v>125</v>
      </c>
      <c r="AE12" s="68" t="s">
        <v>126</v>
      </c>
      <c r="AF12" s="68" t="s">
        <v>127</v>
      </c>
      <c r="AG12" s="68" t="s">
        <v>128</v>
      </c>
      <c r="AH12" s="69" t="s">
        <v>153</v>
      </c>
      <c r="AI12" s="69" t="s">
        <v>149</v>
      </c>
      <c r="AJ12" s="69" t="s">
        <v>162</v>
      </c>
      <c r="AL12" s="86"/>
    </row>
    <row r="13" spans="1:38" x14ac:dyDescent="0.25">
      <c r="Q13" s="104"/>
      <c r="T13" s="24"/>
      <c r="AB13" s="68" t="s">
        <v>150</v>
      </c>
      <c r="AC13" s="68" t="s">
        <v>151</v>
      </c>
      <c r="AD13" s="68" t="s">
        <v>152</v>
      </c>
      <c r="AE13" s="68" t="s">
        <v>198</v>
      </c>
      <c r="AF13" s="68" t="s">
        <v>154</v>
      </c>
      <c r="AG13" s="68" t="s">
        <v>155</v>
      </c>
      <c r="AH13" s="69"/>
      <c r="AI13" s="69"/>
      <c r="AJ13" s="69"/>
    </row>
    <row r="14" spans="1:38" x14ac:dyDescent="0.25">
      <c r="C14" s="24" t="s">
        <v>30</v>
      </c>
      <c r="E14" s="69"/>
      <c r="Q14" s="104"/>
      <c r="T14" s="24"/>
      <c r="V14" s="69"/>
      <c r="W14" s="69"/>
      <c r="X14" s="69"/>
      <c r="Y14" s="69"/>
      <c r="Z14" s="69"/>
      <c r="AB14" s="68" t="s">
        <v>156</v>
      </c>
      <c r="AC14" s="68" t="s">
        <v>157</v>
      </c>
      <c r="AD14" s="68" t="s">
        <v>158</v>
      </c>
      <c r="AE14" s="68" t="s">
        <v>195</v>
      </c>
      <c r="AF14" s="68" t="s">
        <v>196</v>
      </c>
      <c r="AG14" s="68" t="s">
        <v>197</v>
      </c>
      <c r="AH14" s="69"/>
      <c r="AI14" s="69"/>
      <c r="AJ14" s="69"/>
    </row>
    <row r="15" spans="1:38" x14ac:dyDescent="0.25">
      <c r="A15" s="73" t="s">
        <v>69</v>
      </c>
      <c r="B15" s="69" t="s">
        <v>31</v>
      </c>
      <c r="C15" s="73" t="e">
        <f ca="1">J3</f>
        <v>#N/A</v>
      </c>
      <c r="D15" s="69" t="e">
        <f ca="1">INDEX(D$65:INDIRECT("D"&amp;$C$61),$C15)</f>
        <v>#N/A</v>
      </c>
      <c r="E15" s="69" t="e">
        <f ca="1">INDEX(INDIRECT(("'MemberID'!$C$6:C"&amp;MemberID!$C$1)),MATCH(D15,INDIRECT(("'MemberID'!$G$6:G"&amp;MemberID!$C$1)),0))</f>
        <v>#N/A</v>
      </c>
      <c r="F15" s="69" t="e">
        <f ca="1">INDEX(E$65:INDIRECT("E"&amp;$C$61),$C15)</f>
        <v>#N/A</v>
      </c>
      <c r="G15" t="e">
        <f ca="1">INDEX(F$65:INDIRECT("F"&amp;$C$61),$C15)</f>
        <v>#N/A</v>
      </c>
      <c r="H15" t="e">
        <f ca="1">INDEX(G$65:INDIRECT("G"&amp;$C$61),$C15)</f>
        <v>#N/A</v>
      </c>
      <c r="I15" s="69" t="e">
        <f ca="1">INDEX(H$65:INDIRECT("H"&amp;$C$61),$C15)</f>
        <v>#N/A</v>
      </c>
      <c r="J15" t="e">
        <f ca="1">INDEX(I$65:INDIRECT("I"&amp;$C$61),$C15)</f>
        <v>#N/A</v>
      </c>
      <c r="K15" s="23" t="e">
        <f ca="1">INDEX(J$65:INDIRECT("J"&amp;$C$61),$C15)</f>
        <v>#N/A</v>
      </c>
      <c r="L15" t="e">
        <f ca="1">INDEX(K$65:INDIRECT("K"&amp;$C$61),$C15)</f>
        <v>#N/A</v>
      </c>
      <c r="M15" t="e">
        <f ca="1">INDEX(L$65:INDIRECT("L"&amp;$C$61),$C15)</f>
        <v>#N/A</v>
      </c>
      <c r="N15" t="e">
        <f ca="1">INDEX(M$65:INDIRECT("M"&amp;$C$61),$C15)</f>
        <v>#N/A</v>
      </c>
      <c r="O15" t="e">
        <f ca="1">INDEX(N$65:INDIRECT("N"&amp;$C$61),$C15)</f>
        <v>#N/A</v>
      </c>
      <c r="P15" t="e">
        <f ca="1">INDEX(O$65:INDIRECT("O"&amp;$C$61),$C15)</f>
        <v>#N/A</v>
      </c>
      <c r="Q15" s="104"/>
      <c r="R15" s="73" t="s">
        <v>69</v>
      </c>
      <c r="S15" s="69" t="s">
        <v>31</v>
      </c>
      <c r="T15" s="73" t="e">
        <f t="array" aca="1" ref="T15" ca="1">MATCH(IF(ISBLANK($AD$11),LARGE(IF($E$65:INDIRECT("E"&amp;$C$61)=$AD$10,INDIRECT(AJ15&amp;65):INDIRECT(AJ15&amp;$C$61)),$AH15),IF(ISBLANK($AD$10),LARGE(IF($D$65:INDIRECT("D"&amp;$C$61)=$AD$11,INDIRECT(AJ15&amp;65):INDIRECT(AJ15&amp;$C$61)),$AH15),LARGE(IF(($E$65:INDIRECT("E"&amp;$C$61)=$AD$10)*($D$65:INDIRECT("D"&amp;$C$61)=$AD$11),INDIRECT(AJ15&amp;65):INDIRECT(AJ15&amp;$C$61)),$AH15))),INDIRECT(AJ15&amp;65):INDIRECT(AJ15&amp;$C$61),0)</f>
        <v>#NUM!</v>
      </c>
      <c r="U15" s="69" t="e">
        <f ca="1">INDEX(D$65:INDIRECT("D"&amp;$C$61),$T15)</f>
        <v>#NUM!</v>
      </c>
      <c r="V15" s="69" t="e">
        <f ca="1">INDEX(INDIRECT(("'MemberID'!$C$6:C"&amp;MemberID!$C$1)),MATCH(U15,INDIRECT(("'MemberID'!$G$6:G"&amp;MemberID!$C$1)),0))</f>
        <v>#NUM!</v>
      </c>
      <c r="W15" s="69" t="e">
        <f ca="1">INDEX(E$65:INDIRECT("E"&amp;$C$61),$T15)</f>
        <v>#NUM!</v>
      </c>
      <c r="X15" t="e">
        <f ca="1">INDEX(F$65:INDIRECT("F"&amp;$C$61),$T15)</f>
        <v>#NUM!</v>
      </c>
      <c r="Y15" t="e">
        <f ca="1">INDEX(G$65:INDIRECT("G"&amp;$C$61),$T15)</f>
        <v>#NUM!</v>
      </c>
      <c r="Z15" t="e">
        <f ca="1">INDEX(H$65:INDIRECT("H"&amp;$C$61),$T15)</f>
        <v>#NUM!</v>
      </c>
      <c r="AA15" t="e">
        <f ca="1">INDEX(I$65:INDIRECT("I"&amp;$C$61),$T15)</f>
        <v>#NUM!</v>
      </c>
      <c r="AB15" s="23" t="e">
        <f t="array" aca="1" ref="AB15" ca="1">IF(ISBLANK($AD$11),LARGE(IF($E$65:INDIRECT("E"&amp;$C$61)=$AD$10,J$65:INDIRECT(AB$13&amp;$C$61)),$AH15),IF(ISBLANK($AD$10),LARGE(IF($D$65:INDIRECT("D"&amp;$C$61)=$AD$11,J$65:INDIRECT(AB$13&amp;$C$61)),$AH15),LARGE(IF(($E$65:INDIRECT("E"&amp;$C$61)=$AD$10)*($D$65:INDIRECT("D"&amp;$C$61)=$AD$11),J$65:INDIRECT(AB$13&amp;$C$61)),$AH15)))</f>
        <v>#NUM!</v>
      </c>
      <c r="AC15" t="e">
        <f ca="1">INDEX(K$65:INDIRECT("K"&amp;$C$61),$T15)</f>
        <v>#NUM!</v>
      </c>
      <c r="AD15" t="e">
        <f ca="1">INDEX(L$65:INDIRECT("L"&amp;$C$61),$T15)</f>
        <v>#NUM!</v>
      </c>
      <c r="AE15" t="e">
        <f ca="1">INDEX(M$65:INDIRECT("M"&amp;$C$61),$T15)</f>
        <v>#NUM!</v>
      </c>
      <c r="AF15" t="e">
        <f ca="1">INDEX(N$65:INDIRECT("N"&amp;$C$61),$T15)</f>
        <v>#NUM!</v>
      </c>
      <c r="AG15" t="e">
        <f ca="1">INDEX(O$65:INDIRECT("O"&amp;$C$61),$T15)</f>
        <v>#NUM!</v>
      </c>
      <c r="AH15" s="69">
        <v>1</v>
      </c>
      <c r="AI15" s="69" t="s">
        <v>150</v>
      </c>
      <c r="AJ15" s="69" t="s">
        <v>156</v>
      </c>
    </row>
    <row r="16" spans="1:38" x14ac:dyDescent="0.25">
      <c r="A16" s="73" t="s">
        <v>70</v>
      </c>
      <c r="B16" s="69" t="s">
        <v>31</v>
      </c>
      <c r="C16" s="73" t="e">
        <f ca="1">R3</f>
        <v>#NUM!</v>
      </c>
      <c r="D16" s="69" t="e">
        <f ca="1">INDEX(D$65:INDIRECT("D"&amp;$C$61),$C16)</f>
        <v>#NUM!</v>
      </c>
      <c r="E16" s="69" t="e">
        <f ca="1">INDEX(INDIRECT(("'MemberID'!$C$6:C"&amp;MemberID!$C$1)),MATCH(D16,INDIRECT(("'MemberID'!$G$6:G"&amp;MemberID!$C$1)),0))</f>
        <v>#NUM!</v>
      </c>
      <c r="F16" s="69" t="e">
        <f ca="1">INDEX(E$65:INDIRECT("E"&amp;$C$61),$C16)</f>
        <v>#NUM!</v>
      </c>
      <c r="G16" t="e">
        <f ca="1">INDEX(F$65:INDIRECT("F"&amp;$C$61),$C16)</f>
        <v>#NUM!</v>
      </c>
      <c r="H16" t="e">
        <f ca="1">INDEX(G$65:INDIRECT("G"&amp;$C$61),$C16)</f>
        <v>#NUM!</v>
      </c>
      <c r="I16" s="69" t="e">
        <f ca="1">INDEX(H$65:INDIRECT("H"&amp;$C$61),$C16)</f>
        <v>#NUM!</v>
      </c>
      <c r="J16" t="e">
        <f ca="1">INDEX(I$65:INDIRECT("I"&amp;$C$61),$C16)</f>
        <v>#NUM!</v>
      </c>
      <c r="K16" s="23" t="e">
        <f ca="1">INDEX(J$65:INDIRECT("J"&amp;$C$61),$C16)</f>
        <v>#NUM!</v>
      </c>
      <c r="L16" t="e">
        <f ca="1">INDEX(K$65:INDIRECT("K"&amp;$C$61),$C16)</f>
        <v>#NUM!</v>
      </c>
      <c r="M16" t="e">
        <f ca="1">INDEX(L$65:INDIRECT("L"&amp;$C$61),$C16)</f>
        <v>#NUM!</v>
      </c>
      <c r="N16" t="e">
        <f ca="1">INDEX(M$65:INDIRECT("M"&amp;$C$61),$C16)</f>
        <v>#NUM!</v>
      </c>
      <c r="O16" t="e">
        <f ca="1">INDEX(N$65:INDIRECT("N"&amp;$C$61),$C16)</f>
        <v>#NUM!</v>
      </c>
      <c r="P16" t="e">
        <f ca="1">INDEX(O$65:INDIRECT("O"&amp;$C$61),$C16)</f>
        <v>#NUM!</v>
      </c>
      <c r="Q16" s="104"/>
      <c r="R16" s="73" t="s">
        <v>70</v>
      </c>
      <c r="S16" s="69" t="s">
        <v>31</v>
      </c>
      <c r="T16" s="73" t="e">
        <f t="array" aca="1" ref="T16" ca="1">MATCH(IF(ISBLANK($AD$11),LARGE(IF($E$65:INDIRECT("E"&amp;$C$61)=$AD$10,INDIRECT(AJ16&amp;65):INDIRECT(AJ16&amp;$C$61)),$AH16),IF(ISBLANK($AD$10),LARGE(IF($D$65:INDIRECT("D"&amp;$C$61)=$AD$11,INDIRECT(AJ16&amp;65):INDIRECT(AJ16&amp;$C$61)),$AH16),LARGE(IF(($E$65:INDIRECT("E"&amp;$C$61)=$AD$10)*($D$65:INDIRECT("D"&amp;$C$61)=$AD$11),INDIRECT(AJ16&amp;65):INDIRECT(AJ16&amp;$C$61)),$AH16))),INDIRECT(AJ16&amp;65):INDIRECT(AJ16&amp;$C$61),0)</f>
        <v>#NUM!</v>
      </c>
      <c r="U16" s="69" t="e">
        <f ca="1">INDEX(D$65:INDIRECT("D"&amp;$C$61),$T16)</f>
        <v>#NUM!</v>
      </c>
      <c r="V16" s="69" t="e">
        <f ca="1">INDEX(INDIRECT(("'MemberID'!$C$6:C"&amp;MemberID!$C$1)),MATCH(U16,INDIRECT(("'MemberID'!$G$6:G"&amp;MemberID!$C$1)),0))</f>
        <v>#NUM!</v>
      </c>
      <c r="W16" s="69" t="e">
        <f ca="1">INDEX(E$65:INDIRECT("E"&amp;$C$61),$T16)</f>
        <v>#NUM!</v>
      </c>
      <c r="X16" t="e">
        <f ca="1">INDEX(F$65:INDIRECT("F"&amp;$C$61),$T16)</f>
        <v>#NUM!</v>
      </c>
      <c r="Y16" t="e">
        <f ca="1">INDEX(G$65:INDIRECT("G"&amp;$C$61),$T16)</f>
        <v>#NUM!</v>
      </c>
      <c r="Z16" t="e">
        <f ca="1">INDEX(H$65:INDIRECT("H"&amp;$C$61),$T16)</f>
        <v>#NUM!</v>
      </c>
      <c r="AA16" t="e">
        <f ca="1">INDEX(I$65:INDIRECT("I"&amp;$C$61),$T16)</f>
        <v>#NUM!</v>
      </c>
      <c r="AB16" s="23" t="e">
        <f t="array" aca="1" ref="AB16" ca="1">IF(ISBLANK($AD$11),LARGE(IF($E$65:INDIRECT("E"&amp;$C$61)=$AD$10,J$65:INDIRECT(AB$13&amp;$C$61)),$AH16),IF(ISBLANK($AD$10),LARGE(IF($D$65:INDIRECT("D"&amp;$C$61)=$AD$11,J$65:INDIRECT(AB$13&amp;$C$61)),$AH16),LARGE(IF(($E$65:INDIRECT("E"&amp;$C$61)=$AD$10)*($D$65:INDIRECT("D"&amp;$C$61)=$AD$11),J$65:INDIRECT(AB$13&amp;$C$61)),$AH16)))</f>
        <v>#NUM!</v>
      </c>
      <c r="AC16" t="e">
        <f ca="1">INDEX(K$65:INDIRECT("K"&amp;$C$61),$T16)</f>
        <v>#NUM!</v>
      </c>
      <c r="AD16" t="e">
        <f ca="1">INDEX(L$65:INDIRECT("L"&amp;$C$61),$T16)</f>
        <v>#NUM!</v>
      </c>
      <c r="AE16" t="e">
        <f ca="1">INDEX(M$65:INDIRECT("M"&amp;$C$61),$T16)</f>
        <v>#NUM!</v>
      </c>
      <c r="AF16" t="e">
        <f ca="1">INDEX(N$65:INDIRECT("N"&amp;$C$61),$T16)</f>
        <v>#NUM!</v>
      </c>
      <c r="AG16" t="e">
        <f ca="1">INDEX(O$65:INDIRECT("O"&amp;$C$61),$T16)</f>
        <v>#NUM!</v>
      </c>
      <c r="AH16" s="69">
        <v>2</v>
      </c>
      <c r="AI16" s="69" t="str">
        <f>AI15</f>
        <v>J</v>
      </c>
      <c r="AJ16" s="69" t="str">
        <f>AJ15</f>
        <v>Q</v>
      </c>
    </row>
    <row r="17" spans="1:36" x14ac:dyDescent="0.25">
      <c r="A17" s="73" t="s">
        <v>71</v>
      </c>
      <c r="B17" s="69" t="s">
        <v>31</v>
      </c>
      <c r="C17" s="73" t="e">
        <f ca="1">Z3</f>
        <v>#NUM!</v>
      </c>
      <c r="D17" s="69" t="e">
        <f ca="1">INDEX(D$65:INDIRECT("D"&amp;$C$61),$C17)</f>
        <v>#NUM!</v>
      </c>
      <c r="E17" s="69" t="e">
        <f ca="1">INDEX(INDIRECT(("'MemberID'!$C$6:C"&amp;MemberID!$C$1)),MATCH(D17,INDIRECT(("'MemberID'!$G$6:G"&amp;MemberID!$C$1)),0))</f>
        <v>#NUM!</v>
      </c>
      <c r="F17" s="69" t="e">
        <f ca="1">INDEX(E$65:INDIRECT("E"&amp;$C$61),$C17)</f>
        <v>#NUM!</v>
      </c>
      <c r="G17" t="e">
        <f ca="1">INDEX(F$65:INDIRECT("F"&amp;$C$61),$C17)</f>
        <v>#NUM!</v>
      </c>
      <c r="H17" t="e">
        <f ca="1">INDEX(G$65:INDIRECT("G"&amp;$C$61),$C17)</f>
        <v>#NUM!</v>
      </c>
      <c r="I17" s="69" t="e">
        <f ca="1">INDEX(H$65:INDIRECT("H"&amp;$C$61),$C17)</f>
        <v>#NUM!</v>
      </c>
      <c r="J17" t="e">
        <f ca="1">INDEX(I$65:INDIRECT("I"&amp;$C$61),$C17)</f>
        <v>#NUM!</v>
      </c>
      <c r="K17" s="23" t="e">
        <f ca="1">INDEX(J$65:INDIRECT("J"&amp;$C$61),$C17)</f>
        <v>#NUM!</v>
      </c>
      <c r="L17" t="e">
        <f ca="1">INDEX(K$65:INDIRECT("K"&amp;$C$61),$C17)</f>
        <v>#NUM!</v>
      </c>
      <c r="M17" t="e">
        <f ca="1">INDEX(L$65:INDIRECT("L"&amp;$C$61),$C17)</f>
        <v>#NUM!</v>
      </c>
      <c r="N17" t="e">
        <f ca="1">INDEX(M$65:INDIRECT("M"&amp;$C$61),$C17)</f>
        <v>#NUM!</v>
      </c>
      <c r="O17" t="e">
        <f ca="1">INDEX(N$65:INDIRECT("N"&amp;$C$61),$C17)</f>
        <v>#NUM!</v>
      </c>
      <c r="P17" t="e">
        <f ca="1">INDEX(O$65:INDIRECT("O"&amp;$C$61),$C17)</f>
        <v>#NUM!</v>
      </c>
      <c r="Q17" s="104"/>
      <c r="R17" s="73" t="s">
        <v>71</v>
      </c>
      <c r="S17" s="69" t="s">
        <v>31</v>
      </c>
      <c r="T17" s="73" t="e">
        <f t="array" aca="1" ref="T17" ca="1">MATCH(IF(ISBLANK($AD$11),LARGE(IF($E$65:INDIRECT("E"&amp;$C$61)=$AD$10,INDIRECT(AJ17&amp;65):INDIRECT(AJ17&amp;$C$61)),$AH17),IF(ISBLANK($AD$10),LARGE(IF($D$65:INDIRECT("D"&amp;$C$61)=$AD$11,INDIRECT(AJ17&amp;65):INDIRECT(AJ17&amp;$C$61)),$AH17),LARGE(IF(($E$65:INDIRECT("E"&amp;$C$61)=$AD$10)*($D$65:INDIRECT("D"&amp;$C$61)=$AD$11),INDIRECT(AJ17&amp;65):INDIRECT(AJ17&amp;$C$61)),$AH17))),INDIRECT(AJ17&amp;65):INDIRECT(AJ17&amp;$C$61),0)</f>
        <v>#NUM!</v>
      </c>
      <c r="U17" s="69" t="e">
        <f ca="1">INDEX(D$65:INDIRECT("D"&amp;$C$61),$T17)</f>
        <v>#NUM!</v>
      </c>
      <c r="V17" s="69" t="e">
        <f ca="1">INDEX(INDIRECT(("'MemberID'!$C$6:C"&amp;MemberID!$C$1)),MATCH(U17,INDIRECT(("'MemberID'!$G$6:G"&amp;MemberID!$C$1)),0))</f>
        <v>#NUM!</v>
      </c>
      <c r="W17" s="69" t="e">
        <f ca="1">INDEX(E$65:INDIRECT("E"&amp;$C$61),$T17)</f>
        <v>#NUM!</v>
      </c>
      <c r="X17" t="e">
        <f ca="1">INDEX(F$65:INDIRECT("F"&amp;$C$61),$T17)</f>
        <v>#NUM!</v>
      </c>
      <c r="Y17" t="e">
        <f ca="1">INDEX(G$65:INDIRECT("G"&amp;$C$61),$T17)</f>
        <v>#NUM!</v>
      </c>
      <c r="Z17" t="e">
        <f ca="1">INDEX(H$65:INDIRECT("H"&amp;$C$61),$T17)</f>
        <v>#NUM!</v>
      </c>
      <c r="AA17" t="e">
        <f ca="1">INDEX(I$65:INDIRECT("I"&amp;$C$61),$T17)</f>
        <v>#NUM!</v>
      </c>
      <c r="AB17" s="23" t="e">
        <f t="array" aca="1" ref="AB17" ca="1">IF(ISBLANK($AD$11),LARGE(IF($E$65:INDIRECT("E"&amp;$C$61)=$AD$10,J$65:INDIRECT(AB$13&amp;$C$61)),$AH17),IF(ISBLANK($AD$10),LARGE(IF($D$65:INDIRECT("D"&amp;$C$61)=$AD$11,J$65:INDIRECT(AB$13&amp;$C$61)),$AH17),LARGE(IF(($E$65:INDIRECT("E"&amp;$C$61)=$AD$10)*($D$65:INDIRECT("D"&amp;$C$61)=$AD$11),J$65:INDIRECT(AB$13&amp;$C$61)),$AH17)))</f>
        <v>#NUM!</v>
      </c>
      <c r="AC17" t="e">
        <f ca="1">INDEX(K$65:INDIRECT("K"&amp;$C$61),$T17)</f>
        <v>#NUM!</v>
      </c>
      <c r="AD17" t="e">
        <f ca="1">INDEX(L$65:INDIRECT("L"&amp;$C$61),$T17)</f>
        <v>#NUM!</v>
      </c>
      <c r="AE17" t="e">
        <f ca="1">INDEX(M$65:INDIRECT("M"&amp;$C$61),$T17)</f>
        <v>#NUM!</v>
      </c>
      <c r="AF17" t="e">
        <f ca="1">INDEX(N$65:INDIRECT("N"&amp;$C$61),$T17)</f>
        <v>#NUM!</v>
      </c>
      <c r="AG17" t="e">
        <f ca="1">INDEX(O$65:INDIRECT("O"&amp;$C$61),$T17)</f>
        <v>#NUM!</v>
      </c>
      <c r="AH17" s="69">
        <v>3</v>
      </c>
      <c r="AI17" s="69" t="str">
        <f t="shared" ref="AI17:AJ20" si="0">AI16</f>
        <v>J</v>
      </c>
      <c r="AJ17" s="69" t="str">
        <f t="shared" si="0"/>
        <v>Q</v>
      </c>
    </row>
    <row r="18" spans="1:36" x14ac:dyDescent="0.25">
      <c r="A18" s="74" t="s">
        <v>72</v>
      </c>
      <c r="B18" s="69" t="s">
        <v>31</v>
      </c>
      <c r="C18" s="74" t="e">
        <f ca="1">J6</f>
        <v>#N/A</v>
      </c>
      <c r="D18" s="69" t="e">
        <f ca="1">INDEX(D$65:INDIRECT("D"&amp;$C$61),$C18)</f>
        <v>#N/A</v>
      </c>
      <c r="E18" s="69" t="e">
        <f ca="1">INDEX(INDIRECT(("'MemberID'!$C$6:C"&amp;MemberID!$C$1)),MATCH(D18,INDIRECT(("'MemberID'!$G$6:G"&amp;MemberID!$C$1)),0))</f>
        <v>#N/A</v>
      </c>
      <c r="F18" s="69" t="e">
        <f ca="1">INDEX(E$65:INDIRECT("E"&amp;$C$61),$C18)</f>
        <v>#N/A</v>
      </c>
      <c r="G18" t="e">
        <f ca="1">INDEX(F$65:INDIRECT("F"&amp;$C$61),$C18)</f>
        <v>#N/A</v>
      </c>
      <c r="H18" t="e">
        <f ca="1">INDEX(G$65:INDIRECT("G"&amp;$C$61),$C18)</f>
        <v>#N/A</v>
      </c>
      <c r="I18" s="69" t="e">
        <f ca="1">INDEX(H$65:INDIRECT("H"&amp;$C$61),$C18)</f>
        <v>#N/A</v>
      </c>
      <c r="J18" t="e">
        <f ca="1">INDEX(I$65:INDIRECT("I"&amp;$C$61),$C18)</f>
        <v>#N/A</v>
      </c>
      <c r="K18" s="23" t="e">
        <f ca="1">INDEX(J$65:INDIRECT("J"&amp;$C$61),$C18)</f>
        <v>#N/A</v>
      </c>
      <c r="L18" t="e">
        <f ca="1">INDEX(K$65:INDIRECT("K"&amp;$C$61),$C18)</f>
        <v>#N/A</v>
      </c>
      <c r="M18" t="e">
        <f ca="1">INDEX(L$65:INDIRECT("L"&amp;$C$61),$C18)</f>
        <v>#N/A</v>
      </c>
      <c r="N18" t="e">
        <f ca="1">INDEX(M$65:INDIRECT("M"&amp;$C$61),$C18)</f>
        <v>#N/A</v>
      </c>
      <c r="O18" t="e">
        <f ca="1">INDEX(N$65:INDIRECT("N"&amp;$C$61),$C18)</f>
        <v>#N/A</v>
      </c>
      <c r="P18" t="e">
        <f ca="1">INDEX(O$65:INDIRECT("O"&amp;$C$61),$C18)</f>
        <v>#N/A</v>
      </c>
      <c r="Q18" s="104"/>
      <c r="R18" s="74" t="s">
        <v>72</v>
      </c>
      <c r="S18" s="69" t="s">
        <v>31</v>
      </c>
      <c r="T18" s="74" t="e">
        <f t="array" aca="1" ref="T18" ca="1">MATCH(IF(ISBLANK($AD$11),SMALL(IF($E$65:INDIRECT("E"&amp;$C$61)=$AD$10,INDIRECT(AJ18&amp;65):INDIRECT(AJ18&amp;$C$61)),$AH18),IF(ISBLANK($AD$10),SMALL(IF($D$65:INDIRECT("D"&amp;$C$61)=$AD$11,INDIRECT(AJ18&amp;65):INDIRECT(AJ18&amp;$C$61)),$AH18),SMALL(IF(($E$65:INDIRECT("E"&amp;$C$61)=$AD$10)*($D$65:INDIRECT("D"&amp;$C$61)=$AD$11),INDIRECT(AJ18&amp;65):INDIRECT(AJ18&amp;$C$61)),$AH18))),INDIRECT(AJ18&amp;65):INDIRECT(AJ18&amp;$C$61),0)</f>
        <v>#NUM!</v>
      </c>
      <c r="U18" s="69" t="e">
        <f ca="1">INDEX(D$65:INDIRECT("D"&amp;$C$61),$T18)</f>
        <v>#NUM!</v>
      </c>
      <c r="V18" s="69" t="e">
        <f ca="1">INDEX(INDIRECT(("'MemberID'!$C$6:C"&amp;MemberID!$C$1)),MATCH(U18,INDIRECT(("'MemberID'!$G$6:G"&amp;MemberID!$C$1)),0))</f>
        <v>#NUM!</v>
      </c>
      <c r="W18" s="69" t="e">
        <f ca="1">INDEX(E$65:INDIRECT("E"&amp;$C$61),$T18)</f>
        <v>#NUM!</v>
      </c>
      <c r="X18" t="e">
        <f ca="1">INDEX(F$65:INDIRECT("F"&amp;$C$61),$T18)</f>
        <v>#NUM!</v>
      </c>
      <c r="Y18" t="e">
        <f ca="1">INDEX(G$65:INDIRECT("G"&amp;$C$61),$T18)</f>
        <v>#NUM!</v>
      </c>
      <c r="Z18" t="e">
        <f ca="1">INDEX(H$65:INDIRECT("H"&amp;$C$61),$T18)</f>
        <v>#NUM!</v>
      </c>
      <c r="AA18" t="e">
        <f ca="1">INDEX(I$65:INDIRECT("I"&amp;$C$61),$T18)</f>
        <v>#NUM!</v>
      </c>
      <c r="AB18" s="23" t="e">
        <f t="array" aca="1" ref="AB18" ca="1">IF(ISBLANK($AD$11),SMALL(IF($E$65:INDIRECT("E"&amp;$C$61)=$AD$10,J$65:INDIRECT(AB$13&amp;$C$61)),$AH18),IF(ISBLANK($AD$10),SMALL(IF($D$65:INDIRECT("D"&amp;$C$61)=$AD$11,J$65:INDIRECT(AB$13&amp;$C$61)),$AH18),SMALL(IF(($E$65:INDIRECT("E"&amp;$C$61)=$AD$10)*($D$65:INDIRECT("D"&amp;$C$61)=$AD$11),J$65:INDIRECT(AB$13&amp;$C$61)),$AH18)))</f>
        <v>#NUM!</v>
      </c>
      <c r="AC18" t="e">
        <f ca="1">INDEX(K$65:INDIRECT("K"&amp;$C$61),$T18)</f>
        <v>#NUM!</v>
      </c>
      <c r="AD18" t="e">
        <f ca="1">INDEX(L$65:INDIRECT("L"&amp;$C$61),$T18)</f>
        <v>#NUM!</v>
      </c>
      <c r="AE18" t="e">
        <f ca="1">INDEX(M$65:INDIRECT("M"&amp;$C$61),$T18)</f>
        <v>#NUM!</v>
      </c>
      <c r="AF18" t="e">
        <f ca="1">INDEX(N$65:INDIRECT("N"&amp;$C$61),$T18)</f>
        <v>#NUM!</v>
      </c>
      <c r="AG18" t="e">
        <f ca="1">INDEX(O$65:INDIRECT("O"&amp;$C$61),$T18)</f>
        <v>#NUM!</v>
      </c>
      <c r="AH18" s="69">
        <v>1</v>
      </c>
      <c r="AI18" s="69" t="str">
        <f t="shared" si="0"/>
        <v>J</v>
      </c>
      <c r="AJ18" s="69" t="str">
        <f t="shared" si="0"/>
        <v>Q</v>
      </c>
    </row>
    <row r="19" spans="1:36" x14ac:dyDescent="0.25">
      <c r="A19" s="74" t="s">
        <v>73</v>
      </c>
      <c r="B19" s="69" t="s">
        <v>31</v>
      </c>
      <c r="C19" s="74" t="e">
        <f ca="1">R6</f>
        <v>#NUM!</v>
      </c>
      <c r="D19" s="69" t="e">
        <f ca="1">INDEX(D$65:INDIRECT("D"&amp;$C$61),$C19)</f>
        <v>#NUM!</v>
      </c>
      <c r="E19" s="69" t="e">
        <f ca="1">INDEX(INDIRECT(("'MemberID'!$C$6:C"&amp;MemberID!$C$1)),MATCH(D19,INDIRECT(("'MemberID'!$G$6:G"&amp;MemberID!$C$1)),0))</f>
        <v>#NUM!</v>
      </c>
      <c r="F19" s="69" t="e">
        <f ca="1">INDEX(E$65:INDIRECT("E"&amp;$C$61),$C19)</f>
        <v>#NUM!</v>
      </c>
      <c r="G19" t="e">
        <f ca="1">INDEX(F$65:INDIRECT("F"&amp;$C$61),$C19)</f>
        <v>#NUM!</v>
      </c>
      <c r="H19" t="e">
        <f ca="1">INDEX(G$65:INDIRECT("G"&amp;$C$61),$C19)</f>
        <v>#NUM!</v>
      </c>
      <c r="I19" s="69" t="e">
        <f ca="1">INDEX(H$65:INDIRECT("H"&amp;$C$61),$C19)</f>
        <v>#NUM!</v>
      </c>
      <c r="J19" t="e">
        <f ca="1">INDEX(I$65:INDIRECT("I"&amp;$C$61),$C19)</f>
        <v>#NUM!</v>
      </c>
      <c r="K19" s="23" t="e">
        <f ca="1">INDEX(J$65:INDIRECT("J"&amp;$C$61),$C19)</f>
        <v>#NUM!</v>
      </c>
      <c r="L19" t="e">
        <f ca="1">INDEX(K$65:INDIRECT("K"&amp;$C$61),$C19)</f>
        <v>#NUM!</v>
      </c>
      <c r="M19" t="e">
        <f ca="1">INDEX(L$65:INDIRECT("L"&amp;$C$61),$C19)</f>
        <v>#NUM!</v>
      </c>
      <c r="N19" t="e">
        <f ca="1">INDEX(M$65:INDIRECT("M"&amp;$C$61),$C19)</f>
        <v>#NUM!</v>
      </c>
      <c r="O19" t="e">
        <f ca="1">INDEX(N$65:INDIRECT("N"&amp;$C$61),$C19)</f>
        <v>#NUM!</v>
      </c>
      <c r="P19" t="e">
        <f ca="1">INDEX(O$65:INDIRECT("O"&amp;$C$61),$C19)</f>
        <v>#NUM!</v>
      </c>
      <c r="Q19" s="104"/>
      <c r="R19" s="74" t="s">
        <v>73</v>
      </c>
      <c r="S19" s="69" t="s">
        <v>31</v>
      </c>
      <c r="T19" s="74" t="e">
        <f t="array" aca="1" ref="T19" ca="1">MATCH(IF(ISBLANK($AD$11),SMALL(IF($E$65:INDIRECT("E"&amp;$C$61)=$AD$10,INDIRECT(AJ19&amp;65):INDIRECT(AJ19&amp;$C$61)),$AH19),IF(ISBLANK($AD$10),SMALL(IF($D$65:INDIRECT("D"&amp;$C$61)=$AD$11,INDIRECT(AJ19&amp;65):INDIRECT(AJ19&amp;$C$61)),$AH19),SMALL(IF(($E$65:INDIRECT("E"&amp;$C$61)=$AD$10)*($D$65:INDIRECT("D"&amp;$C$61)=$AD$11),INDIRECT(AJ19&amp;65):INDIRECT(AJ19&amp;$C$61)),$AH19))),INDIRECT(AJ19&amp;65):INDIRECT(AJ19&amp;$C$61),0)</f>
        <v>#NUM!</v>
      </c>
      <c r="U19" s="69" t="e">
        <f ca="1">INDEX(D$65:INDIRECT("D"&amp;$C$61),$T19)</f>
        <v>#NUM!</v>
      </c>
      <c r="V19" s="69" t="e">
        <f ca="1">INDEX(INDIRECT(("'MemberID'!$C$6:C"&amp;MemberID!$C$1)),MATCH(U19,INDIRECT(("'MemberID'!$G$6:G"&amp;MemberID!$C$1)),0))</f>
        <v>#NUM!</v>
      </c>
      <c r="W19" s="69" t="e">
        <f ca="1">INDEX(E$65:INDIRECT("E"&amp;$C$61),$T19)</f>
        <v>#NUM!</v>
      </c>
      <c r="X19" t="e">
        <f ca="1">INDEX(F$65:INDIRECT("F"&amp;$C$61),$T19)</f>
        <v>#NUM!</v>
      </c>
      <c r="Y19" t="e">
        <f ca="1">INDEX(G$65:INDIRECT("G"&amp;$C$61),$T19)</f>
        <v>#NUM!</v>
      </c>
      <c r="Z19" t="e">
        <f ca="1">INDEX(H$65:INDIRECT("H"&amp;$C$61),$T19)</f>
        <v>#NUM!</v>
      </c>
      <c r="AA19" t="e">
        <f ca="1">INDEX(I$65:INDIRECT("I"&amp;$C$61),$T19)</f>
        <v>#NUM!</v>
      </c>
      <c r="AB19" s="23" t="e">
        <f t="array" aca="1" ref="AB19" ca="1">IF(ISBLANK($AD$11),SMALL(IF($E$65:INDIRECT("E"&amp;$C$61)=$AD$10,J$65:INDIRECT(AB$13&amp;$C$61)),$AH19),IF(ISBLANK($AD$10),SMALL(IF($D$65:INDIRECT("D"&amp;$C$61)=$AD$11,J$65:INDIRECT(AB$13&amp;$C$61)),$AH19),SMALL(IF(($E$65:INDIRECT("E"&amp;$C$61)=$AD$10)*($D$65:INDIRECT("D"&amp;$C$61)=$AD$11),J$65:INDIRECT(AB$13&amp;$C$61)),$AH19)))</f>
        <v>#NUM!</v>
      </c>
      <c r="AC19" t="e">
        <f ca="1">INDEX(K$65:INDIRECT("K"&amp;$C$61),$T19)</f>
        <v>#NUM!</v>
      </c>
      <c r="AD19" t="e">
        <f ca="1">INDEX(L$65:INDIRECT("L"&amp;$C$61),$T19)</f>
        <v>#NUM!</v>
      </c>
      <c r="AE19" t="e">
        <f ca="1">INDEX(M$65:INDIRECT("M"&amp;$C$61),$T19)</f>
        <v>#NUM!</v>
      </c>
      <c r="AF19" t="e">
        <f ca="1">INDEX(N$65:INDIRECT("N"&amp;$C$61),$T19)</f>
        <v>#NUM!</v>
      </c>
      <c r="AG19" t="e">
        <f ca="1">INDEX(O$65:INDIRECT("O"&amp;$C$61),$T19)</f>
        <v>#NUM!</v>
      </c>
      <c r="AH19" s="69">
        <v>2</v>
      </c>
      <c r="AI19" s="69" t="str">
        <f t="shared" si="0"/>
        <v>J</v>
      </c>
      <c r="AJ19" s="69" t="str">
        <f t="shared" si="0"/>
        <v>Q</v>
      </c>
    </row>
    <row r="20" spans="1:36" x14ac:dyDescent="0.25">
      <c r="A20" s="74" t="s">
        <v>74</v>
      </c>
      <c r="B20" s="69" t="s">
        <v>31</v>
      </c>
      <c r="C20" s="74" t="e">
        <f ca="1">Z6</f>
        <v>#NUM!</v>
      </c>
      <c r="D20" s="69" t="e">
        <f ca="1">INDEX(D$65:INDIRECT("D"&amp;$C$61),$C20)</f>
        <v>#NUM!</v>
      </c>
      <c r="E20" s="69" t="e">
        <f ca="1">INDEX(INDIRECT(("'MemberID'!$C$6:C"&amp;MemberID!$C$1)),MATCH(D20,INDIRECT(("'MemberID'!$G$6:G"&amp;MemberID!$C$1)),0))</f>
        <v>#NUM!</v>
      </c>
      <c r="F20" s="69" t="e">
        <f ca="1">INDEX(E$65:INDIRECT("E"&amp;$C$61),$C20)</f>
        <v>#NUM!</v>
      </c>
      <c r="G20" t="e">
        <f ca="1">INDEX(F$65:INDIRECT("F"&amp;$C$61),$C20)</f>
        <v>#NUM!</v>
      </c>
      <c r="H20" t="e">
        <f ca="1">INDEX(G$65:INDIRECT("G"&amp;$C$61),$C20)</f>
        <v>#NUM!</v>
      </c>
      <c r="I20" s="69" t="e">
        <f ca="1">INDEX(H$65:INDIRECT("H"&amp;$C$61),$C20)</f>
        <v>#NUM!</v>
      </c>
      <c r="J20" t="e">
        <f ca="1">INDEX(I$65:INDIRECT("I"&amp;$C$61),$C20)</f>
        <v>#NUM!</v>
      </c>
      <c r="K20" s="23" t="e">
        <f ca="1">INDEX(J$65:INDIRECT("J"&amp;$C$61),$C20)</f>
        <v>#NUM!</v>
      </c>
      <c r="L20" t="e">
        <f ca="1">INDEX(K$65:INDIRECT("K"&amp;$C$61),$C20)</f>
        <v>#NUM!</v>
      </c>
      <c r="M20" t="e">
        <f ca="1">INDEX(L$65:INDIRECT("L"&amp;$C$61),$C20)</f>
        <v>#NUM!</v>
      </c>
      <c r="N20" t="e">
        <f ca="1">INDEX(M$65:INDIRECT("M"&amp;$C$61),$C20)</f>
        <v>#NUM!</v>
      </c>
      <c r="O20" t="e">
        <f ca="1">INDEX(N$65:INDIRECT("N"&amp;$C$61),$C20)</f>
        <v>#NUM!</v>
      </c>
      <c r="P20" t="e">
        <f ca="1">INDEX(O$65:INDIRECT("O"&amp;$C$61),$C20)</f>
        <v>#NUM!</v>
      </c>
      <c r="Q20" s="104"/>
      <c r="R20" s="74" t="s">
        <v>74</v>
      </c>
      <c r="S20" s="69" t="s">
        <v>31</v>
      </c>
      <c r="T20" s="74" t="e">
        <f t="array" aca="1" ref="T20" ca="1">MATCH(IF(ISBLANK($AD$11),SMALL(IF($E$65:INDIRECT("E"&amp;$C$61)=$AD$10,INDIRECT(AJ20&amp;65):INDIRECT(AJ20&amp;$C$61)),$AH20),IF(ISBLANK($AD$10),SMALL(IF($D$65:INDIRECT("D"&amp;$C$61)=$AD$11,INDIRECT(AJ20&amp;65):INDIRECT(AJ20&amp;$C$61)),$AH20),SMALL(IF(($E$65:INDIRECT("E"&amp;$C$61)=$AD$10)*($D$65:INDIRECT("D"&amp;$C$61)=$AD$11),INDIRECT(AJ20&amp;65):INDIRECT(AJ20&amp;$C$61)),$AH20))),INDIRECT(AJ20&amp;65):INDIRECT(AJ20&amp;$C$61),0)</f>
        <v>#NUM!</v>
      </c>
      <c r="U20" s="69" t="e">
        <f ca="1">INDEX(D$65:INDIRECT("D"&amp;$C$61),$T20)</f>
        <v>#NUM!</v>
      </c>
      <c r="V20" s="69" t="e">
        <f ca="1">INDEX(INDIRECT(("'MemberID'!$C$6:C"&amp;MemberID!$C$1)),MATCH(U20,INDIRECT(("'MemberID'!$G$6:G"&amp;MemberID!$C$1)),0))</f>
        <v>#NUM!</v>
      </c>
      <c r="W20" s="69" t="e">
        <f ca="1">INDEX(E$65:INDIRECT("E"&amp;$C$61),$T20)</f>
        <v>#NUM!</v>
      </c>
      <c r="X20" t="e">
        <f ca="1">INDEX(F$65:INDIRECT("F"&amp;$C$61),$T20)</f>
        <v>#NUM!</v>
      </c>
      <c r="Y20" t="e">
        <f ca="1">INDEX(G$65:INDIRECT("G"&amp;$C$61),$T20)</f>
        <v>#NUM!</v>
      </c>
      <c r="Z20" t="e">
        <f ca="1">INDEX(H$65:INDIRECT("H"&amp;$C$61),$T20)</f>
        <v>#NUM!</v>
      </c>
      <c r="AA20" t="e">
        <f ca="1">INDEX(I$65:INDIRECT("I"&amp;$C$61),$T20)</f>
        <v>#NUM!</v>
      </c>
      <c r="AB20" s="23" t="e">
        <f t="array" aca="1" ref="AB20" ca="1">IF(ISBLANK($AD$11),SMALL(IF($E$65:INDIRECT("E"&amp;$C$61)=$AD$10,J$65:INDIRECT(AB$13&amp;$C$61)),$AH20),IF(ISBLANK($AD$10),SMALL(IF($D$65:INDIRECT("D"&amp;$C$61)=$AD$11,J$65:INDIRECT(AB$13&amp;$C$61)),$AH20),SMALL(IF(($E$65:INDIRECT("E"&amp;$C$61)=$AD$10)*($D$65:INDIRECT("D"&amp;$C$61)=$AD$11),J$65:INDIRECT(AB$13&amp;$C$61)),$AH20)))</f>
        <v>#NUM!</v>
      </c>
      <c r="AC20" t="e">
        <f ca="1">INDEX(K$65:INDIRECT("K"&amp;$C$61),$T20)</f>
        <v>#NUM!</v>
      </c>
      <c r="AD20" t="e">
        <f ca="1">INDEX(L$65:INDIRECT("L"&amp;$C$61),$T20)</f>
        <v>#NUM!</v>
      </c>
      <c r="AE20" t="e">
        <f ca="1">INDEX(M$65:INDIRECT("M"&amp;$C$61),$T20)</f>
        <v>#NUM!</v>
      </c>
      <c r="AF20" t="e">
        <f ca="1">INDEX(N$65:INDIRECT("N"&amp;$C$61),$T20)</f>
        <v>#NUM!</v>
      </c>
      <c r="AG20" t="e">
        <f ca="1">INDEX(O$65:INDIRECT("O"&amp;$C$61),$T20)</f>
        <v>#NUM!</v>
      </c>
      <c r="AH20" s="69">
        <v>3</v>
      </c>
      <c r="AI20" s="69" t="str">
        <f t="shared" si="0"/>
        <v>J</v>
      </c>
      <c r="AJ20" s="69" t="str">
        <f t="shared" si="0"/>
        <v>Q</v>
      </c>
    </row>
    <row r="21" spans="1:36" x14ac:dyDescent="0.25">
      <c r="A21" s="69"/>
      <c r="B21" s="69"/>
      <c r="C21" s="69"/>
      <c r="D21" s="69"/>
      <c r="E21" s="69"/>
      <c r="F21" s="69"/>
      <c r="I21" s="69"/>
      <c r="J21" s="7"/>
      <c r="K21" s="7"/>
      <c r="L21" s="7"/>
      <c r="Q21" s="104"/>
      <c r="R21" s="69"/>
      <c r="S21" s="69"/>
      <c r="T21" s="69"/>
      <c r="V21" s="69"/>
      <c r="W21" s="69"/>
      <c r="AH21" s="69"/>
      <c r="AI21" s="69"/>
      <c r="AJ21" s="69"/>
    </row>
    <row r="22" spans="1:36" x14ac:dyDescent="0.25">
      <c r="A22" s="73" t="s">
        <v>69</v>
      </c>
      <c r="B22" s="69" t="s">
        <v>32</v>
      </c>
      <c r="C22" s="73" t="e">
        <f ca="1">K3</f>
        <v>#N/A</v>
      </c>
      <c r="D22" s="69" t="e">
        <f ca="1">INDEX(D$65:INDIRECT("D"&amp;$C$61),$C22)</f>
        <v>#N/A</v>
      </c>
      <c r="E22" s="69" t="e">
        <f ca="1">INDEX(INDIRECT(("'MemberID'!$C$6:C"&amp;MemberID!$C$1)),MATCH(D22,INDIRECT(("'MemberID'!$G$6:G"&amp;MemberID!$C$1)),0))</f>
        <v>#N/A</v>
      </c>
      <c r="F22" s="69" t="e">
        <f ca="1">INDEX(E$65:INDIRECT("E"&amp;$C$61),$C22)</f>
        <v>#N/A</v>
      </c>
      <c r="G22" t="e">
        <f ca="1">INDEX(F$65:INDIRECT("F"&amp;$C$61),$C22)</f>
        <v>#N/A</v>
      </c>
      <c r="H22" t="e">
        <f ca="1">INDEX(G$65:INDIRECT("G"&amp;$C$61),$C22)</f>
        <v>#N/A</v>
      </c>
      <c r="I22" s="69" t="e">
        <f ca="1">INDEX(H$65:INDIRECT("H"&amp;$C$61),$C22)</f>
        <v>#N/A</v>
      </c>
      <c r="J22" t="e">
        <f ca="1">INDEX(I$65:INDIRECT("I"&amp;$C$61),$C22)</f>
        <v>#N/A</v>
      </c>
      <c r="K22" s="7" t="e">
        <f ca="1">INDEX(J$65:INDIRECT("J"&amp;$C$61),$C22)</f>
        <v>#N/A</v>
      </c>
      <c r="L22" s="23" t="e">
        <f ca="1">INDEX(K$65:INDIRECT("K"&amp;$C$61),$C22)</f>
        <v>#N/A</v>
      </c>
      <c r="M22" t="e">
        <f ca="1">INDEX(L$65:INDIRECT("L"&amp;$C$61),$C22)</f>
        <v>#N/A</v>
      </c>
      <c r="N22" t="e">
        <f ca="1">INDEX(M$65:INDIRECT("M"&amp;$C$61),$C22)</f>
        <v>#N/A</v>
      </c>
      <c r="O22" t="e">
        <f ca="1">INDEX(N$65:INDIRECT("N"&amp;$C$61),$C22)</f>
        <v>#N/A</v>
      </c>
      <c r="P22" t="e">
        <f ca="1">INDEX(O$65:INDIRECT("O"&amp;$C$61),$C22)</f>
        <v>#N/A</v>
      </c>
      <c r="Q22" s="104"/>
      <c r="R22" s="73" t="s">
        <v>69</v>
      </c>
      <c r="S22" s="69" t="s">
        <v>32</v>
      </c>
      <c r="T22" s="73" t="e">
        <f t="array" aca="1" ref="T22" ca="1">MATCH(IF(ISBLANK($AD$11),LARGE(IF($E$65:INDIRECT("E"&amp;$C$61)=$AD$10,INDIRECT(AJ22&amp;65):INDIRECT(AJ22&amp;$C$61)),$AH22),IF(ISBLANK($AD$10),LARGE(IF($D$65:INDIRECT("D"&amp;$C$61)=$AD$11,INDIRECT(AJ22&amp;65):INDIRECT(AJ22&amp;$C$61)),$AH22),LARGE(IF(($E$65:INDIRECT("E"&amp;$C$61)=$AD$10)*($D$65:INDIRECT("D"&amp;$C$61)=$AD$11),INDIRECT(AJ22&amp;65):INDIRECT(AJ22&amp;$C$61)),$AH22))),INDIRECT(AJ22&amp;65):INDIRECT(AJ22&amp;$C$61),0)</f>
        <v>#NUM!</v>
      </c>
      <c r="U22" s="69" t="e">
        <f ca="1">INDEX(D$65:INDIRECT("D"&amp;$C$61),$T22)</f>
        <v>#NUM!</v>
      </c>
      <c r="V22" s="69" t="e">
        <f ca="1">INDEX(INDIRECT(("'MemberID'!$C$6:C"&amp;MemberID!$C$1)),MATCH(U22,INDIRECT(("'MemberID'!$G$6:G"&amp;MemberID!$C$1)),0))</f>
        <v>#NUM!</v>
      </c>
      <c r="W22" s="69" t="e">
        <f ca="1">INDEX(E$65:INDIRECT("E"&amp;$C$61),$T22)</f>
        <v>#NUM!</v>
      </c>
      <c r="X22" t="e">
        <f ca="1">INDEX(F$65:INDIRECT("F"&amp;$C$61),$T22)</f>
        <v>#NUM!</v>
      </c>
      <c r="Y22" t="e">
        <f ca="1">INDEX(G$65:INDIRECT("G"&amp;$C$61),$T22)</f>
        <v>#NUM!</v>
      </c>
      <c r="Z22" t="e">
        <f ca="1">INDEX(H$65:INDIRECT("H"&amp;$C$61),$T22)</f>
        <v>#NUM!</v>
      </c>
      <c r="AA22" t="e">
        <f ca="1">INDEX(I$65:INDIRECT("I"&amp;$C$61),$T22)</f>
        <v>#NUM!</v>
      </c>
      <c r="AB22" t="e">
        <f ca="1">INDEX(J$65:INDIRECT("J"&amp;$C$61),$T22)</f>
        <v>#NUM!</v>
      </c>
      <c r="AC22" s="23" t="e">
        <f t="array" aca="1" ref="AC22" ca="1">IF(ISBLANK($AD$11),LARGE(IF($E$65:INDIRECT("E"&amp;$C$61)=$AD$10,K$65:INDIRECT(AC$13&amp;$C$61)),$AH22),IF(ISBLANK($AD$10),LARGE(IF($D$65:INDIRECT("D"&amp;$C$61)=$AD$11,K$65:INDIRECT(AC$13&amp;$C$61)),$AH22),LARGE(IF(($E$65:INDIRECT("E"&amp;$C$61)=$AD$10)*($D$65:INDIRECT("D"&amp;$C$61)=$AD$11),K$65:INDIRECT(AC$13&amp;$C$61)),$AH22)))</f>
        <v>#NUM!</v>
      </c>
      <c r="AD22" t="e">
        <f ca="1">INDEX(L$65:INDIRECT("L"&amp;$C$61),$T22)</f>
        <v>#NUM!</v>
      </c>
      <c r="AE22" t="e">
        <f ca="1">INDEX(M$65:INDIRECT("M"&amp;$C$61),$T22)</f>
        <v>#NUM!</v>
      </c>
      <c r="AF22" t="e">
        <f ca="1">INDEX(N$65:INDIRECT("N"&amp;$C$61),$T22)</f>
        <v>#NUM!</v>
      </c>
      <c r="AG22" t="e">
        <f ca="1">INDEX(O$65:INDIRECT("O"&amp;$C$61),$T22)</f>
        <v>#NUM!</v>
      </c>
      <c r="AH22" s="69">
        <v>1</v>
      </c>
      <c r="AI22" s="69" t="s">
        <v>151</v>
      </c>
      <c r="AJ22" s="69" t="s">
        <v>157</v>
      </c>
    </row>
    <row r="23" spans="1:36" x14ac:dyDescent="0.25">
      <c r="A23" s="73" t="s">
        <v>70</v>
      </c>
      <c r="B23" s="69" t="s">
        <v>32</v>
      </c>
      <c r="C23" s="73" t="e">
        <f ca="1">S3</f>
        <v>#NUM!</v>
      </c>
      <c r="D23" s="69" t="e">
        <f ca="1">INDEX(D$65:INDIRECT("D"&amp;$C$61),$C23)</f>
        <v>#NUM!</v>
      </c>
      <c r="E23" s="69" t="e">
        <f ca="1">INDEX(INDIRECT(("'MemberID'!$C$6:C"&amp;MemberID!$C$1)),MATCH(D23,INDIRECT(("'MemberID'!$G$6:G"&amp;MemberID!$C$1)),0))</f>
        <v>#NUM!</v>
      </c>
      <c r="F23" s="69" t="e">
        <f ca="1">INDEX(E$65:INDIRECT("E"&amp;$C$61),$C23)</f>
        <v>#NUM!</v>
      </c>
      <c r="G23" t="e">
        <f ca="1">INDEX(F$65:INDIRECT("F"&amp;$C$61),$C23)</f>
        <v>#NUM!</v>
      </c>
      <c r="H23" t="e">
        <f ca="1">INDEX(G$65:INDIRECT("G"&amp;$C$61),$C23)</f>
        <v>#NUM!</v>
      </c>
      <c r="I23" s="69" t="e">
        <f ca="1">INDEX(H$65:INDIRECT("H"&amp;$C$61),$C23)</f>
        <v>#NUM!</v>
      </c>
      <c r="J23" t="e">
        <f ca="1">INDEX(I$65:INDIRECT("I"&amp;$C$61),$C23)</f>
        <v>#NUM!</v>
      </c>
      <c r="K23" s="7" t="e">
        <f ca="1">INDEX(J$65:INDIRECT("J"&amp;$C$61),$C23)</f>
        <v>#NUM!</v>
      </c>
      <c r="L23" s="23" t="e">
        <f ca="1">INDEX(K$65:INDIRECT("K"&amp;$C$61),$C23)</f>
        <v>#NUM!</v>
      </c>
      <c r="M23" t="e">
        <f ca="1">INDEX(L$65:INDIRECT("L"&amp;$C$61),$C23)</f>
        <v>#NUM!</v>
      </c>
      <c r="N23" t="e">
        <f ca="1">INDEX(M$65:INDIRECT("M"&amp;$C$61),$C23)</f>
        <v>#NUM!</v>
      </c>
      <c r="O23" t="e">
        <f ca="1">INDEX(N$65:INDIRECT("N"&amp;$C$61),$C23)</f>
        <v>#NUM!</v>
      </c>
      <c r="P23" t="e">
        <f ca="1">INDEX(O$65:INDIRECT("O"&amp;$C$61),$C23)</f>
        <v>#NUM!</v>
      </c>
      <c r="Q23" s="104"/>
      <c r="R23" s="73" t="s">
        <v>70</v>
      </c>
      <c r="S23" s="69" t="s">
        <v>32</v>
      </c>
      <c r="T23" s="73" t="e">
        <f t="array" aca="1" ref="T23" ca="1">MATCH(IF(ISBLANK($AD$11),LARGE(IF($E$65:INDIRECT("E"&amp;$C$61)=$AD$10,INDIRECT(AJ23&amp;65):INDIRECT(AJ23&amp;$C$61)),$AH23),IF(ISBLANK($AD$10),LARGE(IF($D$65:INDIRECT("D"&amp;$C$61)=$AD$11,INDIRECT(AJ23&amp;65):INDIRECT(AJ23&amp;$C$61)),$AH23),LARGE(IF(($E$65:INDIRECT("E"&amp;$C$61)=$AD$10)*($D$65:INDIRECT("D"&amp;$C$61)=$AD$11),INDIRECT(AJ23&amp;65):INDIRECT(AJ23&amp;$C$61)),$AH23))),INDIRECT(AJ23&amp;65):INDIRECT(AJ23&amp;$C$61),0)</f>
        <v>#NUM!</v>
      </c>
      <c r="U23" s="69" t="e">
        <f ca="1">INDEX(D$65:INDIRECT("D"&amp;$C$61),$T23)</f>
        <v>#NUM!</v>
      </c>
      <c r="V23" s="69" t="e">
        <f ca="1">INDEX(INDIRECT(("'MemberID'!$C$6:C"&amp;MemberID!$C$1)),MATCH(U23,INDIRECT(("'MemberID'!$G$6:G"&amp;MemberID!$C$1)),0))</f>
        <v>#NUM!</v>
      </c>
      <c r="W23" s="69" t="e">
        <f ca="1">INDEX(E$65:INDIRECT("E"&amp;$C$61),$T23)</f>
        <v>#NUM!</v>
      </c>
      <c r="X23" t="e">
        <f ca="1">INDEX(F$65:INDIRECT("F"&amp;$C$61),$T23)</f>
        <v>#NUM!</v>
      </c>
      <c r="Y23" t="e">
        <f ca="1">INDEX(G$65:INDIRECT("G"&amp;$C$61),$T23)</f>
        <v>#NUM!</v>
      </c>
      <c r="Z23" t="e">
        <f ca="1">INDEX(H$65:INDIRECT("H"&amp;$C$61),$T23)</f>
        <v>#NUM!</v>
      </c>
      <c r="AA23" t="e">
        <f ca="1">INDEX(I$65:INDIRECT("I"&amp;$C$61),$T23)</f>
        <v>#NUM!</v>
      </c>
      <c r="AB23" t="e">
        <f ca="1">INDEX(J$65:INDIRECT("J"&amp;$C$61),$T23)</f>
        <v>#NUM!</v>
      </c>
      <c r="AC23" s="23" t="e">
        <f t="array" aca="1" ref="AC23" ca="1">IF(ISBLANK($AD$11),LARGE(IF($E$65:INDIRECT("E"&amp;$C$61)=$AD$10,K$65:INDIRECT(AC$13&amp;$C$61)),$AH23),IF(ISBLANK($AD$10),LARGE(IF($D$65:INDIRECT("D"&amp;$C$61)=$AD$11,K$65:INDIRECT(AC$13&amp;$C$61)),$AH23),LARGE(IF(($E$65:INDIRECT("E"&amp;$C$61)=$AD$10)*($D$65:INDIRECT("D"&amp;$C$61)=$AD$11),K$65:INDIRECT(AC$13&amp;$C$61)),$AH23)))</f>
        <v>#NUM!</v>
      </c>
      <c r="AD23" t="e">
        <f ca="1">INDEX(L$65:INDIRECT("L"&amp;$C$61),$T23)</f>
        <v>#NUM!</v>
      </c>
      <c r="AE23" t="e">
        <f ca="1">INDEX(M$65:INDIRECT("M"&amp;$C$61),$T23)</f>
        <v>#NUM!</v>
      </c>
      <c r="AF23" t="e">
        <f ca="1">INDEX(N$65:INDIRECT("N"&amp;$C$61),$T23)</f>
        <v>#NUM!</v>
      </c>
      <c r="AG23" t="e">
        <f ca="1">INDEX(O$65:INDIRECT("O"&amp;$C$61),$T23)</f>
        <v>#NUM!</v>
      </c>
      <c r="AH23" s="69">
        <v>2</v>
      </c>
      <c r="AI23" s="69" t="str">
        <f>AI22</f>
        <v>K</v>
      </c>
      <c r="AJ23" s="69" t="str">
        <f>AJ22</f>
        <v>R</v>
      </c>
    </row>
    <row r="24" spans="1:36" x14ac:dyDescent="0.25">
      <c r="A24" s="73" t="s">
        <v>71</v>
      </c>
      <c r="B24" s="69" t="s">
        <v>32</v>
      </c>
      <c r="C24" s="73" t="e">
        <f ca="1">AA3</f>
        <v>#NUM!</v>
      </c>
      <c r="D24" s="69" t="e">
        <f ca="1">INDEX(D$65:INDIRECT("D"&amp;$C$61),$C24)</f>
        <v>#NUM!</v>
      </c>
      <c r="E24" s="69" t="e">
        <f ca="1">INDEX(INDIRECT(("'MemberID'!$C$6:C"&amp;MemberID!$C$1)),MATCH(D24,INDIRECT(("'MemberID'!$G$6:G"&amp;MemberID!$C$1)),0))</f>
        <v>#NUM!</v>
      </c>
      <c r="F24" s="69" t="e">
        <f ca="1">INDEX(E$65:INDIRECT("E"&amp;$C$61),$C24)</f>
        <v>#NUM!</v>
      </c>
      <c r="G24" t="e">
        <f ca="1">INDEX(F$65:INDIRECT("F"&amp;$C$61),$C24)</f>
        <v>#NUM!</v>
      </c>
      <c r="H24" t="e">
        <f ca="1">INDEX(G$65:INDIRECT("G"&amp;$C$61),$C24)</f>
        <v>#NUM!</v>
      </c>
      <c r="I24" s="69" t="e">
        <f ca="1">INDEX(H$65:INDIRECT("H"&amp;$C$61),$C24)</f>
        <v>#NUM!</v>
      </c>
      <c r="J24" t="e">
        <f ca="1">INDEX(I$65:INDIRECT("I"&amp;$C$61),$C24)</f>
        <v>#NUM!</v>
      </c>
      <c r="K24" s="7" t="e">
        <f ca="1">INDEX(J$65:INDIRECT("J"&amp;$C$61),$C24)</f>
        <v>#NUM!</v>
      </c>
      <c r="L24" s="23" t="e">
        <f ca="1">INDEX(K$65:INDIRECT("K"&amp;$C$61),$C24)</f>
        <v>#NUM!</v>
      </c>
      <c r="M24" t="e">
        <f ca="1">INDEX(L$65:INDIRECT("L"&amp;$C$61),$C24)</f>
        <v>#NUM!</v>
      </c>
      <c r="N24" t="e">
        <f ca="1">INDEX(M$65:INDIRECT("M"&amp;$C$61),$C24)</f>
        <v>#NUM!</v>
      </c>
      <c r="O24" t="e">
        <f ca="1">INDEX(N$65:INDIRECT("N"&amp;$C$61),$C24)</f>
        <v>#NUM!</v>
      </c>
      <c r="P24" t="e">
        <f ca="1">INDEX(O$65:INDIRECT("O"&amp;$C$61),$C24)</f>
        <v>#NUM!</v>
      </c>
      <c r="Q24" s="104"/>
      <c r="R24" s="73" t="s">
        <v>71</v>
      </c>
      <c r="S24" s="69" t="s">
        <v>32</v>
      </c>
      <c r="T24" s="73" t="e">
        <f t="array" aca="1" ref="T24" ca="1">MATCH(IF(ISBLANK($AD$11),LARGE(IF($E$65:INDIRECT("E"&amp;$C$61)=$AD$10,INDIRECT(AJ24&amp;65):INDIRECT(AJ24&amp;$C$61)),$AH24),IF(ISBLANK($AD$10),LARGE(IF($D$65:INDIRECT("D"&amp;$C$61)=$AD$11,INDIRECT(AJ24&amp;65):INDIRECT(AJ24&amp;$C$61)),$AH24),LARGE(IF(($E$65:INDIRECT("E"&amp;$C$61)=$AD$10)*($D$65:INDIRECT("D"&amp;$C$61)=$AD$11),INDIRECT(AJ24&amp;65):INDIRECT(AJ24&amp;$C$61)),$AH24))),INDIRECT(AJ24&amp;65):INDIRECT(AJ24&amp;$C$61),0)</f>
        <v>#NUM!</v>
      </c>
      <c r="U24" s="69" t="e">
        <f ca="1">INDEX(D$65:INDIRECT("D"&amp;$C$61),$T24)</f>
        <v>#NUM!</v>
      </c>
      <c r="V24" s="69" t="e">
        <f ca="1">INDEX(INDIRECT(("'MemberID'!$C$6:C"&amp;MemberID!$C$1)),MATCH(U24,INDIRECT(("'MemberID'!$G$6:G"&amp;MemberID!$C$1)),0))</f>
        <v>#NUM!</v>
      </c>
      <c r="W24" s="69" t="e">
        <f ca="1">INDEX(E$65:INDIRECT("E"&amp;$C$61),$T24)</f>
        <v>#NUM!</v>
      </c>
      <c r="X24" t="e">
        <f ca="1">INDEX(F$65:INDIRECT("F"&amp;$C$61),$T24)</f>
        <v>#NUM!</v>
      </c>
      <c r="Y24" t="e">
        <f ca="1">INDEX(G$65:INDIRECT("G"&amp;$C$61),$T24)</f>
        <v>#NUM!</v>
      </c>
      <c r="Z24" t="e">
        <f ca="1">INDEX(H$65:INDIRECT("H"&amp;$C$61),$T24)</f>
        <v>#NUM!</v>
      </c>
      <c r="AA24" t="e">
        <f ca="1">INDEX(I$65:INDIRECT("I"&amp;$C$61),$T24)</f>
        <v>#NUM!</v>
      </c>
      <c r="AB24" t="e">
        <f ca="1">INDEX(J$65:INDIRECT("J"&amp;$C$61),$T24)</f>
        <v>#NUM!</v>
      </c>
      <c r="AC24" s="23" t="e">
        <f t="array" aca="1" ref="AC24" ca="1">IF(ISBLANK($AD$11),LARGE(IF($E$65:INDIRECT("E"&amp;$C$61)=$AD$10,K$65:INDIRECT(AC$13&amp;$C$61)),$AH24),IF(ISBLANK($AD$10),LARGE(IF($D$65:INDIRECT("D"&amp;$C$61)=$AD$11,K$65:INDIRECT(AC$13&amp;$C$61)),$AH24),LARGE(IF(($E$65:INDIRECT("E"&amp;$C$61)=$AD$10)*($D$65:INDIRECT("D"&amp;$C$61)=$AD$11),K$65:INDIRECT(AC$13&amp;$C$61)),$AH24)))</f>
        <v>#NUM!</v>
      </c>
      <c r="AD24" t="e">
        <f ca="1">INDEX(L$65:INDIRECT("L"&amp;$C$61),$T24)</f>
        <v>#NUM!</v>
      </c>
      <c r="AE24" t="e">
        <f ca="1">INDEX(M$65:INDIRECT("M"&amp;$C$61),$T24)</f>
        <v>#NUM!</v>
      </c>
      <c r="AF24" t="e">
        <f ca="1">INDEX(N$65:INDIRECT("N"&amp;$C$61),$T24)</f>
        <v>#NUM!</v>
      </c>
      <c r="AG24" t="e">
        <f ca="1">INDEX(O$65:INDIRECT("O"&amp;$C$61),$T24)</f>
        <v>#NUM!</v>
      </c>
      <c r="AH24" s="69">
        <v>3</v>
      </c>
      <c r="AI24" s="69" t="str">
        <f t="shared" ref="AI24:AJ27" si="1">AI23</f>
        <v>K</v>
      </c>
      <c r="AJ24" s="69" t="str">
        <f t="shared" si="1"/>
        <v>R</v>
      </c>
    </row>
    <row r="25" spans="1:36" x14ac:dyDescent="0.25">
      <c r="A25" s="74" t="s">
        <v>72</v>
      </c>
      <c r="B25" s="69" t="s">
        <v>32</v>
      </c>
      <c r="C25" s="74" t="e">
        <f ca="1">K6</f>
        <v>#N/A</v>
      </c>
      <c r="D25" s="69" t="e">
        <f ca="1">INDEX(D$65:INDIRECT("D"&amp;$C$61),$C25)</f>
        <v>#N/A</v>
      </c>
      <c r="E25" s="69" t="e">
        <f ca="1">INDEX(INDIRECT(("'MemberID'!$C$6:C"&amp;MemberID!$C$1)),MATCH(D25,INDIRECT(("'MemberID'!$G$6:G"&amp;MemberID!$C$1)),0))</f>
        <v>#N/A</v>
      </c>
      <c r="F25" s="69" t="e">
        <f ca="1">INDEX(E$65:INDIRECT("E"&amp;$C$61),$C25)</f>
        <v>#N/A</v>
      </c>
      <c r="G25" t="e">
        <f ca="1">INDEX(F$65:INDIRECT("F"&amp;$C$61),$C25)</f>
        <v>#N/A</v>
      </c>
      <c r="H25" t="e">
        <f ca="1">INDEX(G$65:INDIRECT("G"&amp;$C$61),$C25)</f>
        <v>#N/A</v>
      </c>
      <c r="I25" s="69" t="e">
        <f ca="1">INDEX(H$65:INDIRECT("H"&amp;$C$61),$C25)</f>
        <v>#N/A</v>
      </c>
      <c r="J25" t="e">
        <f ca="1">INDEX(I$65:INDIRECT("I"&amp;$C$61),$C25)</f>
        <v>#N/A</v>
      </c>
      <c r="K25" s="7" t="e">
        <f ca="1">INDEX(J$65:INDIRECT("J"&amp;$C$61),$C25)</f>
        <v>#N/A</v>
      </c>
      <c r="L25" s="23" t="e">
        <f ca="1">INDEX(K$65:INDIRECT("K"&amp;$C$61),$C25)</f>
        <v>#N/A</v>
      </c>
      <c r="M25" t="e">
        <f ca="1">INDEX(L$65:INDIRECT("L"&amp;$C$61),$C25)</f>
        <v>#N/A</v>
      </c>
      <c r="N25" t="e">
        <f ca="1">INDEX(M$65:INDIRECT("M"&amp;$C$61),$C25)</f>
        <v>#N/A</v>
      </c>
      <c r="O25" t="e">
        <f ca="1">INDEX(N$65:INDIRECT("N"&amp;$C$61),$C25)</f>
        <v>#N/A</v>
      </c>
      <c r="P25" t="e">
        <f ca="1">INDEX(O$65:INDIRECT("O"&amp;$C$61),$C25)</f>
        <v>#N/A</v>
      </c>
      <c r="Q25" s="104"/>
      <c r="R25" s="74" t="s">
        <v>72</v>
      </c>
      <c r="S25" s="69" t="s">
        <v>32</v>
      </c>
      <c r="T25" s="74" t="e">
        <f t="array" aca="1" ref="T25" ca="1">MATCH(IF(ISBLANK($AD$11),SMALL(IF($E$65:INDIRECT("E"&amp;$C$61)=$AD$10,INDIRECT(AJ25&amp;65):INDIRECT(AJ25&amp;$C$61)),$AH25),IF(ISBLANK($AD$10),SMALL(IF($D$65:INDIRECT("D"&amp;$C$61)=$AD$11,INDIRECT(AJ25&amp;65):INDIRECT(AJ25&amp;$C$61)),$AH25),SMALL(IF(($E$65:INDIRECT("E"&amp;$C$61)=$AD$10)*($D$65:INDIRECT("D"&amp;$C$61)=$AD$11),INDIRECT(AJ25&amp;65):INDIRECT(AJ25&amp;$C$61)),$AH25))),INDIRECT(AJ25&amp;65):INDIRECT(AJ25&amp;$C$61),0)</f>
        <v>#NUM!</v>
      </c>
      <c r="U25" s="69" t="e">
        <f ca="1">INDEX(D$65:INDIRECT("D"&amp;$C$61),$T25)</f>
        <v>#NUM!</v>
      </c>
      <c r="V25" s="69" t="e">
        <f ca="1">INDEX(INDIRECT(("'MemberID'!$C$6:C"&amp;MemberID!$C$1)),MATCH(U25,INDIRECT(("'MemberID'!$G$6:G"&amp;MemberID!$C$1)),0))</f>
        <v>#NUM!</v>
      </c>
      <c r="W25" s="69" t="e">
        <f ca="1">INDEX(E$65:INDIRECT("E"&amp;$C$61),$T25)</f>
        <v>#NUM!</v>
      </c>
      <c r="X25" t="e">
        <f ca="1">INDEX(F$65:INDIRECT("F"&amp;$C$61),$T25)</f>
        <v>#NUM!</v>
      </c>
      <c r="Y25" t="e">
        <f ca="1">INDEX(G$65:INDIRECT("G"&amp;$C$61),$T25)</f>
        <v>#NUM!</v>
      </c>
      <c r="Z25" t="e">
        <f ca="1">INDEX(H$65:INDIRECT("H"&amp;$C$61),$T25)</f>
        <v>#NUM!</v>
      </c>
      <c r="AA25" t="e">
        <f ca="1">INDEX(I$65:INDIRECT("I"&amp;$C$61),$T25)</f>
        <v>#NUM!</v>
      </c>
      <c r="AB25" t="e">
        <f ca="1">INDEX(J$65:INDIRECT("J"&amp;$C$61),$T25)</f>
        <v>#NUM!</v>
      </c>
      <c r="AC25" s="23" t="e">
        <f t="array" aca="1" ref="AC25" ca="1">IF(ISBLANK($AD$11),SMALL(IF($E$65:INDIRECT("E"&amp;$C$61)=$AD$10,K$65:INDIRECT(AC$13&amp;$C$61)),$AH25),IF(ISBLANK($AD$10),SMALL(IF($D$65:INDIRECT("D"&amp;$C$61)=$AD$11,K$65:INDIRECT(AC$13&amp;$C$61)),$AH25),SMALL(IF(($E$65:INDIRECT("E"&amp;$C$61)=$AD$10)*($D$65:INDIRECT("D"&amp;$C$61)=$AD$11),K$65:INDIRECT(AC$13&amp;$C$61)),$AH25)))</f>
        <v>#NUM!</v>
      </c>
      <c r="AD25" t="e">
        <f ca="1">INDEX(L$65:INDIRECT("L"&amp;$C$61),$T25)</f>
        <v>#NUM!</v>
      </c>
      <c r="AE25" t="e">
        <f ca="1">INDEX(M$65:INDIRECT("M"&amp;$C$61),$T25)</f>
        <v>#NUM!</v>
      </c>
      <c r="AF25" t="e">
        <f ca="1">INDEX(N$65:INDIRECT("N"&amp;$C$61),$T25)</f>
        <v>#NUM!</v>
      </c>
      <c r="AG25" t="e">
        <f ca="1">INDEX(O$65:INDIRECT("O"&amp;$C$61),$T25)</f>
        <v>#NUM!</v>
      </c>
      <c r="AH25" s="69">
        <v>1</v>
      </c>
      <c r="AI25" s="69" t="str">
        <f t="shared" si="1"/>
        <v>K</v>
      </c>
      <c r="AJ25" s="69" t="str">
        <f t="shared" si="1"/>
        <v>R</v>
      </c>
    </row>
    <row r="26" spans="1:36" x14ac:dyDescent="0.25">
      <c r="A26" s="74" t="s">
        <v>73</v>
      </c>
      <c r="B26" s="69" t="s">
        <v>32</v>
      </c>
      <c r="C26" s="74" t="e">
        <f ca="1">S6</f>
        <v>#NUM!</v>
      </c>
      <c r="D26" s="69" t="e">
        <f ca="1">INDEX(D$65:INDIRECT("D"&amp;$C$61),$C26)</f>
        <v>#NUM!</v>
      </c>
      <c r="E26" s="69" t="e">
        <f ca="1">INDEX(INDIRECT(("'MemberID'!$C$6:C"&amp;MemberID!$C$1)),MATCH(D26,INDIRECT(("'MemberID'!$G$6:G"&amp;MemberID!$C$1)),0))</f>
        <v>#NUM!</v>
      </c>
      <c r="F26" s="69" t="e">
        <f ca="1">INDEX(E$65:INDIRECT("E"&amp;$C$61),$C26)</f>
        <v>#NUM!</v>
      </c>
      <c r="G26" t="e">
        <f ca="1">INDEX(F$65:INDIRECT("F"&amp;$C$61),$C26)</f>
        <v>#NUM!</v>
      </c>
      <c r="H26" t="e">
        <f ca="1">INDEX(G$65:INDIRECT("G"&amp;$C$61),$C26)</f>
        <v>#NUM!</v>
      </c>
      <c r="I26" s="69" t="e">
        <f ca="1">INDEX(H$65:INDIRECT("H"&amp;$C$61),$C26)</f>
        <v>#NUM!</v>
      </c>
      <c r="J26" t="e">
        <f ca="1">INDEX(I$65:INDIRECT("I"&amp;$C$61),$C26)</f>
        <v>#NUM!</v>
      </c>
      <c r="K26" s="7" t="e">
        <f ca="1">INDEX(J$65:INDIRECT("J"&amp;$C$61),$C26)</f>
        <v>#NUM!</v>
      </c>
      <c r="L26" s="23" t="e">
        <f ca="1">INDEX(K$65:INDIRECT("K"&amp;$C$61),$C26)</f>
        <v>#NUM!</v>
      </c>
      <c r="M26" t="e">
        <f ca="1">INDEX(L$65:INDIRECT("L"&amp;$C$61),$C26)</f>
        <v>#NUM!</v>
      </c>
      <c r="N26" t="e">
        <f ca="1">INDEX(M$65:INDIRECT("M"&amp;$C$61),$C26)</f>
        <v>#NUM!</v>
      </c>
      <c r="O26" t="e">
        <f ca="1">INDEX(N$65:INDIRECT("N"&amp;$C$61),$C26)</f>
        <v>#NUM!</v>
      </c>
      <c r="P26" t="e">
        <f ca="1">INDEX(O$65:INDIRECT("O"&amp;$C$61),$C26)</f>
        <v>#NUM!</v>
      </c>
      <c r="Q26" s="104"/>
      <c r="R26" s="74" t="s">
        <v>73</v>
      </c>
      <c r="S26" s="69" t="s">
        <v>32</v>
      </c>
      <c r="T26" s="74" t="e">
        <f t="array" aca="1" ref="T26" ca="1">MATCH(IF(ISBLANK($AD$11),SMALL(IF($E$65:INDIRECT("E"&amp;$C$61)=$AD$10,INDIRECT(AJ26&amp;65):INDIRECT(AJ26&amp;$C$61)),$AH26),IF(ISBLANK($AD$10),SMALL(IF($D$65:INDIRECT("D"&amp;$C$61)=$AD$11,INDIRECT(AJ26&amp;65):INDIRECT(AJ26&amp;$C$61)),$AH26),SMALL(IF(($E$65:INDIRECT("E"&amp;$C$61)=$AD$10)*($D$65:INDIRECT("D"&amp;$C$61)=$AD$11),INDIRECT(AJ26&amp;65):INDIRECT(AJ26&amp;$C$61)),$AH26))),INDIRECT(AJ26&amp;65):INDIRECT(AJ26&amp;$C$61),0)</f>
        <v>#NUM!</v>
      </c>
      <c r="U26" s="69" t="e">
        <f ca="1">INDEX(D$65:INDIRECT("D"&amp;$C$61),$T26)</f>
        <v>#NUM!</v>
      </c>
      <c r="V26" s="69" t="e">
        <f ca="1">INDEX(INDIRECT(("'MemberID'!$C$6:C"&amp;MemberID!$C$1)),MATCH(U26,INDIRECT(("'MemberID'!$G$6:G"&amp;MemberID!$C$1)),0))</f>
        <v>#NUM!</v>
      </c>
      <c r="W26" s="69" t="e">
        <f ca="1">INDEX(E$65:INDIRECT("E"&amp;$C$61),$T26)</f>
        <v>#NUM!</v>
      </c>
      <c r="X26" t="e">
        <f ca="1">INDEX(F$65:INDIRECT("F"&amp;$C$61),$T26)</f>
        <v>#NUM!</v>
      </c>
      <c r="Y26" t="e">
        <f ca="1">INDEX(G$65:INDIRECT("G"&amp;$C$61),$T26)</f>
        <v>#NUM!</v>
      </c>
      <c r="Z26" t="e">
        <f ca="1">INDEX(H$65:INDIRECT("H"&amp;$C$61),$T26)</f>
        <v>#NUM!</v>
      </c>
      <c r="AA26" t="e">
        <f ca="1">INDEX(I$65:INDIRECT("I"&amp;$C$61),$T26)</f>
        <v>#NUM!</v>
      </c>
      <c r="AB26" t="e">
        <f ca="1">INDEX(J$65:INDIRECT("J"&amp;$C$61),$T26)</f>
        <v>#NUM!</v>
      </c>
      <c r="AC26" s="23" t="e">
        <f t="array" aca="1" ref="AC26" ca="1">IF(ISBLANK($AD$11),SMALL(IF($E$65:INDIRECT("E"&amp;$C$61)=$AD$10,K$65:INDIRECT(AC$13&amp;$C$61)),$AH26),IF(ISBLANK($AD$10),SMALL(IF($D$65:INDIRECT("D"&amp;$C$61)=$AD$11,K$65:INDIRECT(AC$13&amp;$C$61)),$AH26),SMALL(IF(($E$65:INDIRECT("E"&amp;$C$61)=$AD$10)*($D$65:INDIRECT("D"&amp;$C$61)=$AD$11),K$65:INDIRECT(AC$13&amp;$C$61)),$AH26)))</f>
        <v>#NUM!</v>
      </c>
      <c r="AD26" t="e">
        <f ca="1">INDEX(L$65:INDIRECT("L"&amp;$C$61),$T26)</f>
        <v>#NUM!</v>
      </c>
      <c r="AE26" t="e">
        <f ca="1">INDEX(M$65:INDIRECT("M"&amp;$C$61),$T26)</f>
        <v>#NUM!</v>
      </c>
      <c r="AF26" t="e">
        <f ca="1">INDEX(N$65:INDIRECT("N"&amp;$C$61),$T26)</f>
        <v>#NUM!</v>
      </c>
      <c r="AG26" t="e">
        <f ca="1">INDEX(O$65:INDIRECT("O"&amp;$C$61),$T26)</f>
        <v>#NUM!</v>
      </c>
      <c r="AH26" s="69">
        <v>2</v>
      </c>
      <c r="AI26" s="69" t="str">
        <f t="shared" si="1"/>
        <v>K</v>
      </c>
      <c r="AJ26" s="69" t="str">
        <f t="shared" si="1"/>
        <v>R</v>
      </c>
    </row>
    <row r="27" spans="1:36" x14ac:dyDescent="0.25">
      <c r="A27" s="74" t="s">
        <v>74</v>
      </c>
      <c r="B27" s="69" t="s">
        <v>32</v>
      </c>
      <c r="C27" s="74" t="e">
        <f ca="1">AA6</f>
        <v>#NUM!</v>
      </c>
      <c r="D27" s="69" t="e">
        <f ca="1">INDEX(D$65:INDIRECT("D"&amp;$C$61),$C27)</f>
        <v>#NUM!</v>
      </c>
      <c r="E27" s="69" t="e">
        <f ca="1">INDEX(INDIRECT(("'MemberID'!$C$6:C"&amp;MemberID!$C$1)),MATCH(D27,INDIRECT(("'MemberID'!$G$6:G"&amp;MemberID!$C$1)),0))</f>
        <v>#NUM!</v>
      </c>
      <c r="F27" s="69" t="e">
        <f ca="1">INDEX(E$65:INDIRECT("E"&amp;$C$61),$C27)</f>
        <v>#NUM!</v>
      </c>
      <c r="G27" t="e">
        <f ca="1">INDEX(F$65:INDIRECT("F"&amp;$C$61),$C27)</f>
        <v>#NUM!</v>
      </c>
      <c r="H27" t="e">
        <f ca="1">INDEX(G$65:INDIRECT("G"&amp;$C$61),$C27)</f>
        <v>#NUM!</v>
      </c>
      <c r="I27" s="69" t="e">
        <f ca="1">INDEX(H$65:INDIRECT("H"&amp;$C$61),$C27)</f>
        <v>#NUM!</v>
      </c>
      <c r="J27" t="e">
        <f ca="1">INDEX(I$65:INDIRECT("I"&amp;$C$61),$C27)</f>
        <v>#NUM!</v>
      </c>
      <c r="K27" s="7" t="e">
        <f ca="1">INDEX(J$65:INDIRECT("J"&amp;$C$61),$C27)</f>
        <v>#NUM!</v>
      </c>
      <c r="L27" s="23" t="e">
        <f ca="1">INDEX(K$65:INDIRECT("K"&amp;$C$61),$C27)</f>
        <v>#NUM!</v>
      </c>
      <c r="M27" t="e">
        <f ca="1">INDEX(L$65:INDIRECT("L"&amp;$C$61),$C27)</f>
        <v>#NUM!</v>
      </c>
      <c r="N27" t="e">
        <f ca="1">INDEX(M$65:INDIRECT("M"&amp;$C$61),$C27)</f>
        <v>#NUM!</v>
      </c>
      <c r="O27" t="e">
        <f ca="1">INDEX(N$65:INDIRECT("N"&amp;$C$61),$C27)</f>
        <v>#NUM!</v>
      </c>
      <c r="P27" t="e">
        <f ca="1">INDEX(O$65:INDIRECT("O"&amp;$C$61),$C27)</f>
        <v>#NUM!</v>
      </c>
      <c r="Q27" s="104"/>
      <c r="R27" s="74" t="s">
        <v>74</v>
      </c>
      <c r="S27" s="69" t="s">
        <v>32</v>
      </c>
      <c r="T27" s="74" t="e">
        <f t="array" aca="1" ref="T27" ca="1">MATCH(IF(ISBLANK($AD$11),SMALL(IF($E$65:INDIRECT("E"&amp;$C$61)=$AD$10,INDIRECT(AJ27&amp;65):INDIRECT(AJ27&amp;$C$61)),$AH27),IF(ISBLANK($AD$10),SMALL(IF($D$65:INDIRECT("D"&amp;$C$61)=$AD$11,INDIRECT(AJ27&amp;65):INDIRECT(AJ27&amp;$C$61)),$AH27),SMALL(IF(($E$65:INDIRECT("E"&amp;$C$61)=$AD$10)*($D$65:INDIRECT("D"&amp;$C$61)=$AD$11),INDIRECT(AJ27&amp;65):INDIRECT(AJ27&amp;$C$61)),$AH27))),INDIRECT(AJ27&amp;65):INDIRECT(AJ27&amp;$C$61),0)</f>
        <v>#NUM!</v>
      </c>
      <c r="U27" s="69" t="e">
        <f ca="1">INDEX(D$65:INDIRECT("D"&amp;$C$61),$T27)</f>
        <v>#NUM!</v>
      </c>
      <c r="V27" s="69" t="e">
        <f ca="1">INDEX(INDIRECT(("'MemberID'!$C$6:C"&amp;MemberID!$C$1)),MATCH(U27,INDIRECT(("'MemberID'!$G$6:G"&amp;MemberID!$C$1)),0))</f>
        <v>#NUM!</v>
      </c>
      <c r="W27" s="69" t="e">
        <f ca="1">INDEX(E$65:INDIRECT("E"&amp;$C$61),$T27)</f>
        <v>#NUM!</v>
      </c>
      <c r="X27" t="e">
        <f ca="1">INDEX(F$65:INDIRECT("F"&amp;$C$61),$T27)</f>
        <v>#NUM!</v>
      </c>
      <c r="Y27" t="e">
        <f ca="1">INDEX(G$65:INDIRECT("G"&amp;$C$61),$T27)</f>
        <v>#NUM!</v>
      </c>
      <c r="Z27" t="e">
        <f ca="1">INDEX(H$65:INDIRECT("H"&amp;$C$61),$T27)</f>
        <v>#NUM!</v>
      </c>
      <c r="AA27" t="e">
        <f ca="1">INDEX(I$65:INDIRECT("I"&amp;$C$61),$T27)</f>
        <v>#NUM!</v>
      </c>
      <c r="AB27" t="e">
        <f ca="1">INDEX(J$65:INDIRECT("J"&amp;$C$61),$T27)</f>
        <v>#NUM!</v>
      </c>
      <c r="AC27" s="23" t="e">
        <f t="array" aca="1" ref="AC27" ca="1">IF(ISBLANK($AD$11),SMALL(IF($E$65:INDIRECT("E"&amp;$C$61)=$AD$10,K$65:INDIRECT(AC$13&amp;$C$61)),$AH27),IF(ISBLANK($AD$10),SMALL(IF($D$65:INDIRECT("D"&amp;$C$61)=$AD$11,K$65:INDIRECT(AC$13&amp;$C$61)),$AH27),SMALL(IF(($E$65:INDIRECT("E"&amp;$C$61)=$AD$10)*($D$65:INDIRECT("D"&amp;$C$61)=$AD$11),K$65:INDIRECT(AC$13&amp;$C$61)),$AH27)))</f>
        <v>#NUM!</v>
      </c>
      <c r="AD27" t="e">
        <f ca="1">INDEX(L$65:INDIRECT("L"&amp;$C$61),$T27)</f>
        <v>#NUM!</v>
      </c>
      <c r="AE27" t="e">
        <f ca="1">INDEX(M$65:INDIRECT("M"&amp;$C$61),$T27)</f>
        <v>#NUM!</v>
      </c>
      <c r="AF27" t="e">
        <f ca="1">INDEX(N$65:INDIRECT("N"&amp;$C$61),$T27)</f>
        <v>#NUM!</v>
      </c>
      <c r="AG27" t="e">
        <f ca="1">INDEX(O$65:INDIRECT("O"&amp;$C$61),$T27)</f>
        <v>#NUM!</v>
      </c>
      <c r="AH27" s="69">
        <v>3</v>
      </c>
      <c r="AI27" s="69" t="str">
        <f t="shared" si="1"/>
        <v>K</v>
      </c>
      <c r="AJ27" s="69" t="str">
        <f t="shared" si="1"/>
        <v>R</v>
      </c>
    </row>
    <row r="28" spans="1:36" x14ac:dyDescent="0.25">
      <c r="A28" s="69"/>
      <c r="B28" s="69"/>
      <c r="C28" s="69"/>
      <c r="D28" s="69"/>
      <c r="E28" s="69"/>
      <c r="F28" s="69"/>
      <c r="I28" s="69"/>
      <c r="J28" s="7"/>
      <c r="K28" s="7"/>
      <c r="L28" s="7"/>
      <c r="M28" s="7"/>
      <c r="N28" s="7"/>
      <c r="O28" s="7"/>
      <c r="P28" s="7"/>
      <c r="Q28" s="104"/>
      <c r="R28" s="69"/>
      <c r="S28" s="69"/>
      <c r="T28" s="69"/>
      <c r="V28" s="69"/>
      <c r="W28" s="69"/>
      <c r="AH28" s="69"/>
      <c r="AI28" s="69"/>
      <c r="AJ28" s="69"/>
    </row>
    <row r="29" spans="1:36" x14ac:dyDescent="0.25">
      <c r="A29" s="73" t="s">
        <v>69</v>
      </c>
      <c r="B29" s="69" t="s">
        <v>33</v>
      </c>
      <c r="C29" s="73" t="e">
        <f ca="1">L3</f>
        <v>#N/A</v>
      </c>
      <c r="D29" s="69" t="e">
        <f ca="1">INDEX(D$65:INDIRECT("D"&amp;$C$61),$C29)</f>
        <v>#N/A</v>
      </c>
      <c r="E29" s="69" t="e">
        <f ca="1">INDEX(INDIRECT(("'MemberID'!$C$6:C"&amp;MemberID!$C$1)),MATCH(D29,INDIRECT(("'MemberID'!$G$6:G"&amp;MemberID!$C$1)),0))</f>
        <v>#N/A</v>
      </c>
      <c r="F29" s="69" t="e">
        <f ca="1">INDEX(E$65:INDIRECT("E"&amp;$C$61),$C29)</f>
        <v>#N/A</v>
      </c>
      <c r="G29" t="e">
        <f ca="1">INDEX(F$65:INDIRECT("F"&amp;$C$61),$C29)</f>
        <v>#N/A</v>
      </c>
      <c r="H29" t="e">
        <f ca="1">INDEX(G$65:INDIRECT("G"&amp;$C$61),$C29)</f>
        <v>#N/A</v>
      </c>
      <c r="I29" s="69" t="e">
        <f ca="1">INDEX(H$65:INDIRECT("H"&amp;$C$61),$C29)</f>
        <v>#N/A</v>
      </c>
      <c r="J29" t="e">
        <f ca="1">INDEX(I$65:INDIRECT("I"&amp;$C$61),$C29)</f>
        <v>#N/A</v>
      </c>
      <c r="K29" s="7" t="e">
        <f ca="1">INDEX(J$65:INDIRECT("J"&amp;$C$61),$C29)</f>
        <v>#N/A</v>
      </c>
      <c r="L29" t="e">
        <f ca="1">INDEX(K$65:INDIRECT("K"&amp;$C$61),$C29)</f>
        <v>#N/A</v>
      </c>
      <c r="M29" s="23" t="e">
        <f ca="1">INDEX(L$65:INDIRECT("L"&amp;$C$61),$C29)</f>
        <v>#N/A</v>
      </c>
      <c r="N29" t="e">
        <f ca="1">INDEX(M$65:INDIRECT("M"&amp;$C$61),$C29)</f>
        <v>#N/A</v>
      </c>
      <c r="O29" t="e">
        <f ca="1">INDEX(N$65:INDIRECT("N"&amp;$C$61),$C29)</f>
        <v>#N/A</v>
      </c>
      <c r="P29" t="e">
        <f ca="1">INDEX(O$65:INDIRECT("O"&amp;$C$61),$C29)</f>
        <v>#N/A</v>
      </c>
      <c r="Q29" s="104"/>
      <c r="R29" s="73" t="s">
        <v>69</v>
      </c>
      <c r="S29" s="69" t="s">
        <v>33</v>
      </c>
      <c r="T29" s="73" t="e">
        <f t="array" aca="1" ref="T29" ca="1">MATCH(IF(ISBLANK($AD$11),LARGE(IF($E$65:INDIRECT("E"&amp;$C$61)=$AD$10,INDIRECT(AJ29&amp;65):INDIRECT(AJ29&amp;$C$61)),$AH29),IF(ISBLANK($AD$10),LARGE(IF($D$65:INDIRECT("D"&amp;$C$61)=$AD$11,INDIRECT(AJ29&amp;65):INDIRECT(AJ29&amp;$C$61)),$AH29),LARGE(IF(($E$65:INDIRECT("E"&amp;$C$61)=$AD$10)*($D$65:INDIRECT("D"&amp;$C$61)=$AD$11),INDIRECT(AJ29&amp;65):INDIRECT(AJ29&amp;$C$61)),$AH29))),INDIRECT(AJ29&amp;65):INDIRECT(AJ29&amp;$C$61),0)</f>
        <v>#NUM!</v>
      </c>
      <c r="U29" s="69" t="e">
        <f ca="1">INDEX(D$65:INDIRECT("D"&amp;$C$61),$T29)</f>
        <v>#NUM!</v>
      </c>
      <c r="V29" s="69" t="e">
        <f ca="1">INDEX(INDIRECT(("'MemberID'!$C$6:C"&amp;MemberID!$C$1)),MATCH(U29,INDIRECT(("'MemberID'!$G$6:G"&amp;MemberID!$C$1)),0))</f>
        <v>#NUM!</v>
      </c>
      <c r="W29" s="69" t="e">
        <f ca="1">INDEX(E$65:INDIRECT("E"&amp;$C$61),$T29)</f>
        <v>#NUM!</v>
      </c>
      <c r="X29" t="e">
        <f ca="1">INDEX(F$65:INDIRECT("F"&amp;$C$61),$T29)</f>
        <v>#NUM!</v>
      </c>
      <c r="Y29" t="e">
        <f ca="1">INDEX(G$65:INDIRECT("G"&amp;$C$61),$T29)</f>
        <v>#NUM!</v>
      </c>
      <c r="Z29" t="e">
        <f ca="1">INDEX(H$65:INDIRECT("H"&amp;$C$61),$T29)</f>
        <v>#NUM!</v>
      </c>
      <c r="AA29" t="e">
        <f ca="1">INDEX(I$65:INDIRECT("I"&amp;$C$61),$T29)</f>
        <v>#NUM!</v>
      </c>
      <c r="AB29" t="e">
        <f ca="1">INDEX(J$65:INDIRECT("J"&amp;$C$61),$T29)</f>
        <v>#NUM!</v>
      </c>
      <c r="AC29" t="e">
        <f ca="1">INDEX(K$65:INDIRECT("K"&amp;$C$61),$T29)</f>
        <v>#NUM!</v>
      </c>
      <c r="AD29" s="23" t="e">
        <f t="array" aca="1" ref="AD29" ca="1">IF(ISBLANK($AD$11),LARGE(IF($E$65:INDIRECT("E"&amp;$C$61)=$AD$10,L$65:INDIRECT(AD$13&amp;$C$61)),$AH29),IF(ISBLANK($AD$10),LARGE(IF($D$65:INDIRECT("D"&amp;$C$61)=$AD$11,L$65:INDIRECT(AD$13&amp;$C$61)),$AH29),LARGE(IF(($E$65:INDIRECT("E"&amp;$C$61)=$AD$10)*($D$65:INDIRECT("D"&amp;$C$61)=$AD$11),L$65:INDIRECT(AD$13&amp;$C$61)),$AH29)))</f>
        <v>#NUM!</v>
      </c>
      <c r="AE29" t="e">
        <f ca="1">INDEX(M$65:INDIRECT("M"&amp;$C$61),$T29)</f>
        <v>#NUM!</v>
      </c>
      <c r="AF29" t="e">
        <f ca="1">INDEX(N$65:INDIRECT("N"&amp;$C$61),$T29)</f>
        <v>#NUM!</v>
      </c>
      <c r="AG29" t="e">
        <f ca="1">INDEX(O$65:INDIRECT("O"&amp;$C$61),$T29)</f>
        <v>#NUM!</v>
      </c>
      <c r="AH29" s="69">
        <v>1</v>
      </c>
      <c r="AI29" s="69" t="s">
        <v>152</v>
      </c>
      <c r="AJ29" s="69" t="s">
        <v>158</v>
      </c>
    </row>
    <row r="30" spans="1:36" x14ac:dyDescent="0.25">
      <c r="A30" s="73" t="s">
        <v>70</v>
      </c>
      <c r="B30" s="69" t="s">
        <v>33</v>
      </c>
      <c r="C30" s="73" t="e">
        <f ca="1">T3</f>
        <v>#NUM!</v>
      </c>
      <c r="D30" s="69" t="e">
        <f ca="1">INDEX(D$65:INDIRECT("D"&amp;$C$61),$C30)</f>
        <v>#NUM!</v>
      </c>
      <c r="E30" s="69" t="e">
        <f ca="1">INDEX(INDIRECT(("'MemberID'!$C$6:C"&amp;MemberID!$C$1)),MATCH(D30,INDIRECT(("'MemberID'!$G$6:G"&amp;MemberID!$C$1)),0))</f>
        <v>#NUM!</v>
      </c>
      <c r="F30" s="69" t="e">
        <f ca="1">INDEX(E$65:INDIRECT("E"&amp;$C$61),$C30)</f>
        <v>#NUM!</v>
      </c>
      <c r="G30" t="e">
        <f ca="1">INDEX(F$65:INDIRECT("F"&amp;$C$61),$C30)</f>
        <v>#NUM!</v>
      </c>
      <c r="H30" t="e">
        <f ca="1">INDEX(G$65:INDIRECT("G"&amp;$C$61),$C30)</f>
        <v>#NUM!</v>
      </c>
      <c r="I30" s="69" t="e">
        <f ca="1">INDEX(H$65:INDIRECT("H"&amp;$C$61),$C30)</f>
        <v>#NUM!</v>
      </c>
      <c r="J30" t="e">
        <f ca="1">INDEX(I$65:INDIRECT("I"&amp;$C$61),$C30)</f>
        <v>#NUM!</v>
      </c>
      <c r="K30" s="7" t="e">
        <f ca="1">INDEX(J$65:INDIRECT("J"&amp;$C$61),$C30)</f>
        <v>#NUM!</v>
      </c>
      <c r="L30" t="e">
        <f ca="1">INDEX(K$65:INDIRECT("K"&amp;$C$61),$C30)</f>
        <v>#NUM!</v>
      </c>
      <c r="M30" s="23" t="e">
        <f ca="1">INDEX(L$65:INDIRECT("L"&amp;$C$61),$C30)</f>
        <v>#NUM!</v>
      </c>
      <c r="N30" t="e">
        <f ca="1">INDEX(M$65:INDIRECT("M"&amp;$C$61),$C30)</f>
        <v>#NUM!</v>
      </c>
      <c r="O30" t="e">
        <f ca="1">INDEX(N$65:INDIRECT("N"&amp;$C$61),$C30)</f>
        <v>#NUM!</v>
      </c>
      <c r="P30" t="e">
        <f ca="1">INDEX(O$65:INDIRECT("O"&amp;$C$61),$C30)</f>
        <v>#NUM!</v>
      </c>
      <c r="Q30" s="104"/>
      <c r="R30" s="73" t="s">
        <v>70</v>
      </c>
      <c r="S30" s="69" t="s">
        <v>33</v>
      </c>
      <c r="T30" s="73" t="e">
        <f t="array" aca="1" ref="T30" ca="1">MATCH(IF(ISBLANK($AD$11),LARGE(IF($E$65:INDIRECT("E"&amp;$C$61)=$AD$10,INDIRECT(AJ30&amp;65):INDIRECT(AJ30&amp;$C$61)),$AH30),IF(ISBLANK($AD$10),LARGE(IF($D$65:INDIRECT("D"&amp;$C$61)=$AD$11,INDIRECT(AJ30&amp;65):INDIRECT(AJ30&amp;$C$61)),$AH30),LARGE(IF(($E$65:INDIRECT("E"&amp;$C$61)=$AD$10)*($D$65:INDIRECT("D"&amp;$C$61)=$AD$11),INDIRECT(AJ30&amp;65):INDIRECT(AJ30&amp;$C$61)),$AH30))),INDIRECT(AJ30&amp;65):INDIRECT(AJ30&amp;$C$61),0)</f>
        <v>#NUM!</v>
      </c>
      <c r="U30" s="69" t="e">
        <f ca="1">INDEX(D$65:INDIRECT("D"&amp;$C$61),$T30)</f>
        <v>#NUM!</v>
      </c>
      <c r="V30" s="69" t="e">
        <f ca="1">INDEX(INDIRECT(("'MemberID'!$C$6:C"&amp;MemberID!$C$1)),MATCH(U30,INDIRECT(("'MemberID'!$G$6:G"&amp;MemberID!$C$1)),0))</f>
        <v>#NUM!</v>
      </c>
      <c r="W30" s="69" t="e">
        <f ca="1">INDEX(E$65:INDIRECT("E"&amp;$C$61),$T30)</f>
        <v>#NUM!</v>
      </c>
      <c r="X30" t="e">
        <f ca="1">INDEX(F$65:INDIRECT("F"&amp;$C$61),$T30)</f>
        <v>#NUM!</v>
      </c>
      <c r="Y30" t="e">
        <f ca="1">INDEX(G$65:INDIRECT("G"&amp;$C$61),$T30)</f>
        <v>#NUM!</v>
      </c>
      <c r="Z30" t="e">
        <f ca="1">INDEX(H$65:INDIRECT("H"&amp;$C$61),$T30)</f>
        <v>#NUM!</v>
      </c>
      <c r="AA30" t="e">
        <f ca="1">INDEX(I$65:INDIRECT("I"&amp;$C$61),$T30)</f>
        <v>#NUM!</v>
      </c>
      <c r="AB30" t="e">
        <f ca="1">INDEX(J$65:INDIRECT("J"&amp;$C$61),$T30)</f>
        <v>#NUM!</v>
      </c>
      <c r="AC30" t="e">
        <f ca="1">INDEX(K$65:INDIRECT("K"&amp;$C$61),$T30)</f>
        <v>#NUM!</v>
      </c>
      <c r="AD30" s="23" t="e">
        <f t="array" aca="1" ref="AD30" ca="1">IF(ISBLANK($AD$11),LARGE(IF($E$65:INDIRECT("E"&amp;$C$61)=$AD$10,L$65:INDIRECT(AD$13&amp;$C$61)),$AH30),IF(ISBLANK($AD$10),LARGE(IF($D$65:INDIRECT("D"&amp;$C$61)=$AD$11,L$65:INDIRECT(AD$13&amp;$C$61)),$AH30),LARGE(IF(($E$65:INDIRECT("E"&amp;$C$61)=$AD$10)*($D$65:INDIRECT("D"&amp;$C$61)=$AD$11),L$65:INDIRECT(AD$13&amp;$C$61)),$AH30)))</f>
        <v>#NUM!</v>
      </c>
      <c r="AE30" t="e">
        <f ca="1">INDEX(M$65:INDIRECT("M"&amp;$C$61),$T30)</f>
        <v>#NUM!</v>
      </c>
      <c r="AF30" t="e">
        <f ca="1">INDEX(N$65:INDIRECT("N"&amp;$C$61),$T30)</f>
        <v>#NUM!</v>
      </c>
      <c r="AG30" t="e">
        <f ca="1">INDEX(O$65:INDIRECT("O"&amp;$C$61),$T30)</f>
        <v>#NUM!</v>
      </c>
      <c r="AH30" s="69">
        <v>2</v>
      </c>
      <c r="AI30" s="69" t="str">
        <f>AI29</f>
        <v>L</v>
      </c>
      <c r="AJ30" s="69" t="str">
        <f>AJ29</f>
        <v>S</v>
      </c>
    </row>
    <row r="31" spans="1:36" x14ac:dyDescent="0.25">
      <c r="A31" s="73" t="s">
        <v>71</v>
      </c>
      <c r="B31" s="69" t="s">
        <v>33</v>
      </c>
      <c r="C31" s="73" t="e">
        <f ca="1">AB3</f>
        <v>#NUM!</v>
      </c>
      <c r="D31" s="69" t="e">
        <f ca="1">INDEX(D$65:INDIRECT("D"&amp;$C$61),$C31)</f>
        <v>#NUM!</v>
      </c>
      <c r="E31" s="69" t="e">
        <f ca="1">INDEX(INDIRECT(("'MemberID'!$C$6:C"&amp;MemberID!$C$1)),MATCH(D31,INDIRECT(("'MemberID'!$G$6:G"&amp;MemberID!$C$1)),0))</f>
        <v>#NUM!</v>
      </c>
      <c r="F31" s="69" t="e">
        <f ca="1">INDEX(E$65:INDIRECT("E"&amp;$C$61),$C31)</f>
        <v>#NUM!</v>
      </c>
      <c r="G31" t="e">
        <f ca="1">INDEX(F$65:INDIRECT("F"&amp;$C$61),$C31)</f>
        <v>#NUM!</v>
      </c>
      <c r="H31" t="e">
        <f ca="1">INDEX(G$65:INDIRECT("G"&amp;$C$61),$C31)</f>
        <v>#NUM!</v>
      </c>
      <c r="I31" s="69" t="e">
        <f ca="1">INDEX(H$65:INDIRECT("H"&amp;$C$61),$C31)</f>
        <v>#NUM!</v>
      </c>
      <c r="J31" t="e">
        <f ca="1">INDEX(I$65:INDIRECT("I"&amp;$C$61),$C31)</f>
        <v>#NUM!</v>
      </c>
      <c r="K31" s="7" t="e">
        <f ca="1">INDEX(J$65:INDIRECT("J"&amp;$C$61),$C31)</f>
        <v>#NUM!</v>
      </c>
      <c r="L31" t="e">
        <f ca="1">INDEX(K$65:INDIRECT("K"&amp;$C$61),$C31)</f>
        <v>#NUM!</v>
      </c>
      <c r="M31" s="23" t="e">
        <f ca="1">INDEX(L$65:INDIRECT("L"&amp;$C$61),$C31)</f>
        <v>#NUM!</v>
      </c>
      <c r="N31" t="e">
        <f ca="1">INDEX(M$65:INDIRECT("M"&amp;$C$61),$C31)</f>
        <v>#NUM!</v>
      </c>
      <c r="O31" t="e">
        <f ca="1">INDEX(N$65:INDIRECT("N"&amp;$C$61),$C31)</f>
        <v>#NUM!</v>
      </c>
      <c r="P31" t="e">
        <f ca="1">INDEX(O$65:INDIRECT("O"&amp;$C$61),$C31)</f>
        <v>#NUM!</v>
      </c>
      <c r="Q31" s="104"/>
      <c r="R31" s="73" t="s">
        <v>71</v>
      </c>
      <c r="S31" s="69" t="s">
        <v>33</v>
      </c>
      <c r="T31" s="73" t="e">
        <f t="array" aca="1" ref="T31" ca="1">MATCH(IF(ISBLANK($AD$11),LARGE(IF($E$65:INDIRECT("E"&amp;$C$61)=$AD$10,INDIRECT(AJ31&amp;65):INDIRECT(AJ31&amp;$C$61)),$AH31),IF(ISBLANK($AD$10),LARGE(IF($D$65:INDIRECT("D"&amp;$C$61)=$AD$11,INDIRECT(AJ31&amp;65):INDIRECT(AJ31&amp;$C$61)),$AH31),LARGE(IF(($E$65:INDIRECT("E"&amp;$C$61)=$AD$10)*($D$65:INDIRECT("D"&amp;$C$61)=$AD$11),INDIRECT(AJ31&amp;65):INDIRECT(AJ31&amp;$C$61)),$AH31))),INDIRECT(AJ31&amp;65):INDIRECT(AJ31&amp;$C$61),0)</f>
        <v>#NUM!</v>
      </c>
      <c r="U31" s="69" t="e">
        <f ca="1">INDEX(D$65:INDIRECT("D"&amp;$C$61),$T31)</f>
        <v>#NUM!</v>
      </c>
      <c r="V31" s="69" t="e">
        <f ca="1">INDEX(INDIRECT(("'MemberID'!$C$6:C"&amp;MemberID!$C$1)),MATCH(U31,INDIRECT(("'MemberID'!$G$6:G"&amp;MemberID!$C$1)),0))</f>
        <v>#NUM!</v>
      </c>
      <c r="W31" s="69" t="e">
        <f ca="1">INDEX(E$65:INDIRECT("E"&amp;$C$61),$T31)</f>
        <v>#NUM!</v>
      </c>
      <c r="X31" t="e">
        <f ca="1">INDEX(F$65:INDIRECT("F"&amp;$C$61),$T31)</f>
        <v>#NUM!</v>
      </c>
      <c r="Y31" t="e">
        <f ca="1">INDEX(G$65:INDIRECT("G"&amp;$C$61),$T31)</f>
        <v>#NUM!</v>
      </c>
      <c r="Z31" t="e">
        <f ca="1">INDEX(H$65:INDIRECT("H"&amp;$C$61),$T31)</f>
        <v>#NUM!</v>
      </c>
      <c r="AA31" t="e">
        <f ca="1">INDEX(I$65:INDIRECT("I"&amp;$C$61),$T31)</f>
        <v>#NUM!</v>
      </c>
      <c r="AB31" t="e">
        <f ca="1">INDEX(J$65:INDIRECT("J"&amp;$C$61),$T31)</f>
        <v>#NUM!</v>
      </c>
      <c r="AC31" t="e">
        <f ca="1">INDEX(K$65:INDIRECT("K"&amp;$C$61),$T31)</f>
        <v>#NUM!</v>
      </c>
      <c r="AD31" s="23" t="e">
        <f t="array" aca="1" ref="AD31" ca="1">IF(ISBLANK($AD$11),LARGE(IF($E$65:INDIRECT("E"&amp;$C$61)=$AD$10,L$65:INDIRECT(AD$13&amp;$C$61)),$AH31),IF(ISBLANK($AD$10),LARGE(IF($D$65:INDIRECT("D"&amp;$C$61)=$AD$11,L$65:INDIRECT(AD$13&amp;$C$61)),$AH31),LARGE(IF(($E$65:INDIRECT("E"&amp;$C$61)=$AD$10)*($D$65:INDIRECT("D"&amp;$C$61)=$AD$11),L$65:INDIRECT(AD$13&amp;$C$61)),$AH31)))</f>
        <v>#NUM!</v>
      </c>
      <c r="AE31" t="e">
        <f ca="1">INDEX(M$65:INDIRECT("M"&amp;$C$61),$T31)</f>
        <v>#NUM!</v>
      </c>
      <c r="AF31" t="e">
        <f ca="1">INDEX(N$65:INDIRECT("N"&amp;$C$61),$T31)</f>
        <v>#NUM!</v>
      </c>
      <c r="AG31" t="e">
        <f ca="1">INDEX(O$65:INDIRECT("O"&amp;$C$61),$T31)</f>
        <v>#NUM!</v>
      </c>
      <c r="AH31" s="69">
        <v>3</v>
      </c>
      <c r="AI31" s="69" t="str">
        <f t="shared" ref="AI31:AJ34" si="2">AI30</f>
        <v>L</v>
      </c>
      <c r="AJ31" s="69" t="str">
        <f t="shared" si="2"/>
        <v>S</v>
      </c>
    </row>
    <row r="32" spans="1:36" x14ac:dyDescent="0.25">
      <c r="A32" s="74" t="s">
        <v>72</v>
      </c>
      <c r="B32" s="69" t="s">
        <v>33</v>
      </c>
      <c r="C32" s="74" t="e">
        <f ca="1">L6</f>
        <v>#N/A</v>
      </c>
      <c r="D32" s="69" t="e">
        <f ca="1">INDEX(D$65:INDIRECT("D"&amp;$C$61),$C32)</f>
        <v>#N/A</v>
      </c>
      <c r="E32" s="69" t="e">
        <f ca="1">INDEX(INDIRECT(("'MemberID'!$C$6:C"&amp;MemberID!$C$1)),MATCH(D32,INDIRECT(("'MemberID'!$G$6:G"&amp;MemberID!$C$1)),0))</f>
        <v>#N/A</v>
      </c>
      <c r="F32" s="69" t="e">
        <f ca="1">INDEX(E$65:INDIRECT("E"&amp;$C$61),$C32)</f>
        <v>#N/A</v>
      </c>
      <c r="G32" t="e">
        <f ca="1">INDEX(F$65:INDIRECT("F"&amp;$C$61),$C32)</f>
        <v>#N/A</v>
      </c>
      <c r="H32" t="e">
        <f ca="1">INDEX(G$65:INDIRECT("G"&amp;$C$61),$C32)</f>
        <v>#N/A</v>
      </c>
      <c r="I32" s="69" t="e">
        <f ca="1">INDEX(H$65:INDIRECT("H"&amp;$C$61),$C32)</f>
        <v>#N/A</v>
      </c>
      <c r="J32" t="e">
        <f ca="1">INDEX(I$65:INDIRECT("I"&amp;$C$61),$C32)</f>
        <v>#N/A</v>
      </c>
      <c r="K32" s="7" t="e">
        <f ca="1">INDEX(J$65:INDIRECT("J"&amp;$C$61),$C32)</f>
        <v>#N/A</v>
      </c>
      <c r="L32" t="e">
        <f ca="1">INDEX(K$65:INDIRECT("K"&amp;$C$61),$C32)</f>
        <v>#N/A</v>
      </c>
      <c r="M32" s="23" t="e">
        <f ca="1">INDEX(L$65:INDIRECT("L"&amp;$C$61),$C32)</f>
        <v>#N/A</v>
      </c>
      <c r="N32" t="e">
        <f ca="1">INDEX(M$65:INDIRECT("M"&amp;$C$61),$C32)</f>
        <v>#N/A</v>
      </c>
      <c r="O32" t="e">
        <f ca="1">INDEX(N$65:INDIRECT("N"&amp;$C$61),$C32)</f>
        <v>#N/A</v>
      </c>
      <c r="P32" t="e">
        <f ca="1">INDEX(O$65:INDIRECT("O"&amp;$C$61),$C32)</f>
        <v>#N/A</v>
      </c>
      <c r="Q32" s="104"/>
      <c r="R32" s="74" t="s">
        <v>72</v>
      </c>
      <c r="S32" s="69" t="s">
        <v>33</v>
      </c>
      <c r="T32" s="74" t="e">
        <f t="array" aca="1" ref="T32" ca="1">MATCH(IF(ISBLANK($AD$11),SMALL(IF($E$65:INDIRECT("E"&amp;$C$61)=$AD$10,INDIRECT(AJ32&amp;65):INDIRECT(AJ32&amp;$C$61)),$AH32),IF(ISBLANK($AD$10),SMALL(IF($D$65:INDIRECT("D"&amp;$C$61)=$AD$11,INDIRECT(AJ32&amp;65):INDIRECT(AJ32&amp;$C$61)),$AH32),SMALL(IF(($E$65:INDIRECT("E"&amp;$C$61)=$AD$10)*($D$65:INDIRECT("D"&amp;$C$61)=$AD$11),INDIRECT(AJ32&amp;65):INDIRECT(AJ32&amp;$C$61)),$AH32))),INDIRECT(AJ32&amp;65):INDIRECT(AJ32&amp;$C$61),0)</f>
        <v>#NUM!</v>
      </c>
      <c r="U32" s="69" t="e">
        <f ca="1">INDEX(D$65:INDIRECT("D"&amp;$C$61),$T32)</f>
        <v>#NUM!</v>
      </c>
      <c r="V32" s="69" t="e">
        <f ca="1">INDEX(INDIRECT(("'MemberID'!$C$6:C"&amp;MemberID!$C$1)),MATCH(U32,INDIRECT(("'MemberID'!$G$6:G"&amp;MemberID!$C$1)),0))</f>
        <v>#NUM!</v>
      </c>
      <c r="W32" s="69" t="e">
        <f ca="1">INDEX(E$65:INDIRECT("E"&amp;$C$61),$T32)</f>
        <v>#NUM!</v>
      </c>
      <c r="X32" t="e">
        <f ca="1">INDEX(F$65:INDIRECT("F"&amp;$C$61),$T32)</f>
        <v>#NUM!</v>
      </c>
      <c r="Y32" t="e">
        <f ca="1">INDEX(G$65:INDIRECT("G"&amp;$C$61),$T32)</f>
        <v>#NUM!</v>
      </c>
      <c r="Z32" t="e">
        <f ca="1">INDEX(H$65:INDIRECT("H"&amp;$C$61),$T32)</f>
        <v>#NUM!</v>
      </c>
      <c r="AA32" t="e">
        <f ca="1">INDEX(I$65:INDIRECT("I"&amp;$C$61),$T32)</f>
        <v>#NUM!</v>
      </c>
      <c r="AB32" t="e">
        <f ca="1">INDEX(J$65:INDIRECT("J"&amp;$C$61),$T32)</f>
        <v>#NUM!</v>
      </c>
      <c r="AC32" t="e">
        <f ca="1">INDEX(K$65:INDIRECT("K"&amp;$C$61),$T32)</f>
        <v>#NUM!</v>
      </c>
      <c r="AD32" s="23" t="e">
        <f t="array" aca="1" ref="AD32" ca="1">IF(ISBLANK($AD$11),SMALL(IF($E$65:INDIRECT("E"&amp;$C$61)=$AD$10,L$65:INDIRECT(AD$13&amp;$C$61)),$AH32),IF(ISBLANK($AD$10),SMALL(IF($D$65:INDIRECT("D"&amp;$C$61)=$AD$11,L$65:INDIRECT(AD$13&amp;$C$61)),$AH32),SMALL(IF(($E$65:INDIRECT("E"&amp;$C$61)=$AD$10)*($D$65:INDIRECT("D"&amp;$C$61)=$AD$11),L$65:INDIRECT(AD$13&amp;$C$61)),$AH32)))</f>
        <v>#NUM!</v>
      </c>
      <c r="AE32" t="e">
        <f ca="1">INDEX(M$65:INDIRECT("M"&amp;$C$61),$T32)</f>
        <v>#NUM!</v>
      </c>
      <c r="AF32" t="e">
        <f ca="1">INDEX(N$65:INDIRECT("N"&amp;$C$61),$T32)</f>
        <v>#NUM!</v>
      </c>
      <c r="AG32" t="e">
        <f ca="1">INDEX(O$65:INDIRECT("O"&amp;$C$61),$T32)</f>
        <v>#NUM!</v>
      </c>
      <c r="AH32" s="69">
        <v>1</v>
      </c>
      <c r="AI32" s="69" t="str">
        <f t="shared" si="2"/>
        <v>L</v>
      </c>
      <c r="AJ32" s="69" t="str">
        <f t="shared" si="2"/>
        <v>S</v>
      </c>
    </row>
    <row r="33" spans="1:52" x14ac:dyDescent="0.25">
      <c r="A33" s="74" t="s">
        <v>73</v>
      </c>
      <c r="B33" s="69" t="s">
        <v>33</v>
      </c>
      <c r="C33" s="74" t="e">
        <f ca="1">T6</f>
        <v>#NUM!</v>
      </c>
      <c r="D33" s="69" t="e">
        <f ca="1">INDEX(D$65:INDIRECT("D"&amp;$C$61),$C33)</f>
        <v>#NUM!</v>
      </c>
      <c r="E33" s="69" t="e">
        <f ca="1">INDEX(INDIRECT(("'MemberID'!$C$6:C"&amp;MemberID!$C$1)),MATCH(D33,INDIRECT(("'MemberID'!$G$6:G"&amp;MemberID!$C$1)),0))</f>
        <v>#NUM!</v>
      </c>
      <c r="F33" s="69" t="e">
        <f ca="1">INDEX(E$65:INDIRECT("E"&amp;$C$61),$C33)</f>
        <v>#NUM!</v>
      </c>
      <c r="G33" t="e">
        <f ca="1">INDEX(F$65:INDIRECT("F"&amp;$C$61),$C33)</f>
        <v>#NUM!</v>
      </c>
      <c r="H33" t="e">
        <f ca="1">INDEX(G$65:INDIRECT("G"&amp;$C$61),$C33)</f>
        <v>#NUM!</v>
      </c>
      <c r="I33" s="69" t="e">
        <f ca="1">INDEX(H$65:INDIRECT("H"&amp;$C$61),$C33)</f>
        <v>#NUM!</v>
      </c>
      <c r="J33" t="e">
        <f ca="1">INDEX(I$65:INDIRECT("I"&amp;$C$61),$C33)</f>
        <v>#NUM!</v>
      </c>
      <c r="K33" s="7" t="e">
        <f ca="1">INDEX(J$65:INDIRECT("J"&amp;$C$61),$C33)</f>
        <v>#NUM!</v>
      </c>
      <c r="L33" t="e">
        <f ca="1">INDEX(K$65:INDIRECT("K"&amp;$C$61),$C33)</f>
        <v>#NUM!</v>
      </c>
      <c r="M33" s="23" t="e">
        <f ca="1">INDEX(L$65:INDIRECT("L"&amp;$C$61),$C33)</f>
        <v>#NUM!</v>
      </c>
      <c r="N33" t="e">
        <f ca="1">INDEX(M$65:INDIRECT("M"&amp;$C$61),$C33)</f>
        <v>#NUM!</v>
      </c>
      <c r="O33" t="e">
        <f ca="1">INDEX(N$65:INDIRECT("N"&amp;$C$61),$C33)</f>
        <v>#NUM!</v>
      </c>
      <c r="P33" t="e">
        <f ca="1">INDEX(O$65:INDIRECT("O"&amp;$C$61),$C33)</f>
        <v>#NUM!</v>
      </c>
      <c r="Q33" s="104"/>
      <c r="R33" s="74" t="s">
        <v>73</v>
      </c>
      <c r="S33" s="69" t="s">
        <v>33</v>
      </c>
      <c r="T33" s="74" t="e">
        <f t="array" aca="1" ref="T33" ca="1">MATCH(IF(ISBLANK($AD$11),SMALL(IF($E$65:INDIRECT("E"&amp;$C$61)=$AD$10,INDIRECT(AJ33&amp;65):INDIRECT(AJ33&amp;$C$61)),$AH33),IF(ISBLANK($AD$10),SMALL(IF($D$65:INDIRECT("D"&amp;$C$61)=$AD$11,INDIRECT(AJ33&amp;65):INDIRECT(AJ33&amp;$C$61)),$AH33),SMALL(IF(($E$65:INDIRECT("E"&amp;$C$61)=$AD$10)*($D$65:INDIRECT("D"&amp;$C$61)=$AD$11),INDIRECT(AJ33&amp;65):INDIRECT(AJ33&amp;$C$61)),$AH33))),INDIRECT(AJ33&amp;65):INDIRECT(AJ33&amp;$C$61),0)</f>
        <v>#NUM!</v>
      </c>
      <c r="U33" s="69" t="e">
        <f ca="1">INDEX(D$65:INDIRECT("D"&amp;$C$61),$T33)</f>
        <v>#NUM!</v>
      </c>
      <c r="V33" s="69" t="e">
        <f ca="1">INDEX(INDIRECT(("'MemberID'!$C$6:C"&amp;MemberID!$C$1)),MATCH(U33,INDIRECT(("'MemberID'!$G$6:G"&amp;MemberID!$C$1)),0))</f>
        <v>#NUM!</v>
      </c>
      <c r="W33" s="69" t="e">
        <f ca="1">INDEX(E$65:INDIRECT("E"&amp;$C$61),$T33)</f>
        <v>#NUM!</v>
      </c>
      <c r="X33" t="e">
        <f ca="1">INDEX(F$65:INDIRECT("F"&amp;$C$61),$T33)</f>
        <v>#NUM!</v>
      </c>
      <c r="Y33" t="e">
        <f ca="1">INDEX(G$65:INDIRECT("G"&amp;$C$61),$T33)</f>
        <v>#NUM!</v>
      </c>
      <c r="Z33" t="e">
        <f ca="1">INDEX(H$65:INDIRECT("H"&amp;$C$61),$T33)</f>
        <v>#NUM!</v>
      </c>
      <c r="AA33" t="e">
        <f ca="1">INDEX(I$65:INDIRECT("I"&amp;$C$61),$T33)</f>
        <v>#NUM!</v>
      </c>
      <c r="AB33" t="e">
        <f ca="1">INDEX(J$65:INDIRECT("J"&amp;$C$61),$T33)</f>
        <v>#NUM!</v>
      </c>
      <c r="AC33" t="e">
        <f ca="1">INDEX(K$65:INDIRECT("K"&amp;$C$61),$T33)</f>
        <v>#NUM!</v>
      </c>
      <c r="AD33" s="23" t="e">
        <f t="array" aca="1" ref="AD33" ca="1">IF(ISBLANK($AD$11),SMALL(IF($E$65:INDIRECT("E"&amp;$C$61)=$AD$10,L$65:INDIRECT(AD$13&amp;$C$61)),$AH33),IF(ISBLANK($AD$10),SMALL(IF($D$65:INDIRECT("D"&amp;$C$61)=$AD$11,L$65:INDIRECT(AD$13&amp;$C$61)),$AH33),SMALL(IF(($E$65:INDIRECT("E"&amp;$C$61)=$AD$10)*($D$65:INDIRECT("D"&amp;$C$61)=$AD$11),L$65:INDIRECT(AD$13&amp;$C$61)),$AH33)))</f>
        <v>#NUM!</v>
      </c>
      <c r="AE33" t="e">
        <f ca="1">INDEX(M$65:INDIRECT("M"&amp;$C$61),$T33)</f>
        <v>#NUM!</v>
      </c>
      <c r="AF33" t="e">
        <f ca="1">INDEX(N$65:INDIRECT("N"&amp;$C$61),$T33)</f>
        <v>#NUM!</v>
      </c>
      <c r="AG33" t="e">
        <f ca="1">INDEX(O$65:INDIRECT("O"&amp;$C$61),$T33)</f>
        <v>#NUM!</v>
      </c>
      <c r="AH33" s="69">
        <v>2</v>
      </c>
      <c r="AI33" s="69" t="str">
        <f t="shared" si="2"/>
        <v>L</v>
      </c>
      <c r="AJ33" s="69" t="str">
        <f t="shared" si="2"/>
        <v>S</v>
      </c>
    </row>
    <row r="34" spans="1:52" x14ac:dyDescent="0.25">
      <c r="A34" s="74" t="s">
        <v>74</v>
      </c>
      <c r="B34" s="69" t="s">
        <v>33</v>
      </c>
      <c r="C34" s="74" t="e">
        <f ca="1">AB6</f>
        <v>#NUM!</v>
      </c>
      <c r="D34" s="69" t="e">
        <f ca="1">INDEX(D$65:INDIRECT("D"&amp;$C$61),$C34)</f>
        <v>#NUM!</v>
      </c>
      <c r="E34" s="69" t="e">
        <f ca="1">INDEX(INDIRECT(("'MemberID'!$C$6:C"&amp;MemberID!$C$1)),MATCH(D34,INDIRECT(("'MemberID'!$G$6:G"&amp;MemberID!$C$1)),0))</f>
        <v>#NUM!</v>
      </c>
      <c r="F34" s="69" t="e">
        <f ca="1">INDEX(E$65:INDIRECT("E"&amp;$C$61),$C34)</f>
        <v>#NUM!</v>
      </c>
      <c r="G34" t="e">
        <f ca="1">INDEX(F$65:INDIRECT("F"&amp;$C$61),$C34)</f>
        <v>#NUM!</v>
      </c>
      <c r="H34" t="e">
        <f ca="1">INDEX(G$65:INDIRECT("G"&amp;$C$61),$C34)</f>
        <v>#NUM!</v>
      </c>
      <c r="I34" s="69" t="e">
        <f ca="1">INDEX(H$65:INDIRECT("H"&amp;$C$61),$C34)</f>
        <v>#NUM!</v>
      </c>
      <c r="J34" t="e">
        <f ca="1">INDEX(I$65:INDIRECT("I"&amp;$C$61),$C34)</f>
        <v>#NUM!</v>
      </c>
      <c r="K34" s="7" t="e">
        <f ca="1">INDEX(J$65:INDIRECT("J"&amp;$C$61),$C34)</f>
        <v>#NUM!</v>
      </c>
      <c r="L34" t="e">
        <f ca="1">INDEX(K$65:INDIRECT("K"&amp;$C$61),$C34)</f>
        <v>#NUM!</v>
      </c>
      <c r="M34" s="23" t="e">
        <f ca="1">INDEX(L$65:INDIRECT("L"&amp;$C$61),$C34)</f>
        <v>#NUM!</v>
      </c>
      <c r="N34" t="e">
        <f ca="1">INDEX(M$65:INDIRECT("M"&amp;$C$61),$C34)</f>
        <v>#NUM!</v>
      </c>
      <c r="O34" t="e">
        <f ca="1">INDEX(N$65:INDIRECT("N"&amp;$C$61),$C34)</f>
        <v>#NUM!</v>
      </c>
      <c r="P34" t="e">
        <f ca="1">INDEX(O$65:INDIRECT("O"&amp;$C$61),$C34)</f>
        <v>#NUM!</v>
      </c>
      <c r="Q34" s="104"/>
      <c r="R34" s="74" t="s">
        <v>74</v>
      </c>
      <c r="S34" s="69" t="s">
        <v>33</v>
      </c>
      <c r="T34" s="74" t="e">
        <f t="array" aca="1" ref="T34" ca="1">MATCH(IF(ISBLANK($AD$11),SMALL(IF($E$65:INDIRECT("E"&amp;$C$61)=$AD$10,INDIRECT(AJ34&amp;65):INDIRECT(AJ34&amp;$C$61)),$AH34),IF(ISBLANK($AD$10),SMALL(IF($D$65:INDIRECT("D"&amp;$C$61)=$AD$11,INDIRECT(AJ34&amp;65):INDIRECT(AJ34&amp;$C$61)),$AH34),SMALL(IF(($E$65:INDIRECT("E"&amp;$C$61)=$AD$10)*($D$65:INDIRECT("D"&amp;$C$61)=$AD$11),INDIRECT(AJ34&amp;65):INDIRECT(AJ34&amp;$C$61)),$AH34))),INDIRECT(AJ34&amp;65):INDIRECT(AJ34&amp;$C$61),0)</f>
        <v>#NUM!</v>
      </c>
      <c r="U34" s="69" t="e">
        <f ca="1">INDEX(D$65:INDIRECT("D"&amp;$C$61),$T34)</f>
        <v>#NUM!</v>
      </c>
      <c r="V34" s="69" t="e">
        <f ca="1">INDEX(INDIRECT(("'MemberID'!$C$6:C"&amp;MemberID!$C$1)),MATCH(U34,INDIRECT(("'MemberID'!$G$6:G"&amp;MemberID!$C$1)),0))</f>
        <v>#NUM!</v>
      </c>
      <c r="W34" s="69" t="e">
        <f ca="1">INDEX(E$65:INDIRECT("E"&amp;$C$61),$T34)</f>
        <v>#NUM!</v>
      </c>
      <c r="X34" t="e">
        <f ca="1">INDEX(F$65:INDIRECT("F"&amp;$C$61),$T34)</f>
        <v>#NUM!</v>
      </c>
      <c r="Y34" t="e">
        <f ca="1">INDEX(G$65:INDIRECT("G"&amp;$C$61),$T34)</f>
        <v>#NUM!</v>
      </c>
      <c r="Z34" t="e">
        <f ca="1">INDEX(H$65:INDIRECT("H"&amp;$C$61),$T34)</f>
        <v>#NUM!</v>
      </c>
      <c r="AA34" t="e">
        <f ca="1">INDEX(I$65:INDIRECT("I"&amp;$C$61),$T34)</f>
        <v>#NUM!</v>
      </c>
      <c r="AB34" t="e">
        <f ca="1">INDEX(J$65:INDIRECT("J"&amp;$C$61),$T34)</f>
        <v>#NUM!</v>
      </c>
      <c r="AC34" t="e">
        <f ca="1">INDEX(K$65:INDIRECT("K"&amp;$C$61),$T34)</f>
        <v>#NUM!</v>
      </c>
      <c r="AD34" s="23" t="e">
        <f t="array" aca="1" ref="AD34" ca="1">IF(ISBLANK($AD$11),SMALL(IF($E$65:INDIRECT("E"&amp;$C$61)=$AD$10,L$65:INDIRECT(AD$13&amp;$C$61)),$AH34),IF(ISBLANK($AD$10),SMALL(IF($D$65:INDIRECT("D"&amp;$C$61)=$AD$11,L$65:INDIRECT(AD$13&amp;$C$61)),$AH34),SMALL(IF(($E$65:INDIRECT("E"&amp;$C$61)=$AD$10)*($D$65:INDIRECT("D"&amp;$C$61)=$AD$11),L$65:INDIRECT(AD$13&amp;$C$61)),$AH34)))</f>
        <v>#NUM!</v>
      </c>
      <c r="AE34" t="e">
        <f ca="1">INDEX(M$65:INDIRECT("M"&amp;$C$61),$T34)</f>
        <v>#NUM!</v>
      </c>
      <c r="AF34" t="e">
        <f ca="1">INDEX(N$65:INDIRECT("N"&amp;$C$61),$T34)</f>
        <v>#NUM!</v>
      </c>
      <c r="AG34" t="e">
        <f ca="1">INDEX(O$65:INDIRECT("O"&amp;$C$61),$T34)</f>
        <v>#NUM!</v>
      </c>
      <c r="AH34" s="69">
        <v>3</v>
      </c>
      <c r="AI34" s="69" t="str">
        <f t="shared" si="2"/>
        <v>L</v>
      </c>
      <c r="AJ34" s="69" t="str">
        <f t="shared" si="2"/>
        <v>S</v>
      </c>
    </row>
    <row r="35" spans="1:52" x14ac:dyDescent="0.25">
      <c r="A35" s="69"/>
      <c r="B35" s="69"/>
      <c r="C35" s="69"/>
      <c r="D35" s="69"/>
      <c r="E35" s="69"/>
      <c r="F35" s="69"/>
      <c r="I35" s="69"/>
      <c r="K35" s="7"/>
      <c r="Q35" s="104"/>
      <c r="R35" s="69"/>
      <c r="S35" s="69"/>
      <c r="T35" s="69"/>
      <c r="V35" s="69"/>
      <c r="W35" s="69"/>
      <c r="AH35" s="69"/>
      <c r="AI35" s="69"/>
      <c r="AJ35" s="69"/>
    </row>
    <row r="36" spans="1:52" x14ac:dyDescent="0.25">
      <c r="A36" s="73" t="s">
        <v>69</v>
      </c>
      <c r="B36" s="69" t="s">
        <v>34</v>
      </c>
      <c r="C36" s="73" t="e">
        <f ca="1">M3</f>
        <v>#N/A</v>
      </c>
      <c r="D36" s="69" t="e">
        <f ca="1">INDEX(D$65:INDIRECT("D"&amp;$C$61),$C36)</f>
        <v>#N/A</v>
      </c>
      <c r="E36" s="69" t="e">
        <f ca="1">INDEX(INDIRECT(("'MemberID'!$C$6:C"&amp;MemberID!$C$1)),MATCH(D36,INDIRECT(("'MemberID'!$G$6:G"&amp;MemberID!$C$1)),0))</f>
        <v>#N/A</v>
      </c>
      <c r="F36" s="69" t="e">
        <f ca="1">INDEX(E$65:INDIRECT("E"&amp;$C$61),$C36)</f>
        <v>#N/A</v>
      </c>
      <c r="G36" t="e">
        <f ca="1">INDEX(F$65:INDIRECT("F"&amp;$C$61),$C36)</f>
        <v>#N/A</v>
      </c>
      <c r="H36" t="e">
        <f ca="1">INDEX(G$65:INDIRECT("G"&amp;$C$61),$C36)</f>
        <v>#N/A</v>
      </c>
      <c r="I36" s="69" t="e">
        <f ca="1">INDEX(H$65:INDIRECT("H"&amp;$C$61),$C36)</f>
        <v>#N/A</v>
      </c>
      <c r="J36" t="e">
        <f ca="1">INDEX(I$65:INDIRECT("I"&amp;$C$61),$C36)</f>
        <v>#N/A</v>
      </c>
      <c r="K36" s="7" t="e">
        <f ca="1">INDEX(J$65:INDIRECT("J"&amp;$C$61),$C36)</f>
        <v>#N/A</v>
      </c>
      <c r="L36" t="e">
        <f ca="1">INDEX(K$65:INDIRECT("K"&amp;$C$61),$C36)</f>
        <v>#N/A</v>
      </c>
      <c r="M36" t="e">
        <f ca="1">INDEX(L$65:INDIRECT("L"&amp;$C$61),$C36)</f>
        <v>#N/A</v>
      </c>
      <c r="N36" s="23" t="e">
        <f ca="1">INDEX(M$65:INDIRECT("M"&amp;$C$61),$C36)</f>
        <v>#N/A</v>
      </c>
      <c r="O36" t="e">
        <f ca="1">INDEX(N$65:INDIRECT("N"&amp;$C$61),$C36)</f>
        <v>#N/A</v>
      </c>
      <c r="P36" t="e">
        <f ca="1">INDEX(O$65:INDIRECT("O"&amp;$C$61),$C36)</f>
        <v>#N/A</v>
      </c>
      <c r="Q36" s="104"/>
      <c r="R36" s="73" t="s">
        <v>69</v>
      </c>
      <c r="S36" s="69" t="s">
        <v>34</v>
      </c>
      <c r="T36" s="73" t="e">
        <f t="array" aca="1" ref="T36" ca="1">MATCH(IF(ISBLANK($AD$11),LARGE(IF($E$65:INDIRECT("E"&amp;$C$61)=$AD$10,INDIRECT(AJ36&amp;65):INDIRECT(AJ36&amp;$C$61)),$AH36),IF(ISBLANK($AD$10),LARGE(IF($D$65:INDIRECT("D"&amp;$C$61)=$AD$11,INDIRECT(AJ36&amp;65):INDIRECT(AJ36&amp;$C$61)),$AH36),LARGE(IF(($E$65:INDIRECT("E"&amp;$C$61)=$AD$10)*($D$65:INDIRECT("D"&amp;$C$61)=$AD$11),INDIRECT(AJ36&amp;65):INDIRECT(AJ36&amp;$C$61)),$AH36))),INDIRECT(AJ36&amp;65):INDIRECT(AJ36&amp;$C$61),0)</f>
        <v>#NUM!</v>
      </c>
      <c r="U36" s="69" t="e">
        <f ca="1">INDEX(D$65:INDIRECT("D"&amp;$C$61),$T36)</f>
        <v>#NUM!</v>
      </c>
      <c r="V36" s="69" t="e">
        <f ca="1">INDEX(INDIRECT(("'MemberID'!$C$6:C"&amp;MemberID!$C$1)),MATCH(U36,INDIRECT(("'MemberID'!$G$6:G"&amp;MemberID!$C$1)),0))</f>
        <v>#NUM!</v>
      </c>
      <c r="W36" s="69" t="e">
        <f ca="1">INDEX(E$65:INDIRECT("E"&amp;$C$61),$T36)</f>
        <v>#NUM!</v>
      </c>
      <c r="X36" t="e">
        <f ca="1">INDEX(F$65:INDIRECT("F"&amp;$C$61),$T36)</f>
        <v>#NUM!</v>
      </c>
      <c r="Y36" t="e">
        <f ca="1">INDEX(G$65:INDIRECT("G"&amp;$C$61),$T36)</f>
        <v>#NUM!</v>
      </c>
      <c r="Z36" t="e">
        <f ca="1">INDEX(H$65:INDIRECT("H"&amp;$C$61),$T36)</f>
        <v>#NUM!</v>
      </c>
      <c r="AA36" t="e">
        <f ca="1">INDEX(I$65:INDIRECT("I"&amp;$C$61),$T36)</f>
        <v>#NUM!</v>
      </c>
      <c r="AB36" t="e">
        <f ca="1">INDEX(J$65:INDIRECT("J"&amp;$C$61),$T36)</f>
        <v>#NUM!</v>
      </c>
      <c r="AC36" t="e">
        <f ca="1">INDEX(K$65:INDIRECT("K"&amp;$C$61),$T36)</f>
        <v>#NUM!</v>
      </c>
      <c r="AD36" t="e">
        <f ca="1">INDEX(L$65:INDIRECT("L"&amp;$C$61),$T36)</f>
        <v>#NUM!</v>
      </c>
      <c r="AE36" s="23" t="e">
        <f t="array" aca="1" ref="AE36" ca="1">IF(ISBLANK($AD$11),LARGE(IF($E$65:INDIRECT("E"&amp;$C$61)=$AD$10,M$65:INDIRECT(AE$13&amp;$C$61)),$AH36),IF(ISBLANK($AD$10),LARGE(IF($D$65:INDIRECT("D"&amp;$C$61)=$AD$11,M$65:INDIRECT(AE$13&amp;$C$61)),$AH36),LARGE(IF(($E$65:INDIRECT("E"&amp;$C$61)=$AD$10)*($D$65:INDIRECT("D"&amp;$C$61)=$AD$11),M$65:INDIRECT(AE$13&amp;$C$61)),$AH36)))</f>
        <v>#NUM!</v>
      </c>
      <c r="AF36" t="e">
        <f ca="1">INDEX(N$65:INDIRECT("N"&amp;$C$61),$T36)</f>
        <v>#NUM!</v>
      </c>
      <c r="AG36" t="e">
        <f ca="1">INDEX(O$65:INDIRECT("O"&amp;$C$61),$T36)</f>
        <v>#NUM!</v>
      </c>
      <c r="AH36" s="69">
        <v>1</v>
      </c>
      <c r="AI36" s="69" t="s">
        <v>198</v>
      </c>
      <c r="AJ36" s="69" t="s">
        <v>195</v>
      </c>
    </row>
    <row r="37" spans="1:52" x14ac:dyDescent="0.25">
      <c r="A37" s="73" t="s">
        <v>70</v>
      </c>
      <c r="B37" s="69" t="s">
        <v>34</v>
      </c>
      <c r="C37" s="73" t="e">
        <f ca="1">U3</f>
        <v>#NUM!</v>
      </c>
      <c r="D37" s="69" t="e">
        <f ca="1">INDEX(D$65:INDIRECT("D"&amp;$C$61),$C37)</f>
        <v>#NUM!</v>
      </c>
      <c r="E37" s="69" t="e">
        <f ca="1">INDEX(INDIRECT(("'MemberID'!$C$6:C"&amp;MemberID!$C$1)),MATCH(D37,INDIRECT(("'MemberID'!$G$6:G"&amp;MemberID!$C$1)),0))</f>
        <v>#NUM!</v>
      </c>
      <c r="F37" s="69" t="e">
        <f ca="1">INDEX(E$65:INDIRECT("E"&amp;$C$61),$C37)</f>
        <v>#NUM!</v>
      </c>
      <c r="G37" t="e">
        <f ca="1">INDEX(F$65:INDIRECT("F"&amp;$C$61),$C37)</f>
        <v>#NUM!</v>
      </c>
      <c r="H37" t="e">
        <f ca="1">INDEX(G$65:INDIRECT("G"&amp;$C$61),$C37)</f>
        <v>#NUM!</v>
      </c>
      <c r="I37" s="69" t="e">
        <f ca="1">INDEX(H$65:INDIRECT("H"&amp;$C$61),$C37)</f>
        <v>#NUM!</v>
      </c>
      <c r="J37" t="e">
        <f ca="1">INDEX(I$65:INDIRECT("I"&amp;$C$61),$C37)</f>
        <v>#NUM!</v>
      </c>
      <c r="K37" s="7" t="e">
        <f ca="1">INDEX(J$65:INDIRECT("J"&amp;$C$61),$C37)</f>
        <v>#NUM!</v>
      </c>
      <c r="L37" t="e">
        <f ca="1">INDEX(K$65:INDIRECT("K"&amp;$C$61),$C37)</f>
        <v>#NUM!</v>
      </c>
      <c r="M37" t="e">
        <f ca="1">INDEX(L$65:INDIRECT("L"&amp;$C$61),$C37)</f>
        <v>#NUM!</v>
      </c>
      <c r="N37" s="23" t="e">
        <f ca="1">INDEX(M$65:INDIRECT("M"&amp;$C$61),$C37)</f>
        <v>#NUM!</v>
      </c>
      <c r="O37" t="e">
        <f ca="1">INDEX(N$65:INDIRECT("N"&amp;$C$61),$C37)</f>
        <v>#NUM!</v>
      </c>
      <c r="P37" t="e">
        <f ca="1">INDEX(O$65:INDIRECT("O"&amp;$C$61),$C37)</f>
        <v>#NUM!</v>
      </c>
      <c r="Q37" s="104"/>
      <c r="R37" s="73" t="s">
        <v>70</v>
      </c>
      <c r="S37" s="69" t="s">
        <v>34</v>
      </c>
      <c r="T37" s="73" t="e">
        <f t="array" aca="1" ref="T37" ca="1">MATCH(IF(ISBLANK($AD$11),LARGE(IF($E$65:INDIRECT("E"&amp;$C$61)=$AD$10,INDIRECT(AJ37&amp;65):INDIRECT(AJ37&amp;$C$61)),$AH37),IF(ISBLANK($AD$10),LARGE(IF($D$65:INDIRECT("D"&amp;$C$61)=$AD$11,INDIRECT(AJ37&amp;65):INDIRECT(AJ37&amp;$C$61)),$AH37),LARGE(IF(($E$65:INDIRECT("E"&amp;$C$61)=$AD$10)*($D$65:INDIRECT("D"&amp;$C$61)=$AD$11),INDIRECT(AJ37&amp;65):INDIRECT(AJ37&amp;$C$61)),$AH37))),INDIRECT(AJ37&amp;65):INDIRECT(AJ37&amp;$C$61),0)</f>
        <v>#NUM!</v>
      </c>
      <c r="U37" s="69" t="e">
        <f ca="1">INDEX(D$65:INDIRECT("D"&amp;$C$61),$T37)</f>
        <v>#NUM!</v>
      </c>
      <c r="V37" s="69" t="e">
        <f ca="1">INDEX(INDIRECT(("'MemberID'!$C$6:C"&amp;MemberID!$C$1)),MATCH(U37,INDIRECT(("'MemberID'!$G$6:G"&amp;MemberID!$C$1)),0))</f>
        <v>#NUM!</v>
      </c>
      <c r="W37" s="69" t="e">
        <f ca="1">INDEX(E$65:INDIRECT("E"&amp;$C$61),$T37)</f>
        <v>#NUM!</v>
      </c>
      <c r="X37" t="e">
        <f ca="1">INDEX(F$65:INDIRECT("F"&amp;$C$61),$T37)</f>
        <v>#NUM!</v>
      </c>
      <c r="Y37" t="e">
        <f ca="1">INDEX(G$65:INDIRECT("G"&amp;$C$61),$T37)</f>
        <v>#NUM!</v>
      </c>
      <c r="Z37" t="e">
        <f ca="1">INDEX(H$65:INDIRECT("H"&amp;$C$61),$T37)</f>
        <v>#NUM!</v>
      </c>
      <c r="AA37" t="e">
        <f ca="1">INDEX(I$65:INDIRECT("I"&amp;$C$61),$T37)</f>
        <v>#NUM!</v>
      </c>
      <c r="AB37" t="e">
        <f ca="1">INDEX(J$65:INDIRECT("J"&amp;$C$61),$T37)</f>
        <v>#NUM!</v>
      </c>
      <c r="AC37" t="e">
        <f ca="1">INDEX(K$65:INDIRECT("K"&amp;$C$61),$T37)</f>
        <v>#NUM!</v>
      </c>
      <c r="AD37" t="e">
        <f ca="1">INDEX(L$65:INDIRECT("L"&amp;$C$61),$T37)</f>
        <v>#NUM!</v>
      </c>
      <c r="AE37" s="23" t="e">
        <f t="array" aca="1" ref="AE37" ca="1">IF(ISBLANK($AD$11),LARGE(IF($E$65:INDIRECT("E"&amp;$C$61)=$AD$10,M$65:INDIRECT(AE$13&amp;$C$61)),$AH37),IF(ISBLANK($AD$10),LARGE(IF($D$65:INDIRECT("D"&amp;$C$61)=$AD$11,M$65:INDIRECT(AE$13&amp;$C$61)),$AH37),LARGE(IF(($E$65:INDIRECT("E"&amp;$C$61)=$AD$10)*($D$65:INDIRECT("D"&amp;$C$61)=$AD$11),M$65:INDIRECT(AE$13&amp;$C$61)),$AH37)))</f>
        <v>#NUM!</v>
      </c>
      <c r="AF37" t="e">
        <f ca="1">INDEX(N$65:INDIRECT("N"&amp;$C$61),$T37)</f>
        <v>#NUM!</v>
      </c>
      <c r="AG37" t="e">
        <f ca="1">INDEX(O$65:INDIRECT("O"&amp;$C$61),$T37)</f>
        <v>#NUM!</v>
      </c>
      <c r="AH37" s="69">
        <v>2</v>
      </c>
      <c r="AI37" s="69" t="str">
        <f>AI36</f>
        <v>M</v>
      </c>
      <c r="AJ37" s="69" t="str">
        <f>AJ36</f>
        <v>T</v>
      </c>
    </row>
    <row r="38" spans="1:52" x14ac:dyDescent="0.25">
      <c r="A38" s="73" t="s">
        <v>71</v>
      </c>
      <c r="B38" s="69" t="s">
        <v>34</v>
      </c>
      <c r="C38" s="73" t="e">
        <f ca="1">AC3</f>
        <v>#NUM!</v>
      </c>
      <c r="D38" s="69" t="e">
        <f ca="1">INDEX(D$65:INDIRECT("D"&amp;$C$61),$C38)</f>
        <v>#NUM!</v>
      </c>
      <c r="E38" s="69" t="e">
        <f ca="1">INDEX(INDIRECT(("'MemberID'!$C$6:C"&amp;MemberID!$C$1)),MATCH(D38,INDIRECT(("'MemberID'!$G$6:G"&amp;MemberID!$C$1)),0))</f>
        <v>#NUM!</v>
      </c>
      <c r="F38" s="69" t="e">
        <f ca="1">INDEX(E$65:INDIRECT("E"&amp;$C$61),$C38)</f>
        <v>#NUM!</v>
      </c>
      <c r="G38" t="e">
        <f ca="1">INDEX(F$65:INDIRECT("F"&amp;$C$61),$C38)</f>
        <v>#NUM!</v>
      </c>
      <c r="H38" t="e">
        <f ca="1">INDEX(G$65:INDIRECT("G"&amp;$C$61),$C38)</f>
        <v>#NUM!</v>
      </c>
      <c r="I38" s="69" t="e">
        <f ca="1">INDEX(H$65:INDIRECT("H"&amp;$C$61),$C38)</f>
        <v>#NUM!</v>
      </c>
      <c r="J38" t="e">
        <f ca="1">INDEX(I$65:INDIRECT("I"&amp;$C$61),$C38)</f>
        <v>#NUM!</v>
      </c>
      <c r="K38" s="7" t="e">
        <f ca="1">INDEX(J$65:INDIRECT("J"&amp;$C$61),$C38)</f>
        <v>#NUM!</v>
      </c>
      <c r="L38" t="e">
        <f ca="1">INDEX(K$65:INDIRECT("K"&amp;$C$61),$C38)</f>
        <v>#NUM!</v>
      </c>
      <c r="M38" t="e">
        <f ca="1">INDEX(L$65:INDIRECT("L"&amp;$C$61),$C38)</f>
        <v>#NUM!</v>
      </c>
      <c r="N38" s="23" t="e">
        <f ca="1">INDEX(M$65:INDIRECT("M"&amp;$C$61),$C38)</f>
        <v>#NUM!</v>
      </c>
      <c r="O38" t="e">
        <f ca="1">INDEX(N$65:INDIRECT("N"&amp;$C$61),$C38)</f>
        <v>#NUM!</v>
      </c>
      <c r="P38" t="e">
        <f ca="1">INDEX(O$65:INDIRECT("O"&amp;$C$61),$C38)</f>
        <v>#NUM!</v>
      </c>
      <c r="Q38" s="104"/>
      <c r="R38" s="73" t="s">
        <v>71</v>
      </c>
      <c r="S38" s="69" t="s">
        <v>34</v>
      </c>
      <c r="T38" s="73" t="e">
        <f t="array" aca="1" ref="T38" ca="1">MATCH(IF(ISBLANK($AD$11),LARGE(IF($E$65:INDIRECT("E"&amp;$C$61)=$AD$10,INDIRECT(AJ38&amp;65):INDIRECT(AJ38&amp;$C$61)),$AH38),IF(ISBLANK($AD$10),LARGE(IF($D$65:INDIRECT("D"&amp;$C$61)=$AD$11,INDIRECT(AJ38&amp;65):INDIRECT(AJ38&amp;$C$61)),$AH38),LARGE(IF(($E$65:INDIRECT("E"&amp;$C$61)=$AD$10)*($D$65:INDIRECT("D"&amp;$C$61)=$AD$11),INDIRECT(AJ38&amp;65):INDIRECT(AJ38&amp;$C$61)),$AH38))),INDIRECT(AJ38&amp;65):INDIRECT(AJ38&amp;$C$61),0)</f>
        <v>#NUM!</v>
      </c>
      <c r="U38" s="69" t="e">
        <f ca="1">INDEX(D$65:INDIRECT("D"&amp;$C$61),$T38)</f>
        <v>#NUM!</v>
      </c>
      <c r="V38" s="69" t="e">
        <f ca="1">INDEX(INDIRECT(("'MemberID'!$C$6:C"&amp;MemberID!$C$1)),MATCH(U38,INDIRECT(("'MemberID'!$G$6:G"&amp;MemberID!$C$1)),0))</f>
        <v>#NUM!</v>
      </c>
      <c r="W38" s="69" t="e">
        <f ca="1">INDEX(E$65:INDIRECT("E"&amp;$C$61),$T38)</f>
        <v>#NUM!</v>
      </c>
      <c r="X38" t="e">
        <f ca="1">INDEX(F$65:INDIRECT("F"&amp;$C$61),$T38)</f>
        <v>#NUM!</v>
      </c>
      <c r="Y38" t="e">
        <f ca="1">INDEX(G$65:INDIRECT("G"&amp;$C$61),$T38)</f>
        <v>#NUM!</v>
      </c>
      <c r="Z38" t="e">
        <f ca="1">INDEX(H$65:INDIRECT("H"&amp;$C$61),$T38)</f>
        <v>#NUM!</v>
      </c>
      <c r="AA38" t="e">
        <f ca="1">INDEX(I$65:INDIRECT("I"&amp;$C$61),$T38)</f>
        <v>#NUM!</v>
      </c>
      <c r="AB38" t="e">
        <f ca="1">INDEX(J$65:INDIRECT("J"&amp;$C$61),$T38)</f>
        <v>#NUM!</v>
      </c>
      <c r="AC38" t="e">
        <f ca="1">INDEX(K$65:INDIRECT("K"&amp;$C$61),$T38)</f>
        <v>#NUM!</v>
      </c>
      <c r="AD38" t="e">
        <f ca="1">INDEX(L$65:INDIRECT("L"&amp;$C$61),$T38)</f>
        <v>#NUM!</v>
      </c>
      <c r="AE38" s="23" t="e">
        <f t="array" aca="1" ref="AE38" ca="1">IF(ISBLANK($AD$11),LARGE(IF($E$65:INDIRECT("E"&amp;$C$61)=$AD$10,M$65:INDIRECT(AE$13&amp;$C$61)),$AH38),IF(ISBLANK($AD$10),LARGE(IF($D$65:INDIRECT("D"&amp;$C$61)=$AD$11,M$65:INDIRECT(AE$13&amp;$C$61)),$AH38),LARGE(IF(($E$65:INDIRECT("E"&amp;$C$61)=$AD$10)*($D$65:INDIRECT("D"&amp;$C$61)=$AD$11),M$65:INDIRECT(AE$13&amp;$C$61)),$AH38)))</f>
        <v>#NUM!</v>
      </c>
      <c r="AF38" t="e">
        <f ca="1">INDEX(N$65:INDIRECT("N"&amp;$C$61),$T38)</f>
        <v>#NUM!</v>
      </c>
      <c r="AG38" t="e">
        <f ca="1">INDEX(O$65:INDIRECT("O"&amp;$C$61),$T38)</f>
        <v>#NUM!</v>
      </c>
      <c r="AH38" s="69">
        <v>3</v>
      </c>
      <c r="AI38" s="69" t="str">
        <f t="shared" ref="AI38:AJ41" si="3">AI37</f>
        <v>M</v>
      </c>
      <c r="AJ38" s="69" t="str">
        <f t="shared" si="3"/>
        <v>T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74" t="s">
        <v>72</v>
      </c>
      <c r="B39" s="69" t="s">
        <v>34</v>
      </c>
      <c r="C39" s="74" t="e">
        <f ca="1">M6</f>
        <v>#N/A</v>
      </c>
      <c r="D39" s="69" t="e">
        <f ca="1">INDEX(D$65:INDIRECT("D"&amp;$C$61),$C39)</f>
        <v>#N/A</v>
      </c>
      <c r="E39" s="69" t="e">
        <f ca="1">INDEX(INDIRECT(("'MemberID'!$C$6:C"&amp;MemberID!$C$1)),MATCH(D39,INDIRECT(("'MemberID'!$G$6:G"&amp;MemberID!$C$1)),0))</f>
        <v>#N/A</v>
      </c>
      <c r="F39" s="69" t="e">
        <f ca="1">INDEX(E$65:INDIRECT("E"&amp;$C$61),$C39)</f>
        <v>#N/A</v>
      </c>
      <c r="G39" t="e">
        <f ca="1">INDEX(F$65:INDIRECT("F"&amp;$C$61),$C39)</f>
        <v>#N/A</v>
      </c>
      <c r="H39" t="e">
        <f ca="1">INDEX(G$65:INDIRECT("G"&amp;$C$61),$C39)</f>
        <v>#N/A</v>
      </c>
      <c r="I39" s="69" t="e">
        <f ca="1">INDEX(H$65:INDIRECT("H"&amp;$C$61),$C39)</f>
        <v>#N/A</v>
      </c>
      <c r="J39" t="e">
        <f ca="1">INDEX(I$65:INDIRECT("I"&amp;$C$61),$C39)</f>
        <v>#N/A</v>
      </c>
      <c r="K39" s="7" t="e">
        <f ca="1">INDEX(J$65:INDIRECT("J"&amp;$C$61),$C39)</f>
        <v>#N/A</v>
      </c>
      <c r="L39" t="e">
        <f ca="1">INDEX(K$65:INDIRECT("K"&amp;$C$61),$C39)</f>
        <v>#N/A</v>
      </c>
      <c r="M39" t="e">
        <f ca="1">INDEX(L$65:INDIRECT("L"&amp;$C$61),$C39)</f>
        <v>#N/A</v>
      </c>
      <c r="N39" s="23" t="e">
        <f ca="1">INDEX(M$65:INDIRECT("M"&amp;$C$61),$C39)</f>
        <v>#N/A</v>
      </c>
      <c r="O39" t="e">
        <f ca="1">INDEX(N$65:INDIRECT("N"&amp;$C$61),$C39)</f>
        <v>#N/A</v>
      </c>
      <c r="P39" t="e">
        <f ca="1">INDEX(O$65:INDIRECT("O"&amp;$C$61),$C39)</f>
        <v>#N/A</v>
      </c>
      <c r="Q39" s="104"/>
      <c r="R39" s="74" t="s">
        <v>72</v>
      </c>
      <c r="S39" s="69" t="s">
        <v>34</v>
      </c>
      <c r="T39" s="74" t="e">
        <f t="array" aca="1" ref="T39" ca="1">MATCH(IF(ISBLANK($AD$11),SMALL(IF($E$65:INDIRECT("E"&amp;$C$61)=$AD$10,INDIRECT(AJ39&amp;65):INDIRECT(AJ39&amp;$C$61)),$AH39),IF(ISBLANK($AD$10),SMALL(IF($D$65:INDIRECT("D"&amp;$C$61)=$AD$11,INDIRECT(AJ39&amp;65):INDIRECT(AJ39&amp;$C$61)),$AH39),SMALL(IF(($E$65:INDIRECT("E"&amp;$C$61)=$AD$10)*($D$65:INDIRECT("D"&amp;$C$61)=$AD$11),INDIRECT(AJ39&amp;65):INDIRECT(AJ39&amp;$C$61)),$AH39))),INDIRECT(AJ39&amp;65):INDIRECT(AJ39&amp;$C$61),0)</f>
        <v>#NUM!</v>
      </c>
      <c r="U39" s="69" t="e">
        <f ca="1">INDEX(D$65:INDIRECT("D"&amp;$C$61),$T39)</f>
        <v>#NUM!</v>
      </c>
      <c r="V39" s="69" t="e">
        <f ca="1">INDEX(INDIRECT(("'MemberID'!$C$6:C"&amp;MemberID!$C$1)),MATCH(U39,INDIRECT(("'MemberID'!$G$6:G"&amp;MemberID!$C$1)),0))</f>
        <v>#NUM!</v>
      </c>
      <c r="W39" s="69" t="e">
        <f ca="1">INDEX(E$65:INDIRECT("E"&amp;$C$61),$T39)</f>
        <v>#NUM!</v>
      </c>
      <c r="X39" t="e">
        <f ca="1">INDEX(F$65:INDIRECT("F"&amp;$C$61),$T39)</f>
        <v>#NUM!</v>
      </c>
      <c r="Y39" t="e">
        <f ca="1">INDEX(G$65:INDIRECT("G"&amp;$C$61),$T39)</f>
        <v>#NUM!</v>
      </c>
      <c r="Z39" t="e">
        <f ca="1">INDEX(H$65:INDIRECT("H"&amp;$C$61),$T39)</f>
        <v>#NUM!</v>
      </c>
      <c r="AA39" t="e">
        <f ca="1">INDEX(I$65:INDIRECT("I"&amp;$C$61),$T39)</f>
        <v>#NUM!</v>
      </c>
      <c r="AB39" t="e">
        <f ca="1">INDEX(J$65:INDIRECT("J"&amp;$C$61),$T39)</f>
        <v>#NUM!</v>
      </c>
      <c r="AC39" t="e">
        <f ca="1">INDEX(K$65:INDIRECT("K"&amp;$C$61),$T39)</f>
        <v>#NUM!</v>
      </c>
      <c r="AD39" t="e">
        <f ca="1">INDEX(L$65:INDIRECT("L"&amp;$C$61),$T39)</f>
        <v>#NUM!</v>
      </c>
      <c r="AE39" s="23" t="e">
        <f t="array" aca="1" ref="AE39" ca="1">IF(ISBLANK($AD$11),SMALL(IF($E$65:INDIRECT("E"&amp;$C$61)=$AD$10,M$65:INDIRECT(AE$13&amp;$C$61)),$AH39),IF(ISBLANK($AD$10),SMALL(IF($D$65:INDIRECT("D"&amp;$C$61)=$AD$11,M$65:INDIRECT(AE$13&amp;$C$61)),$AH39),SMALL(IF(($E$65:INDIRECT("E"&amp;$C$61)=$AD$10)*($D$65:INDIRECT("D"&amp;$C$61)=$AD$11),M$65:INDIRECT(AE$13&amp;$C$61)),$AH39)))</f>
        <v>#NUM!</v>
      </c>
      <c r="AF39" t="e">
        <f ca="1">INDEX(N$65:INDIRECT("N"&amp;$C$61),$T39)</f>
        <v>#NUM!</v>
      </c>
      <c r="AG39" t="e">
        <f ca="1">INDEX(O$65:INDIRECT("O"&amp;$C$61),$T39)</f>
        <v>#NUM!</v>
      </c>
      <c r="AH39" s="69">
        <v>1</v>
      </c>
      <c r="AI39" s="69" t="str">
        <f t="shared" si="3"/>
        <v>M</v>
      </c>
      <c r="AJ39" s="69" t="str">
        <f t="shared" si="3"/>
        <v>T</v>
      </c>
    </row>
    <row r="40" spans="1:52" x14ac:dyDescent="0.25">
      <c r="A40" s="74" t="s">
        <v>73</v>
      </c>
      <c r="B40" s="69" t="s">
        <v>34</v>
      </c>
      <c r="C40" s="74" t="e">
        <f ca="1">U6</f>
        <v>#NUM!</v>
      </c>
      <c r="D40" s="69" t="e">
        <f ca="1">INDEX(D$65:INDIRECT("D"&amp;$C$61),$C40)</f>
        <v>#NUM!</v>
      </c>
      <c r="E40" s="69" t="e">
        <f ca="1">INDEX(INDIRECT(("'MemberID'!$C$6:C"&amp;MemberID!$C$1)),MATCH(D40,INDIRECT(("'MemberID'!$G$6:G"&amp;MemberID!$C$1)),0))</f>
        <v>#NUM!</v>
      </c>
      <c r="F40" s="69" t="e">
        <f ca="1">INDEX(E$65:INDIRECT("E"&amp;$C$61),$C40)</f>
        <v>#NUM!</v>
      </c>
      <c r="G40" t="e">
        <f ca="1">INDEX(F$65:INDIRECT("F"&amp;$C$61),$C40)</f>
        <v>#NUM!</v>
      </c>
      <c r="H40" t="e">
        <f ca="1">INDEX(G$65:INDIRECT("G"&amp;$C$61),$C40)</f>
        <v>#NUM!</v>
      </c>
      <c r="I40" s="69" t="e">
        <f ca="1">INDEX(H$65:INDIRECT("H"&amp;$C$61),$C40)</f>
        <v>#NUM!</v>
      </c>
      <c r="J40" t="e">
        <f ca="1">INDEX(I$65:INDIRECT("I"&amp;$C$61),$C40)</f>
        <v>#NUM!</v>
      </c>
      <c r="K40" s="7" t="e">
        <f ca="1">INDEX(J$65:INDIRECT("J"&amp;$C$61),$C40)</f>
        <v>#NUM!</v>
      </c>
      <c r="L40" t="e">
        <f ca="1">INDEX(K$65:INDIRECT("K"&amp;$C$61),$C40)</f>
        <v>#NUM!</v>
      </c>
      <c r="M40" t="e">
        <f ca="1">INDEX(L$65:INDIRECT("L"&amp;$C$61),$C40)</f>
        <v>#NUM!</v>
      </c>
      <c r="N40" s="23" t="e">
        <f ca="1">INDEX(M$65:INDIRECT("M"&amp;$C$61),$C40)</f>
        <v>#NUM!</v>
      </c>
      <c r="O40" t="e">
        <f ca="1">INDEX(N$65:INDIRECT("N"&amp;$C$61),$C40)</f>
        <v>#NUM!</v>
      </c>
      <c r="P40" t="e">
        <f ca="1">INDEX(O$65:INDIRECT("O"&amp;$C$61),$C40)</f>
        <v>#NUM!</v>
      </c>
      <c r="Q40" s="104"/>
      <c r="R40" s="74" t="s">
        <v>73</v>
      </c>
      <c r="S40" s="69" t="s">
        <v>34</v>
      </c>
      <c r="T40" s="74" t="e">
        <f t="array" aca="1" ref="T40" ca="1">MATCH(IF(ISBLANK($AD$11),SMALL(IF($E$65:INDIRECT("E"&amp;$C$61)=$AD$10,INDIRECT(AJ40&amp;65):INDIRECT(AJ40&amp;$C$61)),$AH40),IF(ISBLANK($AD$10),SMALL(IF($D$65:INDIRECT("D"&amp;$C$61)=$AD$11,INDIRECT(AJ40&amp;65):INDIRECT(AJ40&amp;$C$61)),$AH40),SMALL(IF(($E$65:INDIRECT("E"&amp;$C$61)=$AD$10)*($D$65:INDIRECT("D"&amp;$C$61)=$AD$11),INDIRECT(AJ40&amp;65):INDIRECT(AJ40&amp;$C$61)),$AH40))),INDIRECT(AJ40&amp;65):INDIRECT(AJ40&amp;$C$61),0)</f>
        <v>#NUM!</v>
      </c>
      <c r="U40" s="69" t="e">
        <f ca="1">INDEX(D$65:INDIRECT("D"&amp;$C$61),$T40)</f>
        <v>#NUM!</v>
      </c>
      <c r="V40" s="69" t="e">
        <f ca="1">INDEX(INDIRECT(("'MemberID'!$C$6:C"&amp;MemberID!$C$1)),MATCH(U40,INDIRECT(("'MemberID'!$G$6:G"&amp;MemberID!$C$1)),0))</f>
        <v>#NUM!</v>
      </c>
      <c r="W40" s="69" t="e">
        <f ca="1">INDEX(E$65:INDIRECT("E"&amp;$C$61),$T40)</f>
        <v>#NUM!</v>
      </c>
      <c r="X40" t="e">
        <f ca="1">INDEX(F$65:INDIRECT("F"&amp;$C$61),$T40)</f>
        <v>#NUM!</v>
      </c>
      <c r="Y40" t="e">
        <f ca="1">INDEX(G$65:INDIRECT("G"&amp;$C$61),$T40)</f>
        <v>#NUM!</v>
      </c>
      <c r="Z40" t="e">
        <f ca="1">INDEX(H$65:INDIRECT("H"&amp;$C$61),$T40)</f>
        <v>#NUM!</v>
      </c>
      <c r="AA40" t="e">
        <f ca="1">INDEX(I$65:INDIRECT("I"&amp;$C$61),$T40)</f>
        <v>#NUM!</v>
      </c>
      <c r="AB40" t="e">
        <f ca="1">INDEX(J$65:INDIRECT("J"&amp;$C$61),$T40)</f>
        <v>#NUM!</v>
      </c>
      <c r="AC40" t="e">
        <f ca="1">INDEX(K$65:INDIRECT("K"&amp;$C$61),$T40)</f>
        <v>#NUM!</v>
      </c>
      <c r="AD40" t="e">
        <f ca="1">INDEX(L$65:INDIRECT("L"&amp;$C$61),$T40)</f>
        <v>#NUM!</v>
      </c>
      <c r="AE40" s="23" t="e">
        <f t="array" aca="1" ref="AE40" ca="1">IF(ISBLANK($AD$11),SMALL(IF($E$65:INDIRECT("E"&amp;$C$61)=$AD$10,M$65:INDIRECT(AE$13&amp;$C$61)),$AH40),IF(ISBLANK($AD$10),SMALL(IF($D$65:INDIRECT("D"&amp;$C$61)=$AD$11,M$65:INDIRECT(AE$13&amp;$C$61)),$AH40),SMALL(IF(($E$65:INDIRECT("E"&amp;$C$61)=$AD$10)*($D$65:INDIRECT("D"&amp;$C$61)=$AD$11),M$65:INDIRECT(AE$13&amp;$C$61)),$AH40)))</f>
        <v>#NUM!</v>
      </c>
      <c r="AF40" t="e">
        <f ca="1">INDEX(N$65:INDIRECT("N"&amp;$C$61),$T40)</f>
        <v>#NUM!</v>
      </c>
      <c r="AG40" t="e">
        <f ca="1">INDEX(O$65:INDIRECT("O"&amp;$C$61),$T40)</f>
        <v>#NUM!</v>
      </c>
      <c r="AH40" s="69">
        <v>2</v>
      </c>
      <c r="AI40" s="69" t="str">
        <f t="shared" si="3"/>
        <v>M</v>
      </c>
      <c r="AJ40" s="69" t="str">
        <f t="shared" si="3"/>
        <v>T</v>
      </c>
    </row>
    <row r="41" spans="1:52" x14ac:dyDescent="0.25">
      <c r="A41" s="74" t="s">
        <v>74</v>
      </c>
      <c r="B41" s="69" t="s">
        <v>34</v>
      </c>
      <c r="C41" s="74" t="e">
        <f ca="1">AC6</f>
        <v>#NUM!</v>
      </c>
      <c r="D41" s="69" t="e">
        <f ca="1">INDEX(D$65:INDIRECT("D"&amp;$C$61),$C41)</f>
        <v>#NUM!</v>
      </c>
      <c r="E41" s="69" t="e">
        <f ca="1">INDEX(INDIRECT(("'MemberID'!$C$6:C"&amp;MemberID!$C$1)),MATCH(D41,INDIRECT(("'MemberID'!$G$6:G"&amp;MemberID!$C$1)),0))</f>
        <v>#NUM!</v>
      </c>
      <c r="F41" s="69" t="e">
        <f ca="1">INDEX(E$65:INDIRECT("E"&amp;$C$61),$C41)</f>
        <v>#NUM!</v>
      </c>
      <c r="G41" t="e">
        <f ca="1">INDEX(F$65:INDIRECT("F"&amp;$C$61),$C41)</f>
        <v>#NUM!</v>
      </c>
      <c r="H41" t="e">
        <f ca="1">INDEX(G$65:INDIRECT("G"&amp;$C$61),$C41)</f>
        <v>#NUM!</v>
      </c>
      <c r="I41" s="69" t="e">
        <f ca="1">INDEX(H$65:INDIRECT("H"&amp;$C$61),$C41)</f>
        <v>#NUM!</v>
      </c>
      <c r="J41" t="e">
        <f ca="1">INDEX(I$65:INDIRECT("I"&amp;$C$61),$C41)</f>
        <v>#NUM!</v>
      </c>
      <c r="K41" s="7" t="e">
        <f ca="1">INDEX(J$65:INDIRECT("J"&amp;$C$61),$C41)</f>
        <v>#NUM!</v>
      </c>
      <c r="L41" t="e">
        <f ca="1">INDEX(K$65:INDIRECT("K"&amp;$C$61),$C41)</f>
        <v>#NUM!</v>
      </c>
      <c r="M41" t="e">
        <f ca="1">INDEX(L$65:INDIRECT("L"&amp;$C$61),$C41)</f>
        <v>#NUM!</v>
      </c>
      <c r="N41" s="23" t="e">
        <f ca="1">INDEX(M$65:INDIRECT("M"&amp;$C$61),$C41)</f>
        <v>#NUM!</v>
      </c>
      <c r="O41" t="e">
        <f ca="1">INDEX(N$65:INDIRECT("N"&amp;$C$61),$C41)</f>
        <v>#NUM!</v>
      </c>
      <c r="P41" t="e">
        <f ca="1">INDEX(O$65:INDIRECT("O"&amp;$C$61),$C41)</f>
        <v>#NUM!</v>
      </c>
      <c r="Q41" s="104"/>
      <c r="R41" s="74" t="s">
        <v>74</v>
      </c>
      <c r="S41" s="69" t="s">
        <v>34</v>
      </c>
      <c r="T41" s="74" t="e">
        <f t="array" aca="1" ref="T41" ca="1">MATCH(IF(ISBLANK($AD$11),SMALL(IF($E$65:INDIRECT("E"&amp;$C$61)=$AD$10,INDIRECT(AJ41&amp;65):INDIRECT(AJ41&amp;$C$61)),$AH41),IF(ISBLANK($AD$10),SMALL(IF($D$65:INDIRECT("D"&amp;$C$61)=$AD$11,INDIRECT(AJ41&amp;65):INDIRECT(AJ41&amp;$C$61)),$AH41),SMALL(IF(($E$65:INDIRECT("E"&amp;$C$61)=$AD$10)*($D$65:INDIRECT("D"&amp;$C$61)=$AD$11),INDIRECT(AJ41&amp;65):INDIRECT(AJ41&amp;$C$61)),$AH41))),INDIRECT(AJ41&amp;65):INDIRECT(AJ41&amp;$C$61),0)</f>
        <v>#NUM!</v>
      </c>
      <c r="U41" s="69" t="e">
        <f ca="1">INDEX(D$65:INDIRECT("D"&amp;$C$61),$T41)</f>
        <v>#NUM!</v>
      </c>
      <c r="V41" s="69" t="e">
        <f ca="1">INDEX(INDIRECT(("'MemberID'!$C$6:C"&amp;MemberID!$C$1)),MATCH(U41,INDIRECT(("'MemberID'!$G$6:G"&amp;MemberID!$C$1)),0))</f>
        <v>#NUM!</v>
      </c>
      <c r="W41" s="69" t="e">
        <f ca="1">INDEX(E$65:INDIRECT("E"&amp;$C$61),$T41)</f>
        <v>#NUM!</v>
      </c>
      <c r="X41" t="e">
        <f ca="1">INDEX(F$65:INDIRECT("F"&amp;$C$61),$T41)</f>
        <v>#NUM!</v>
      </c>
      <c r="Y41" t="e">
        <f ca="1">INDEX(G$65:INDIRECT("G"&amp;$C$61),$T41)</f>
        <v>#NUM!</v>
      </c>
      <c r="Z41" t="e">
        <f ca="1">INDEX(H$65:INDIRECT("H"&amp;$C$61),$T41)</f>
        <v>#NUM!</v>
      </c>
      <c r="AA41" t="e">
        <f ca="1">INDEX(I$65:INDIRECT("I"&amp;$C$61),$T41)</f>
        <v>#NUM!</v>
      </c>
      <c r="AB41" t="e">
        <f ca="1">INDEX(J$65:INDIRECT("J"&amp;$C$61),$T41)</f>
        <v>#NUM!</v>
      </c>
      <c r="AC41" t="e">
        <f ca="1">INDEX(K$65:INDIRECT("K"&amp;$C$61),$T41)</f>
        <v>#NUM!</v>
      </c>
      <c r="AD41" t="e">
        <f ca="1">INDEX(L$65:INDIRECT("L"&amp;$C$61),$T41)</f>
        <v>#NUM!</v>
      </c>
      <c r="AE41" s="23" t="e">
        <f t="array" aca="1" ref="AE41" ca="1">IF(ISBLANK($AD$11),SMALL(IF($E$65:INDIRECT("E"&amp;$C$61)=$AD$10,M$65:INDIRECT(AE$13&amp;$C$61)),$AH41),IF(ISBLANK($AD$10),SMALL(IF($D$65:INDIRECT("D"&amp;$C$61)=$AD$11,M$65:INDIRECT(AE$13&amp;$C$61)),$AH41),SMALL(IF(($E$65:INDIRECT("E"&amp;$C$61)=$AD$10)*($D$65:INDIRECT("D"&amp;$C$61)=$AD$11),M$65:INDIRECT(AE$13&amp;$C$61)),$AH41)))</f>
        <v>#NUM!</v>
      </c>
      <c r="AF41" t="e">
        <f ca="1">INDEX(N$65:INDIRECT("N"&amp;$C$61),$T41)</f>
        <v>#NUM!</v>
      </c>
      <c r="AG41" t="e">
        <f ca="1">INDEX(O$65:INDIRECT("O"&amp;$C$61),$T41)</f>
        <v>#NUM!</v>
      </c>
      <c r="AH41" s="69">
        <v>3</v>
      </c>
      <c r="AI41" s="69" t="str">
        <f t="shared" si="3"/>
        <v>M</v>
      </c>
      <c r="AJ41" s="69" t="str">
        <f t="shared" si="3"/>
        <v>T</v>
      </c>
    </row>
    <row r="42" spans="1:52" x14ac:dyDescent="0.25">
      <c r="A42" s="69"/>
      <c r="B42" s="69"/>
      <c r="C42" s="69"/>
      <c r="D42" s="69"/>
      <c r="E42" s="69"/>
      <c r="F42" s="69"/>
      <c r="I42" s="69"/>
      <c r="K42" s="7"/>
      <c r="Q42" s="104"/>
      <c r="R42" s="69"/>
      <c r="S42" s="69"/>
      <c r="T42" s="69"/>
      <c r="V42" s="69"/>
      <c r="W42" s="69"/>
      <c r="AH42" s="69"/>
      <c r="AI42" s="69"/>
      <c r="AJ42" s="69"/>
      <c r="AL42" s="86"/>
    </row>
    <row r="43" spans="1:52" x14ac:dyDescent="0.25">
      <c r="A43" s="73" t="s">
        <v>69</v>
      </c>
      <c r="B43" s="69" t="s">
        <v>35</v>
      </c>
      <c r="C43" s="73" t="e">
        <f ca="1">N3</f>
        <v>#N/A</v>
      </c>
      <c r="D43" s="69" t="e">
        <f ca="1">INDEX(D$65:INDIRECT("D"&amp;$C$61),$C43)</f>
        <v>#N/A</v>
      </c>
      <c r="E43" s="69" t="e">
        <f ca="1">INDEX(INDIRECT(("'MemberID'!$C$6:C"&amp;MemberID!$C$1)),MATCH(D43,INDIRECT(("'MemberID'!$G$6:G"&amp;MemberID!$C$1)),0))</f>
        <v>#N/A</v>
      </c>
      <c r="F43" s="69" t="e">
        <f ca="1">INDEX(E$65:INDIRECT("E"&amp;$C$61),$C43)</f>
        <v>#N/A</v>
      </c>
      <c r="G43" t="e">
        <f ca="1">INDEX(F$65:INDIRECT("F"&amp;$C$61),$C43)</f>
        <v>#N/A</v>
      </c>
      <c r="H43" t="e">
        <f ca="1">INDEX(G$65:INDIRECT("G"&amp;$C$61),$C43)</f>
        <v>#N/A</v>
      </c>
      <c r="I43" s="69" t="e">
        <f ca="1">INDEX(H$65:INDIRECT("H"&amp;$C$61),$C43)</f>
        <v>#N/A</v>
      </c>
      <c r="J43" t="e">
        <f ca="1">INDEX(I$65:INDIRECT("I"&amp;$C$61),$C43)</f>
        <v>#N/A</v>
      </c>
      <c r="K43" s="7" t="e">
        <f ca="1">INDEX(J$65:INDIRECT("J"&amp;$C$61),$C43)</f>
        <v>#N/A</v>
      </c>
      <c r="L43" t="e">
        <f ca="1">INDEX(K$65:INDIRECT("K"&amp;$C$61),$C43)</f>
        <v>#N/A</v>
      </c>
      <c r="M43" t="e">
        <f ca="1">INDEX(L$65:INDIRECT("L"&amp;$C$61),$C43)</f>
        <v>#N/A</v>
      </c>
      <c r="N43" t="e">
        <f ca="1">INDEX(M$65:INDIRECT("M"&amp;$C$61),$C43)</f>
        <v>#N/A</v>
      </c>
      <c r="O43" s="23" t="e">
        <f ca="1">INDEX(N$65:INDIRECT("N"&amp;$C$61),$C43)</f>
        <v>#N/A</v>
      </c>
      <c r="P43" t="e">
        <f ca="1">INDEX(O$65:INDIRECT("O"&amp;$C$61),$C43)</f>
        <v>#N/A</v>
      </c>
      <c r="Q43" s="104"/>
      <c r="R43" s="73" t="s">
        <v>69</v>
      </c>
      <c r="S43" s="69" t="s">
        <v>35</v>
      </c>
      <c r="T43" s="73" t="e">
        <f t="array" aca="1" ref="T43" ca="1">MATCH(IF(ISBLANK($AD$11),LARGE(IF($E$65:INDIRECT("E"&amp;$C$61)=$AD$10,INDIRECT(AJ43&amp;65):INDIRECT(AJ43&amp;$C$61)),$AH43),IF(ISBLANK($AD$10),LARGE(IF($D$65:INDIRECT("D"&amp;$C$61)=$AD$11,INDIRECT(AJ43&amp;65):INDIRECT(AJ43&amp;$C$61)),$AH43),LARGE(IF(($E$65:INDIRECT("E"&amp;$C$61)=$AD$10)*($D$65:INDIRECT("D"&amp;$C$61)=$AD$11),INDIRECT(AJ43&amp;65):INDIRECT(AJ43&amp;$C$61)),$AH43))),INDIRECT(AJ43&amp;65):INDIRECT(AJ43&amp;$C$61),0)</f>
        <v>#NUM!</v>
      </c>
      <c r="U43" s="69" t="e">
        <f ca="1">INDEX(D$65:INDIRECT("D"&amp;$C$61),$T43)</f>
        <v>#NUM!</v>
      </c>
      <c r="V43" s="69" t="e">
        <f ca="1">INDEX(INDIRECT(("'MemberID'!$C$6:C"&amp;MemberID!$C$1)),MATCH(U43,INDIRECT(("'MemberID'!$G$6:G"&amp;MemberID!$C$1)),0))</f>
        <v>#NUM!</v>
      </c>
      <c r="W43" s="69" t="e">
        <f ca="1">INDEX(E$65:INDIRECT("E"&amp;$C$61),$T43)</f>
        <v>#NUM!</v>
      </c>
      <c r="X43" t="e">
        <f ca="1">INDEX(F$65:INDIRECT("F"&amp;$C$61),$T43)</f>
        <v>#NUM!</v>
      </c>
      <c r="Y43" t="e">
        <f ca="1">INDEX(G$65:INDIRECT("G"&amp;$C$61),$T43)</f>
        <v>#NUM!</v>
      </c>
      <c r="Z43" t="e">
        <f ca="1">INDEX(H$65:INDIRECT("H"&amp;$C$61),$T43)</f>
        <v>#NUM!</v>
      </c>
      <c r="AA43" t="e">
        <f ca="1">INDEX(I$65:INDIRECT("I"&amp;$C$61),$T43)</f>
        <v>#NUM!</v>
      </c>
      <c r="AB43" t="e">
        <f ca="1">INDEX(J$65:INDIRECT("J"&amp;$C$61),$T43)</f>
        <v>#NUM!</v>
      </c>
      <c r="AC43" t="e">
        <f ca="1">INDEX(K$65:INDIRECT("K"&amp;$C$61),$T43)</f>
        <v>#NUM!</v>
      </c>
      <c r="AD43" t="e">
        <f ca="1">INDEX(L$65:INDIRECT("L"&amp;$C$61),$T43)</f>
        <v>#NUM!</v>
      </c>
      <c r="AE43" t="e">
        <f ca="1">INDEX(M$65:INDIRECT("M"&amp;$C$61),$T43)</f>
        <v>#NUM!</v>
      </c>
      <c r="AF43" s="23" t="e">
        <f t="array" aca="1" ref="AF43" ca="1">IF(ISBLANK($AD$11),LARGE(IF($E$65:INDIRECT("E"&amp;$C$61)=$AD$10,N$65:INDIRECT(AF$13&amp;$C$61)),$AH43),IF(ISBLANK($AD$10),LARGE(IF($D$65:INDIRECT("D"&amp;$C$61)=$AD$11,N$65:INDIRECT(AF$13&amp;$C$61)),$AH43),LARGE(IF(($E$65:INDIRECT("E"&amp;$C$61)=$AD$10)*($D$65:INDIRECT("D"&amp;$C$61)=$AD$11),N$65:INDIRECT(AF$13&amp;$C$61)),$AH43)))</f>
        <v>#NUM!</v>
      </c>
      <c r="AG43" t="e">
        <f ca="1">INDEX(O$65:INDIRECT("O"&amp;$C$61),$T43)</f>
        <v>#NUM!</v>
      </c>
      <c r="AH43" s="69">
        <v>1</v>
      </c>
      <c r="AI43" s="69" t="s">
        <v>154</v>
      </c>
      <c r="AJ43" s="69" t="s">
        <v>196</v>
      </c>
    </row>
    <row r="44" spans="1:52" x14ac:dyDescent="0.25">
      <c r="A44" s="73" t="s">
        <v>70</v>
      </c>
      <c r="B44" s="69" t="s">
        <v>35</v>
      </c>
      <c r="C44" s="73" t="e">
        <f ca="1">V3</f>
        <v>#NUM!</v>
      </c>
      <c r="D44" s="69" t="e">
        <f ca="1">INDEX(D$65:INDIRECT("D"&amp;$C$61),$C44)</f>
        <v>#NUM!</v>
      </c>
      <c r="E44" s="69" t="e">
        <f ca="1">INDEX(INDIRECT(("'MemberID'!$C$6:C"&amp;MemberID!$C$1)),MATCH(D44,INDIRECT(("'MemberID'!$G$6:G"&amp;MemberID!$C$1)),0))</f>
        <v>#NUM!</v>
      </c>
      <c r="F44" s="69" t="e">
        <f ca="1">INDEX(E$65:INDIRECT("E"&amp;$C$61),$C44)</f>
        <v>#NUM!</v>
      </c>
      <c r="G44" t="e">
        <f ca="1">INDEX(F$65:INDIRECT("F"&amp;$C$61),$C44)</f>
        <v>#NUM!</v>
      </c>
      <c r="H44" t="e">
        <f ca="1">INDEX(G$65:INDIRECT("G"&amp;$C$61),$C44)</f>
        <v>#NUM!</v>
      </c>
      <c r="I44" s="69" t="e">
        <f ca="1">INDEX(H$65:INDIRECT("H"&amp;$C$61),$C44)</f>
        <v>#NUM!</v>
      </c>
      <c r="J44" t="e">
        <f ca="1">INDEX(I$65:INDIRECT("I"&amp;$C$61),$C44)</f>
        <v>#NUM!</v>
      </c>
      <c r="K44" s="7" t="e">
        <f ca="1">INDEX(J$65:INDIRECT("J"&amp;$C$61),$C44)</f>
        <v>#NUM!</v>
      </c>
      <c r="L44" t="e">
        <f ca="1">INDEX(K$65:INDIRECT("K"&amp;$C$61),$C44)</f>
        <v>#NUM!</v>
      </c>
      <c r="M44" t="e">
        <f ca="1">INDEX(L$65:INDIRECT("L"&amp;$C$61),$C44)</f>
        <v>#NUM!</v>
      </c>
      <c r="N44" t="e">
        <f ca="1">INDEX(M$65:INDIRECT("M"&amp;$C$61),$C44)</f>
        <v>#NUM!</v>
      </c>
      <c r="O44" s="23" t="e">
        <f ca="1">INDEX(N$65:INDIRECT("N"&amp;$C$61),$C44)</f>
        <v>#NUM!</v>
      </c>
      <c r="P44" t="e">
        <f ca="1">INDEX(O$65:INDIRECT("O"&amp;$C$61),$C44)</f>
        <v>#NUM!</v>
      </c>
      <c r="Q44" s="104"/>
      <c r="R44" s="73" t="s">
        <v>70</v>
      </c>
      <c r="S44" s="69" t="s">
        <v>35</v>
      </c>
      <c r="T44" s="73" t="e">
        <f t="array" aca="1" ref="T44" ca="1">MATCH(IF(ISBLANK($AD$11),LARGE(IF($E$65:INDIRECT("E"&amp;$C$61)=$AD$10,INDIRECT(AJ44&amp;65):INDIRECT(AJ44&amp;$C$61)),$AH44),IF(ISBLANK($AD$10),LARGE(IF($D$65:INDIRECT("D"&amp;$C$61)=$AD$11,INDIRECT(AJ44&amp;65):INDIRECT(AJ44&amp;$C$61)),$AH44),LARGE(IF(($E$65:INDIRECT("E"&amp;$C$61)=$AD$10)*($D$65:INDIRECT("D"&amp;$C$61)=$AD$11),INDIRECT(AJ44&amp;65):INDIRECT(AJ44&amp;$C$61)),$AH44))),INDIRECT(AJ44&amp;65):INDIRECT(AJ44&amp;$C$61),0)</f>
        <v>#NUM!</v>
      </c>
      <c r="U44" s="69" t="e">
        <f ca="1">INDEX(D$65:INDIRECT("D"&amp;$C$61),$T44)</f>
        <v>#NUM!</v>
      </c>
      <c r="V44" s="69" t="e">
        <f ca="1">INDEX(INDIRECT(("'MemberID'!$C$6:C"&amp;MemberID!$C$1)),MATCH(U44,INDIRECT(("'MemberID'!$G$6:G"&amp;MemberID!$C$1)),0))</f>
        <v>#NUM!</v>
      </c>
      <c r="W44" s="69" t="e">
        <f ca="1">INDEX(E$65:INDIRECT("E"&amp;$C$61),$T44)</f>
        <v>#NUM!</v>
      </c>
      <c r="X44" t="e">
        <f ca="1">INDEX(F$65:INDIRECT("F"&amp;$C$61),$T44)</f>
        <v>#NUM!</v>
      </c>
      <c r="Y44" t="e">
        <f ca="1">INDEX(G$65:INDIRECT("G"&amp;$C$61),$T44)</f>
        <v>#NUM!</v>
      </c>
      <c r="Z44" t="e">
        <f ca="1">INDEX(H$65:INDIRECT("H"&amp;$C$61),$T44)</f>
        <v>#NUM!</v>
      </c>
      <c r="AA44" t="e">
        <f ca="1">INDEX(I$65:INDIRECT("I"&amp;$C$61),$T44)</f>
        <v>#NUM!</v>
      </c>
      <c r="AB44" t="e">
        <f ca="1">INDEX(J$65:INDIRECT("J"&amp;$C$61),$T44)</f>
        <v>#NUM!</v>
      </c>
      <c r="AC44" t="e">
        <f ca="1">INDEX(K$65:INDIRECT("K"&amp;$C$61),$T44)</f>
        <v>#NUM!</v>
      </c>
      <c r="AD44" t="e">
        <f ca="1">INDEX(L$65:INDIRECT("L"&amp;$C$61),$T44)</f>
        <v>#NUM!</v>
      </c>
      <c r="AE44" t="e">
        <f ca="1">INDEX(M$65:INDIRECT("M"&amp;$C$61),$T44)</f>
        <v>#NUM!</v>
      </c>
      <c r="AF44" s="23" t="e">
        <f t="array" aca="1" ref="AF44" ca="1">IF(ISBLANK($AD$11),LARGE(IF($E$65:INDIRECT("E"&amp;$C$61)=$AD$10,N$65:INDIRECT(AF$13&amp;$C$61)),$AH44),IF(ISBLANK($AD$10),LARGE(IF($D$65:INDIRECT("D"&amp;$C$61)=$AD$11,N$65:INDIRECT(AF$13&amp;$C$61)),$AH44),LARGE(IF(($E$65:INDIRECT("E"&amp;$C$61)=$AD$10)*($D$65:INDIRECT("D"&amp;$C$61)=$AD$11),N$65:INDIRECT(AF$13&amp;$C$61)),$AH44)))</f>
        <v>#NUM!</v>
      </c>
      <c r="AG44" t="e">
        <f ca="1">INDEX(O$65:INDIRECT("O"&amp;$C$61),$T44)</f>
        <v>#NUM!</v>
      </c>
      <c r="AH44" s="69">
        <v>2</v>
      </c>
      <c r="AI44" s="69" t="str">
        <f>AI43</f>
        <v>N</v>
      </c>
      <c r="AJ44" s="69" t="str">
        <f>AJ43</f>
        <v>U</v>
      </c>
    </row>
    <row r="45" spans="1:52" x14ac:dyDescent="0.25">
      <c r="A45" s="73" t="s">
        <v>71</v>
      </c>
      <c r="B45" s="69" t="s">
        <v>35</v>
      </c>
      <c r="C45" s="73" t="e">
        <f ca="1">AD3</f>
        <v>#NUM!</v>
      </c>
      <c r="D45" s="69" t="e">
        <f ca="1">INDEX(D$65:INDIRECT("D"&amp;$C$61),$C45)</f>
        <v>#NUM!</v>
      </c>
      <c r="E45" s="69" t="e">
        <f ca="1">INDEX(INDIRECT(("'MemberID'!$C$6:C"&amp;MemberID!$C$1)),MATCH(D45,INDIRECT(("'MemberID'!$G$6:G"&amp;MemberID!$C$1)),0))</f>
        <v>#NUM!</v>
      </c>
      <c r="F45" s="69" t="e">
        <f ca="1">INDEX(E$65:INDIRECT("E"&amp;$C$61),$C45)</f>
        <v>#NUM!</v>
      </c>
      <c r="G45" t="e">
        <f ca="1">INDEX(F$65:INDIRECT("F"&amp;$C$61),$C45)</f>
        <v>#NUM!</v>
      </c>
      <c r="H45" t="e">
        <f ca="1">INDEX(G$65:INDIRECT("G"&amp;$C$61),$C45)</f>
        <v>#NUM!</v>
      </c>
      <c r="I45" s="69" t="e">
        <f ca="1">INDEX(H$65:INDIRECT("H"&amp;$C$61),$C45)</f>
        <v>#NUM!</v>
      </c>
      <c r="J45" t="e">
        <f ca="1">INDEX(I$65:INDIRECT("I"&amp;$C$61),$C45)</f>
        <v>#NUM!</v>
      </c>
      <c r="K45" s="7" t="e">
        <f ca="1">INDEX(J$65:INDIRECT("J"&amp;$C$61),$C45)</f>
        <v>#NUM!</v>
      </c>
      <c r="L45" t="e">
        <f ca="1">INDEX(K$65:INDIRECT("K"&amp;$C$61),$C45)</f>
        <v>#NUM!</v>
      </c>
      <c r="M45" t="e">
        <f ca="1">INDEX(L$65:INDIRECT("L"&amp;$C$61),$C45)</f>
        <v>#NUM!</v>
      </c>
      <c r="N45" t="e">
        <f ca="1">INDEX(M$65:INDIRECT("M"&amp;$C$61),$C45)</f>
        <v>#NUM!</v>
      </c>
      <c r="O45" s="23" t="e">
        <f ca="1">INDEX(N$65:INDIRECT("N"&amp;$C$61),$C45)</f>
        <v>#NUM!</v>
      </c>
      <c r="P45" t="e">
        <f ca="1">INDEX(O$65:INDIRECT("O"&amp;$C$61),$C45)</f>
        <v>#NUM!</v>
      </c>
      <c r="Q45" s="104"/>
      <c r="R45" s="73" t="s">
        <v>71</v>
      </c>
      <c r="S45" s="69" t="s">
        <v>35</v>
      </c>
      <c r="T45" s="73" t="e">
        <f t="array" aca="1" ref="T45" ca="1">MATCH(IF(ISBLANK($AD$11),LARGE(IF($E$65:INDIRECT("E"&amp;$C$61)=$AD$10,INDIRECT(AJ45&amp;65):INDIRECT(AJ45&amp;$C$61)),$AH45),IF(ISBLANK($AD$10),LARGE(IF($D$65:INDIRECT("D"&amp;$C$61)=$AD$11,INDIRECT(AJ45&amp;65):INDIRECT(AJ45&amp;$C$61)),$AH45),LARGE(IF(($E$65:INDIRECT("E"&amp;$C$61)=$AD$10)*($D$65:INDIRECT("D"&amp;$C$61)=$AD$11),INDIRECT(AJ45&amp;65):INDIRECT(AJ45&amp;$C$61)),$AH45))),INDIRECT(AJ45&amp;65):INDIRECT(AJ45&amp;$C$61),0)</f>
        <v>#NUM!</v>
      </c>
      <c r="U45" s="69" t="e">
        <f ca="1">INDEX(D$65:INDIRECT("D"&amp;$C$61),$T45)</f>
        <v>#NUM!</v>
      </c>
      <c r="V45" s="69" t="e">
        <f ca="1">INDEX(INDIRECT(("'MemberID'!$C$6:C"&amp;MemberID!$C$1)),MATCH(U45,INDIRECT(("'MemberID'!$G$6:G"&amp;MemberID!$C$1)),0))</f>
        <v>#NUM!</v>
      </c>
      <c r="W45" s="69" t="e">
        <f ca="1">INDEX(E$65:INDIRECT("E"&amp;$C$61),$T45)</f>
        <v>#NUM!</v>
      </c>
      <c r="X45" t="e">
        <f ca="1">INDEX(F$65:INDIRECT("F"&amp;$C$61),$T45)</f>
        <v>#NUM!</v>
      </c>
      <c r="Y45" t="e">
        <f ca="1">INDEX(G$65:INDIRECT("G"&amp;$C$61),$T45)</f>
        <v>#NUM!</v>
      </c>
      <c r="Z45" t="e">
        <f ca="1">INDEX(H$65:INDIRECT("H"&amp;$C$61),$T45)</f>
        <v>#NUM!</v>
      </c>
      <c r="AA45" t="e">
        <f ca="1">INDEX(I$65:INDIRECT("I"&amp;$C$61),$T45)</f>
        <v>#NUM!</v>
      </c>
      <c r="AB45" t="e">
        <f ca="1">INDEX(J$65:INDIRECT("J"&amp;$C$61),$T45)</f>
        <v>#NUM!</v>
      </c>
      <c r="AC45" t="e">
        <f ca="1">INDEX(K$65:INDIRECT("K"&amp;$C$61),$T45)</f>
        <v>#NUM!</v>
      </c>
      <c r="AD45" t="e">
        <f ca="1">INDEX(L$65:INDIRECT("L"&amp;$C$61),$T45)</f>
        <v>#NUM!</v>
      </c>
      <c r="AE45" t="e">
        <f ca="1">INDEX(M$65:INDIRECT("M"&amp;$C$61),$T45)</f>
        <v>#NUM!</v>
      </c>
      <c r="AF45" s="23" t="e">
        <f t="array" aca="1" ref="AF45" ca="1">IF(ISBLANK($AD$11),LARGE(IF($E$65:INDIRECT("E"&amp;$C$61)=$AD$10,N$65:INDIRECT(AF$13&amp;$C$61)),$AH45),IF(ISBLANK($AD$10),LARGE(IF($D$65:INDIRECT("D"&amp;$C$61)=$AD$11,N$65:INDIRECT(AF$13&amp;$C$61)),$AH45),LARGE(IF(($E$65:INDIRECT("E"&amp;$C$61)=$AD$10)*($D$65:INDIRECT("D"&amp;$C$61)=$AD$11),N$65:INDIRECT(AF$13&amp;$C$61)),$AH45)))</f>
        <v>#NUM!</v>
      </c>
      <c r="AG45" t="e">
        <f ca="1">INDEX(O$65:INDIRECT("O"&amp;$C$61),$T45)</f>
        <v>#NUM!</v>
      </c>
      <c r="AH45" s="69">
        <v>3</v>
      </c>
      <c r="AI45" s="69" t="str">
        <f t="shared" ref="AI45:AJ48" si="4">AI44</f>
        <v>N</v>
      </c>
      <c r="AJ45" s="69" t="str">
        <f t="shared" si="4"/>
        <v>U</v>
      </c>
    </row>
    <row r="46" spans="1:52" x14ac:dyDescent="0.25">
      <c r="A46" s="74" t="s">
        <v>72</v>
      </c>
      <c r="B46" s="69" t="s">
        <v>35</v>
      </c>
      <c r="C46" s="74" t="e">
        <f ca="1">N6</f>
        <v>#N/A</v>
      </c>
      <c r="D46" s="69" t="e">
        <f ca="1">INDEX(D$65:INDIRECT("D"&amp;$C$61),$C46)</f>
        <v>#N/A</v>
      </c>
      <c r="E46" s="69" t="e">
        <f ca="1">INDEX(INDIRECT(("'MemberID'!$C$6:C"&amp;MemberID!$C$1)),MATCH(D46,INDIRECT(("'MemberID'!$G$6:G"&amp;MemberID!$C$1)),0))</f>
        <v>#N/A</v>
      </c>
      <c r="F46" s="69" t="e">
        <f ca="1">INDEX(E$65:INDIRECT("E"&amp;$C$61),$C46)</f>
        <v>#N/A</v>
      </c>
      <c r="G46" t="e">
        <f ca="1">INDEX(F$65:INDIRECT("F"&amp;$C$61),$C46)</f>
        <v>#N/A</v>
      </c>
      <c r="H46" t="e">
        <f ca="1">INDEX(G$65:INDIRECT("G"&amp;$C$61),$C46)</f>
        <v>#N/A</v>
      </c>
      <c r="I46" s="69" t="e">
        <f ca="1">INDEX(H$65:INDIRECT("H"&amp;$C$61),$C46)</f>
        <v>#N/A</v>
      </c>
      <c r="J46" t="e">
        <f ca="1">INDEX(I$65:INDIRECT("I"&amp;$C$61),$C46)</f>
        <v>#N/A</v>
      </c>
      <c r="K46" s="7" t="e">
        <f ca="1">INDEX(J$65:INDIRECT("J"&amp;$C$61),$C46)</f>
        <v>#N/A</v>
      </c>
      <c r="L46" t="e">
        <f ca="1">INDEX(K$65:INDIRECT("K"&amp;$C$61),$C46)</f>
        <v>#N/A</v>
      </c>
      <c r="M46" t="e">
        <f ca="1">INDEX(L$65:INDIRECT("L"&amp;$C$61),$C46)</f>
        <v>#N/A</v>
      </c>
      <c r="N46" t="e">
        <f ca="1">INDEX(M$65:INDIRECT("M"&amp;$C$61),$C46)</f>
        <v>#N/A</v>
      </c>
      <c r="O46" s="23" t="e">
        <f ca="1">INDEX(N$65:INDIRECT("N"&amp;$C$61),$C46)</f>
        <v>#N/A</v>
      </c>
      <c r="P46" t="e">
        <f ca="1">INDEX(O$65:INDIRECT("O"&amp;$C$61),$C46)</f>
        <v>#N/A</v>
      </c>
      <c r="Q46" s="104"/>
      <c r="R46" s="74" t="s">
        <v>72</v>
      </c>
      <c r="S46" s="69" t="s">
        <v>35</v>
      </c>
      <c r="T46" s="74" t="e">
        <f t="array" aca="1" ref="T46" ca="1">MATCH(IF(ISBLANK($AD$11),SMALL(IF($E$65:INDIRECT("E"&amp;$C$61)=$AD$10,INDIRECT(AJ46&amp;65):INDIRECT(AJ46&amp;$C$61)),$AH46),IF(ISBLANK($AD$10),SMALL(IF($D$65:INDIRECT("D"&amp;$C$61)=$AD$11,INDIRECT(AJ46&amp;65):INDIRECT(AJ46&amp;$C$61)),$AH46),SMALL(IF(($E$65:INDIRECT("E"&amp;$C$61)=$AD$10)*($D$65:INDIRECT("D"&amp;$C$61)=$AD$11),INDIRECT(AJ46&amp;65):INDIRECT(AJ46&amp;$C$61)),$AH46))),INDIRECT(AJ46&amp;65):INDIRECT(AJ46&amp;$C$61),0)</f>
        <v>#NUM!</v>
      </c>
      <c r="U46" s="69" t="e">
        <f ca="1">INDEX(D$65:INDIRECT("D"&amp;$C$61),$T46)</f>
        <v>#NUM!</v>
      </c>
      <c r="V46" s="69" t="e">
        <f ca="1">INDEX(INDIRECT(("'MemberID'!$C$6:C"&amp;MemberID!$C$1)),MATCH(U46,INDIRECT(("'MemberID'!$G$6:G"&amp;MemberID!$C$1)),0))</f>
        <v>#NUM!</v>
      </c>
      <c r="W46" s="69" t="e">
        <f ca="1">INDEX(E$65:INDIRECT("E"&amp;$C$61),$T46)</f>
        <v>#NUM!</v>
      </c>
      <c r="X46" t="e">
        <f ca="1">INDEX(F$65:INDIRECT("F"&amp;$C$61),$T46)</f>
        <v>#NUM!</v>
      </c>
      <c r="Y46" t="e">
        <f ca="1">INDEX(G$65:INDIRECT("G"&amp;$C$61),$T46)</f>
        <v>#NUM!</v>
      </c>
      <c r="Z46" t="e">
        <f ca="1">INDEX(H$65:INDIRECT("H"&amp;$C$61),$T46)</f>
        <v>#NUM!</v>
      </c>
      <c r="AA46" t="e">
        <f ca="1">INDEX(I$65:INDIRECT("I"&amp;$C$61),$T46)</f>
        <v>#NUM!</v>
      </c>
      <c r="AB46" t="e">
        <f ca="1">INDEX(J$65:INDIRECT("J"&amp;$C$61),$T46)</f>
        <v>#NUM!</v>
      </c>
      <c r="AC46" t="e">
        <f ca="1">INDEX(K$65:INDIRECT("K"&amp;$C$61),$T46)</f>
        <v>#NUM!</v>
      </c>
      <c r="AD46" t="e">
        <f ca="1">INDEX(L$65:INDIRECT("L"&amp;$C$61),$T46)</f>
        <v>#NUM!</v>
      </c>
      <c r="AE46" t="e">
        <f ca="1">INDEX(M$65:INDIRECT("M"&amp;$C$61),$T46)</f>
        <v>#NUM!</v>
      </c>
      <c r="AF46" s="23" t="e">
        <f t="array" aca="1" ref="AF46" ca="1">IF(ISBLANK($AD$11),SMALL(IF($E$65:INDIRECT("E"&amp;$C$61)=$AD$10,N$65:INDIRECT(AF$13&amp;$C$61)),$AH46),IF(ISBLANK($AD$10),SMALL(IF($D$65:INDIRECT("D"&amp;$C$61)=$AD$11,N$65:INDIRECT(AF$13&amp;$C$61)),$AH46),SMALL(IF(($E$65:INDIRECT("E"&amp;$C$61)=$AD$10)*($D$65:INDIRECT("D"&amp;$C$61)=$AD$11),N$65:INDIRECT(AF$13&amp;$C$61)),$AH46)))</f>
        <v>#NUM!</v>
      </c>
      <c r="AG46" t="e">
        <f ca="1">INDEX(O$65:INDIRECT("O"&amp;$C$61),$T46)</f>
        <v>#NUM!</v>
      </c>
      <c r="AH46" s="69">
        <v>1</v>
      </c>
      <c r="AI46" s="69" t="str">
        <f t="shared" si="4"/>
        <v>N</v>
      </c>
      <c r="AJ46" s="69" t="str">
        <f t="shared" si="4"/>
        <v>U</v>
      </c>
    </row>
    <row r="47" spans="1:52" x14ac:dyDescent="0.25">
      <c r="A47" s="74" t="s">
        <v>73</v>
      </c>
      <c r="B47" s="69" t="s">
        <v>35</v>
      </c>
      <c r="C47" s="74" t="e">
        <f ca="1">V6</f>
        <v>#NUM!</v>
      </c>
      <c r="D47" s="69" t="e">
        <f ca="1">INDEX(D$65:INDIRECT("D"&amp;$C$61),$C47)</f>
        <v>#NUM!</v>
      </c>
      <c r="E47" s="69" t="e">
        <f ca="1">INDEX(INDIRECT(("'MemberID'!$C$6:C"&amp;MemberID!$C$1)),MATCH(D47,INDIRECT(("'MemberID'!$G$6:G"&amp;MemberID!$C$1)),0))</f>
        <v>#NUM!</v>
      </c>
      <c r="F47" s="69" t="e">
        <f ca="1">INDEX(E$65:INDIRECT("E"&amp;$C$61),$C47)</f>
        <v>#NUM!</v>
      </c>
      <c r="G47" t="e">
        <f ca="1">INDEX(F$65:INDIRECT("F"&amp;$C$61),$C47)</f>
        <v>#NUM!</v>
      </c>
      <c r="H47" t="e">
        <f ca="1">INDEX(G$65:INDIRECT("G"&amp;$C$61),$C47)</f>
        <v>#NUM!</v>
      </c>
      <c r="I47" s="69" t="e">
        <f ca="1">INDEX(H$65:INDIRECT("H"&amp;$C$61),$C47)</f>
        <v>#NUM!</v>
      </c>
      <c r="J47" t="e">
        <f ca="1">INDEX(I$65:INDIRECT("I"&amp;$C$61),$C47)</f>
        <v>#NUM!</v>
      </c>
      <c r="K47" s="7" t="e">
        <f ca="1">INDEX(J$65:INDIRECT("J"&amp;$C$61),$C47)</f>
        <v>#NUM!</v>
      </c>
      <c r="L47" t="e">
        <f ca="1">INDEX(K$65:INDIRECT("K"&amp;$C$61),$C47)</f>
        <v>#NUM!</v>
      </c>
      <c r="M47" t="e">
        <f ca="1">INDEX(L$65:INDIRECT("L"&amp;$C$61),$C47)</f>
        <v>#NUM!</v>
      </c>
      <c r="N47" t="e">
        <f ca="1">INDEX(M$65:INDIRECT("M"&amp;$C$61),$C47)</f>
        <v>#NUM!</v>
      </c>
      <c r="O47" s="23" t="e">
        <f ca="1">INDEX(N$65:INDIRECT("N"&amp;$C$61),$C47)</f>
        <v>#NUM!</v>
      </c>
      <c r="P47" t="e">
        <f ca="1">INDEX(O$65:INDIRECT("O"&amp;$C$61),$C47)</f>
        <v>#NUM!</v>
      </c>
      <c r="Q47" s="104"/>
      <c r="R47" s="74" t="s">
        <v>73</v>
      </c>
      <c r="S47" s="69" t="s">
        <v>35</v>
      </c>
      <c r="T47" s="74" t="e">
        <f t="array" aca="1" ref="T47" ca="1">MATCH(IF(ISBLANK($AD$11),SMALL(IF($E$65:INDIRECT("E"&amp;$C$61)=$AD$10,INDIRECT(AJ47&amp;65):INDIRECT(AJ47&amp;$C$61)),$AH47),IF(ISBLANK($AD$10),SMALL(IF($D$65:INDIRECT("D"&amp;$C$61)=$AD$11,INDIRECT(AJ47&amp;65):INDIRECT(AJ47&amp;$C$61)),$AH47),SMALL(IF(($E$65:INDIRECT("E"&amp;$C$61)=$AD$10)*($D$65:INDIRECT("D"&amp;$C$61)=$AD$11),INDIRECT(AJ47&amp;65):INDIRECT(AJ47&amp;$C$61)),$AH47))),INDIRECT(AJ47&amp;65):INDIRECT(AJ47&amp;$C$61),0)</f>
        <v>#NUM!</v>
      </c>
      <c r="U47" s="69" t="e">
        <f ca="1">INDEX(D$65:INDIRECT("D"&amp;$C$61),$T47)</f>
        <v>#NUM!</v>
      </c>
      <c r="V47" s="69" t="e">
        <f ca="1">INDEX(INDIRECT(("'MemberID'!$C$6:C"&amp;MemberID!$C$1)),MATCH(U47,INDIRECT(("'MemberID'!$G$6:G"&amp;MemberID!$C$1)),0))</f>
        <v>#NUM!</v>
      </c>
      <c r="W47" s="69" t="e">
        <f ca="1">INDEX(E$65:INDIRECT("E"&amp;$C$61),$T47)</f>
        <v>#NUM!</v>
      </c>
      <c r="X47" t="e">
        <f ca="1">INDEX(F$65:INDIRECT("F"&amp;$C$61),$T47)</f>
        <v>#NUM!</v>
      </c>
      <c r="Y47" t="e">
        <f ca="1">INDEX(G$65:INDIRECT("G"&amp;$C$61),$T47)</f>
        <v>#NUM!</v>
      </c>
      <c r="Z47" t="e">
        <f ca="1">INDEX(H$65:INDIRECT("H"&amp;$C$61),$T47)</f>
        <v>#NUM!</v>
      </c>
      <c r="AA47" t="e">
        <f ca="1">INDEX(I$65:INDIRECT("I"&amp;$C$61),$T47)</f>
        <v>#NUM!</v>
      </c>
      <c r="AB47" t="e">
        <f ca="1">INDEX(J$65:INDIRECT("J"&amp;$C$61),$T47)</f>
        <v>#NUM!</v>
      </c>
      <c r="AC47" t="e">
        <f ca="1">INDEX(K$65:INDIRECT("K"&amp;$C$61),$T47)</f>
        <v>#NUM!</v>
      </c>
      <c r="AD47" t="e">
        <f ca="1">INDEX(L$65:INDIRECT("L"&amp;$C$61),$T47)</f>
        <v>#NUM!</v>
      </c>
      <c r="AE47" t="e">
        <f ca="1">INDEX(M$65:INDIRECT("M"&amp;$C$61),$T47)</f>
        <v>#NUM!</v>
      </c>
      <c r="AF47" s="23" t="e">
        <f t="array" aca="1" ref="AF47" ca="1">IF(ISBLANK($AD$11),SMALL(IF($E$65:INDIRECT("E"&amp;$C$61)=$AD$10,N$65:INDIRECT(AF$13&amp;$C$61)),$AH47),IF(ISBLANK($AD$10),SMALL(IF($D$65:INDIRECT("D"&amp;$C$61)=$AD$11,N$65:INDIRECT(AF$13&amp;$C$61)),$AH47),SMALL(IF(($E$65:INDIRECT("E"&amp;$C$61)=$AD$10)*($D$65:INDIRECT("D"&amp;$C$61)=$AD$11),N$65:INDIRECT(AF$13&amp;$C$61)),$AH47)))</f>
        <v>#NUM!</v>
      </c>
      <c r="AG47" t="e">
        <f ca="1">INDEX(O$65:INDIRECT("O"&amp;$C$61),$T47)</f>
        <v>#NUM!</v>
      </c>
      <c r="AH47" s="69">
        <v>2</v>
      </c>
      <c r="AI47" s="69" t="str">
        <f t="shared" si="4"/>
        <v>N</v>
      </c>
      <c r="AJ47" s="69" t="str">
        <f t="shared" si="4"/>
        <v>U</v>
      </c>
    </row>
    <row r="48" spans="1:52" x14ac:dyDescent="0.25">
      <c r="A48" s="74" t="s">
        <v>74</v>
      </c>
      <c r="B48" s="69" t="s">
        <v>35</v>
      </c>
      <c r="C48" s="74" t="e">
        <f ca="1">AD6</f>
        <v>#NUM!</v>
      </c>
      <c r="D48" s="69" t="e">
        <f ca="1">INDEX(D$65:INDIRECT("D"&amp;$C$61),$C48)</f>
        <v>#NUM!</v>
      </c>
      <c r="E48" s="69" t="e">
        <f ca="1">INDEX(INDIRECT(("'MemberID'!$C$6:C"&amp;MemberID!$C$1)),MATCH(D48,INDIRECT(("'MemberID'!$G$6:G"&amp;MemberID!$C$1)),0))</f>
        <v>#NUM!</v>
      </c>
      <c r="F48" s="69" t="e">
        <f ca="1">INDEX(E$65:INDIRECT("E"&amp;$C$61),$C48)</f>
        <v>#NUM!</v>
      </c>
      <c r="G48" t="e">
        <f ca="1">INDEX(F$65:INDIRECT("F"&amp;$C$61),$C48)</f>
        <v>#NUM!</v>
      </c>
      <c r="H48" t="e">
        <f ca="1">INDEX(G$65:INDIRECT("G"&amp;$C$61),$C48)</f>
        <v>#NUM!</v>
      </c>
      <c r="I48" s="69" t="e">
        <f ca="1">INDEX(H$65:INDIRECT("H"&amp;$C$61),$C48)</f>
        <v>#NUM!</v>
      </c>
      <c r="J48" t="e">
        <f ca="1">INDEX(I$65:INDIRECT("I"&amp;$C$61),$C48)</f>
        <v>#NUM!</v>
      </c>
      <c r="K48" s="7" t="e">
        <f ca="1">INDEX(J$65:INDIRECT("J"&amp;$C$61),$C48)</f>
        <v>#NUM!</v>
      </c>
      <c r="L48" t="e">
        <f ca="1">INDEX(K$65:INDIRECT("K"&amp;$C$61),$C48)</f>
        <v>#NUM!</v>
      </c>
      <c r="M48" t="e">
        <f ca="1">INDEX(L$65:INDIRECT("L"&amp;$C$61),$C48)</f>
        <v>#NUM!</v>
      </c>
      <c r="N48" t="e">
        <f ca="1">INDEX(M$65:INDIRECT("M"&amp;$C$61),$C48)</f>
        <v>#NUM!</v>
      </c>
      <c r="O48" s="23" t="e">
        <f ca="1">INDEX(N$65:INDIRECT("N"&amp;$C$61),$C48)</f>
        <v>#NUM!</v>
      </c>
      <c r="P48" t="e">
        <f ca="1">INDEX(O$65:INDIRECT("O"&amp;$C$61),$C48)</f>
        <v>#NUM!</v>
      </c>
      <c r="Q48" s="104"/>
      <c r="R48" s="74" t="s">
        <v>74</v>
      </c>
      <c r="S48" s="69" t="s">
        <v>35</v>
      </c>
      <c r="T48" s="74" t="e">
        <f t="array" aca="1" ref="T48" ca="1">MATCH(IF(ISBLANK($AD$11),SMALL(IF($E$65:INDIRECT("E"&amp;$C$61)=$AD$10,INDIRECT(AJ48&amp;65):INDIRECT(AJ48&amp;$C$61)),$AH48),IF(ISBLANK($AD$10),SMALL(IF($D$65:INDIRECT("D"&amp;$C$61)=$AD$11,INDIRECT(AJ48&amp;65):INDIRECT(AJ48&amp;$C$61)),$AH48),SMALL(IF(($E$65:INDIRECT("E"&amp;$C$61)=$AD$10)*($D$65:INDIRECT("D"&amp;$C$61)=$AD$11),INDIRECT(AJ48&amp;65):INDIRECT(AJ48&amp;$C$61)),$AH48))),INDIRECT(AJ48&amp;65):INDIRECT(AJ48&amp;$C$61),0)</f>
        <v>#NUM!</v>
      </c>
      <c r="U48" s="69" t="e">
        <f ca="1">INDEX(D$65:INDIRECT("D"&amp;$C$61),$T48)</f>
        <v>#NUM!</v>
      </c>
      <c r="V48" s="69" t="e">
        <f ca="1">INDEX(INDIRECT(("'MemberID'!$C$6:C"&amp;MemberID!$C$1)),MATCH(U48,INDIRECT(("'MemberID'!$G$6:G"&amp;MemberID!$C$1)),0))</f>
        <v>#NUM!</v>
      </c>
      <c r="W48" s="69" t="e">
        <f ca="1">INDEX(E$65:INDIRECT("E"&amp;$C$61),$T48)</f>
        <v>#NUM!</v>
      </c>
      <c r="X48" t="e">
        <f ca="1">INDEX(F$65:INDIRECT("F"&amp;$C$61),$T48)</f>
        <v>#NUM!</v>
      </c>
      <c r="Y48" t="e">
        <f ca="1">INDEX(G$65:INDIRECT("G"&amp;$C$61),$T48)</f>
        <v>#NUM!</v>
      </c>
      <c r="Z48" t="e">
        <f ca="1">INDEX(H$65:INDIRECT("H"&amp;$C$61),$T48)</f>
        <v>#NUM!</v>
      </c>
      <c r="AA48" t="e">
        <f ca="1">INDEX(I$65:INDIRECT("I"&amp;$C$61),$T48)</f>
        <v>#NUM!</v>
      </c>
      <c r="AB48" t="e">
        <f ca="1">INDEX(J$65:INDIRECT("J"&amp;$C$61),$T48)</f>
        <v>#NUM!</v>
      </c>
      <c r="AC48" t="e">
        <f ca="1">INDEX(K$65:INDIRECT("K"&amp;$C$61),$T48)</f>
        <v>#NUM!</v>
      </c>
      <c r="AD48" t="e">
        <f ca="1">INDEX(L$65:INDIRECT("L"&amp;$C$61),$T48)</f>
        <v>#NUM!</v>
      </c>
      <c r="AE48" t="e">
        <f ca="1">INDEX(M$65:INDIRECT("M"&amp;$C$61),$T48)</f>
        <v>#NUM!</v>
      </c>
      <c r="AF48" s="23" t="e">
        <f t="array" aca="1" ref="AF48" ca="1">IF(ISBLANK($AD$11),SMALL(IF($E$65:INDIRECT("E"&amp;$C$61)=$AD$10,N$65:INDIRECT(AF$13&amp;$C$61)),$AH48),IF(ISBLANK($AD$10),SMALL(IF($D$65:INDIRECT("D"&amp;$C$61)=$AD$11,N$65:INDIRECT(AF$13&amp;$C$61)),$AH48),SMALL(IF(($E$65:INDIRECT("E"&amp;$C$61)=$AD$10)*($D$65:INDIRECT("D"&amp;$C$61)=$AD$11),N$65:INDIRECT(AF$13&amp;$C$61)),$AH48)))</f>
        <v>#NUM!</v>
      </c>
      <c r="AG48" t="e">
        <f ca="1">INDEX(O$65:INDIRECT("O"&amp;$C$61),$T48)</f>
        <v>#NUM!</v>
      </c>
      <c r="AH48" s="69">
        <v>3</v>
      </c>
      <c r="AI48" s="69" t="str">
        <f t="shared" si="4"/>
        <v>N</v>
      </c>
      <c r="AJ48" s="69" t="str">
        <f t="shared" si="4"/>
        <v>U</v>
      </c>
    </row>
    <row r="49" spans="1:36" x14ac:dyDescent="0.25">
      <c r="A49" s="69"/>
      <c r="B49" s="69"/>
      <c r="C49" s="69"/>
      <c r="D49" s="69"/>
      <c r="E49" s="69"/>
      <c r="F49" s="69"/>
      <c r="I49" s="69"/>
      <c r="K49" s="7"/>
      <c r="Q49" s="104"/>
      <c r="R49" s="69"/>
      <c r="S49" s="69"/>
      <c r="T49" s="69"/>
      <c r="V49" s="69"/>
      <c r="W49" s="69"/>
      <c r="AH49" s="69"/>
      <c r="AI49" s="69"/>
      <c r="AJ49" s="69"/>
    </row>
    <row r="50" spans="1:36" x14ac:dyDescent="0.25">
      <c r="A50" s="73" t="s">
        <v>69</v>
      </c>
      <c r="B50" s="69" t="s">
        <v>36</v>
      </c>
      <c r="C50" s="73" t="e">
        <f ca="1">O3</f>
        <v>#N/A</v>
      </c>
      <c r="D50" s="69" t="e">
        <f ca="1">INDEX(D$65:INDIRECT("D"&amp;$C$61),$C50)</f>
        <v>#N/A</v>
      </c>
      <c r="E50" s="69" t="e">
        <f ca="1">INDEX(INDIRECT(("'MemberID'!$C$6:C"&amp;MemberID!$C$1)),MATCH(D50,INDIRECT(("'MemberID'!$G$6:G"&amp;MemberID!$C$1)),0))</f>
        <v>#N/A</v>
      </c>
      <c r="F50" s="69" t="e">
        <f ca="1">INDEX(E$65:INDIRECT("E"&amp;$C$61),$C50)</f>
        <v>#N/A</v>
      </c>
      <c r="G50" t="e">
        <f ca="1">INDEX(F$65:INDIRECT("F"&amp;$C$61),$C50)</f>
        <v>#N/A</v>
      </c>
      <c r="H50" t="e">
        <f ca="1">INDEX(G$65:INDIRECT("G"&amp;$C$61),$C50)</f>
        <v>#N/A</v>
      </c>
      <c r="I50" s="69" t="e">
        <f ca="1">INDEX(H$65:INDIRECT("H"&amp;$C$61),$C50)</f>
        <v>#N/A</v>
      </c>
      <c r="J50" t="e">
        <f ca="1">INDEX(I$65:INDIRECT("I"&amp;$C$61),$C50)</f>
        <v>#N/A</v>
      </c>
      <c r="K50" s="7" t="e">
        <f ca="1">INDEX(J$65:INDIRECT("J"&amp;$C$61),$C50)</f>
        <v>#N/A</v>
      </c>
      <c r="L50" t="e">
        <f ca="1">INDEX(K$65:INDIRECT("K"&amp;$C$61),$C50)</f>
        <v>#N/A</v>
      </c>
      <c r="M50" t="e">
        <f ca="1">INDEX(L$65:INDIRECT("L"&amp;$C$61),$C50)</f>
        <v>#N/A</v>
      </c>
      <c r="N50" t="e">
        <f ca="1">INDEX(M$65:INDIRECT("M"&amp;$C$61),$C50)</f>
        <v>#N/A</v>
      </c>
      <c r="O50" t="e">
        <f ca="1">INDEX(N$65:INDIRECT("N"&amp;$C$61),$C50)</f>
        <v>#N/A</v>
      </c>
      <c r="P50" s="23" t="e">
        <f ca="1">INDEX(O$65:INDIRECT("O"&amp;$C$61),$C50)</f>
        <v>#N/A</v>
      </c>
      <c r="Q50" s="104"/>
      <c r="R50" s="73" t="s">
        <v>69</v>
      </c>
      <c r="S50" s="69" t="s">
        <v>36</v>
      </c>
      <c r="T50" s="73" t="e">
        <f t="array" aca="1" ref="T50" ca="1">MATCH(IF(ISBLANK($AD$11),LARGE(IF($E$65:INDIRECT("E"&amp;$C$61)=$AD$10,INDIRECT(AJ50&amp;65):INDIRECT(AJ50&amp;$C$61)),$AH50),IF(ISBLANK($AD$10),LARGE(IF($D$65:INDIRECT("D"&amp;$C$61)=$AD$11,INDIRECT(AJ50&amp;65):INDIRECT(AJ50&amp;$C$61)),$AH50),LARGE(IF(($E$65:INDIRECT("E"&amp;$C$61)=$AD$10)*($D$65:INDIRECT("D"&amp;$C$61)=$AD$11),INDIRECT(AJ50&amp;65):INDIRECT(AJ50&amp;$C$61)),$AH50))),INDIRECT(AJ50&amp;65):INDIRECT(AJ50&amp;$C$61),0)</f>
        <v>#NUM!</v>
      </c>
      <c r="U50" s="69" t="e">
        <f ca="1">INDEX(D$65:INDIRECT("D"&amp;$C$61),$T50)</f>
        <v>#NUM!</v>
      </c>
      <c r="V50" s="69" t="e">
        <f ca="1">INDEX(INDIRECT(("'MemberID'!$C$6:C"&amp;MemberID!$C$1)),MATCH(U50,INDIRECT(("'MemberID'!$G$6:G"&amp;MemberID!$C$1)),0))</f>
        <v>#NUM!</v>
      </c>
      <c r="W50" s="69" t="e">
        <f ca="1">INDEX(E$65:INDIRECT("E"&amp;$C$61),$T50)</f>
        <v>#NUM!</v>
      </c>
      <c r="X50" t="e">
        <f ca="1">INDEX(F$65:INDIRECT("F"&amp;$C$61),$T50)</f>
        <v>#NUM!</v>
      </c>
      <c r="Y50" t="e">
        <f ca="1">INDEX(G$65:INDIRECT("G"&amp;$C$61),$T50)</f>
        <v>#NUM!</v>
      </c>
      <c r="Z50" t="e">
        <f ca="1">INDEX(H$65:INDIRECT("H"&amp;$C$61),$T50)</f>
        <v>#NUM!</v>
      </c>
      <c r="AA50" t="e">
        <f ca="1">INDEX(I$65:INDIRECT("I"&amp;$C$61),$T50)</f>
        <v>#NUM!</v>
      </c>
      <c r="AB50" t="e">
        <f ca="1">INDEX(J$65:INDIRECT("J"&amp;$C$61),$T50)</f>
        <v>#NUM!</v>
      </c>
      <c r="AC50" t="e">
        <f ca="1">INDEX(K$65:INDIRECT("K"&amp;$C$61),$T50)</f>
        <v>#NUM!</v>
      </c>
      <c r="AD50" t="e">
        <f ca="1">INDEX(L$65:INDIRECT("L"&amp;$C$61),$T50)</f>
        <v>#NUM!</v>
      </c>
      <c r="AE50" t="e">
        <f ca="1">INDEX(M$65:INDIRECT("M"&amp;$C$61),$T50)</f>
        <v>#NUM!</v>
      </c>
      <c r="AF50" t="e">
        <f ca="1">INDEX(N$65:INDIRECT("N"&amp;$C$61),$T50)</f>
        <v>#NUM!</v>
      </c>
      <c r="AG50" s="23" t="e">
        <f t="array" aca="1" ref="AG50" ca="1">IF(ISBLANK($AD$11),LARGE(IF($E$65:INDIRECT("E"&amp;$C$61)=$AD$10,O$65:INDIRECT(AG$13&amp;$C$61)),$AH50),IF(ISBLANK($AD$10),LARGE(IF($D$65:INDIRECT("D"&amp;$C$61)=$AD$11,O$65:INDIRECT(AG$13&amp;$C$61)),$AH50),LARGE(IF(($E$65:INDIRECT("E"&amp;$C$61)=$AD$10)*($D$65:INDIRECT("D"&amp;$C$61)=$AD$11),O$65:INDIRECT(AG$13&amp;$C$61)),$AH50)))</f>
        <v>#NUM!</v>
      </c>
      <c r="AH50" s="69">
        <v>1</v>
      </c>
      <c r="AI50" s="69" t="s">
        <v>155</v>
      </c>
      <c r="AJ50" s="69" t="s">
        <v>197</v>
      </c>
    </row>
    <row r="51" spans="1:36" x14ac:dyDescent="0.25">
      <c r="A51" s="73" t="s">
        <v>70</v>
      </c>
      <c r="B51" s="69" t="s">
        <v>36</v>
      </c>
      <c r="C51" s="73" t="e">
        <f ca="1">W3</f>
        <v>#NUM!</v>
      </c>
      <c r="D51" s="69" t="e">
        <f ca="1">INDEX(D$65:INDIRECT("D"&amp;$C$61),$C51)</f>
        <v>#NUM!</v>
      </c>
      <c r="E51" s="69" t="e">
        <f ca="1">INDEX(INDIRECT(("'MemberID'!$C$6:C"&amp;MemberID!$C$1)),MATCH(D51,INDIRECT(("'MemberID'!$G$6:G"&amp;MemberID!$C$1)),0))</f>
        <v>#NUM!</v>
      </c>
      <c r="F51" s="69" t="e">
        <f ca="1">INDEX(E$65:INDIRECT("E"&amp;$C$61),$C51)</f>
        <v>#NUM!</v>
      </c>
      <c r="G51" t="e">
        <f ca="1">INDEX(F$65:INDIRECT("F"&amp;$C$61),$C51)</f>
        <v>#NUM!</v>
      </c>
      <c r="H51" t="e">
        <f ca="1">INDEX(G$65:INDIRECT("G"&amp;$C$61),$C51)</f>
        <v>#NUM!</v>
      </c>
      <c r="I51" s="69" t="e">
        <f ca="1">INDEX(H$65:INDIRECT("H"&amp;$C$61),$C51)</f>
        <v>#NUM!</v>
      </c>
      <c r="J51" t="e">
        <f ca="1">INDEX(I$65:INDIRECT("I"&amp;$C$61),$C51)</f>
        <v>#NUM!</v>
      </c>
      <c r="K51" s="7" t="e">
        <f ca="1">INDEX(J$65:INDIRECT("J"&amp;$C$61),$C51)</f>
        <v>#NUM!</v>
      </c>
      <c r="L51" t="e">
        <f ca="1">INDEX(K$65:INDIRECT("K"&amp;$C$61),$C51)</f>
        <v>#NUM!</v>
      </c>
      <c r="M51" t="e">
        <f ca="1">INDEX(L$65:INDIRECT("L"&amp;$C$61),$C51)</f>
        <v>#NUM!</v>
      </c>
      <c r="N51" t="e">
        <f ca="1">INDEX(M$65:INDIRECT("M"&amp;$C$61),$C51)</f>
        <v>#NUM!</v>
      </c>
      <c r="O51" t="e">
        <f ca="1">INDEX(N$65:INDIRECT("N"&amp;$C$61),$C51)</f>
        <v>#NUM!</v>
      </c>
      <c r="P51" s="23" t="e">
        <f ca="1">INDEX(O$65:INDIRECT("O"&amp;$C$61),$C51)</f>
        <v>#NUM!</v>
      </c>
      <c r="Q51" s="104"/>
      <c r="R51" s="73" t="s">
        <v>70</v>
      </c>
      <c r="S51" s="69" t="s">
        <v>36</v>
      </c>
      <c r="T51" s="73" t="e">
        <f t="array" aca="1" ref="T51" ca="1">MATCH(IF(ISBLANK($AD$11),LARGE(IF($E$65:INDIRECT("E"&amp;$C$61)=$AD$10,INDIRECT(AJ51&amp;65):INDIRECT(AJ51&amp;$C$61)),$AH51),IF(ISBLANK($AD$10),LARGE(IF($D$65:INDIRECT("D"&amp;$C$61)=$AD$11,INDIRECT(AJ51&amp;65):INDIRECT(AJ51&amp;$C$61)),$AH51),LARGE(IF(($E$65:INDIRECT("E"&amp;$C$61)=$AD$10)*($D$65:INDIRECT("D"&amp;$C$61)=$AD$11),INDIRECT(AJ51&amp;65):INDIRECT(AJ51&amp;$C$61)),$AH51))),INDIRECT(AJ51&amp;65):INDIRECT(AJ51&amp;$C$61),0)</f>
        <v>#NUM!</v>
      </c>
      <c r="U51" s="69" t="e">
        <f ca="1">INDEX(D$65:INDIRECT("D"&amp;$C$61),$T51)</f>
        <v>#NUM!</v>
      </c>
      <c r="V51" s="69" t="e">
        <f ca="1">INDEX(INDIRECT(("'MemberID'!$C$6:C"&amp;MemberID!$C$1)),MATCH(U51,INDIRECT(("'MemberID'!$G$6:G"&amp;MemberID!$C$1)),0))</f>
        <v>#NUM!</v>
      </c>
      <c r="W51" s="69" t="e">
        <f ca="1">INDEX(E$65:INDIRECT("E"&amp;$C$61),$T51)</f>
        <v>#NUM!</v>
      </c>
      <c r="X51" t="e">
        <f ca="1">INDEX(F$65:INDIRECT("F"&amp;$C$61),$T51)</f>
        <v>#NUM!</v>
      </c>
      <c r="Y51" t="e">
        <f ca="1">INDEX(G$65:INDIRECT("G"&amp;$C$61),$T51)</f>
        <v>#NUM!</v>
      </c>
      <c r="Z51" t="e">
        <f ca="1">INDEX(H$65:INDIRECT("H"&amp;$C$61),$T51)</f>
        <v>#NUM!</v>
      </c>
      <c r="AA51" t="e">
        <f ca="1">INDEX(I$65:INDIRECT("I"&amp;$C$61),$T51)</f>
        <v>#NUM!</v>
      </c>
      <c r="AB51" t="e">
        <f ca="1">INDEX(J$65:INDIRECT("J"&amp;$C$61),$T51)</f>
        <v>#NUM!</v>
      </c>
      <c r="AC51" t="e">
        <f ca="1">INDEX(K$65:INDIRECT("K"&amp;$C$61),$T51)</f>
        <v>#NUM!</v>
      </c>
      <c r="AD51" t="e">
        <f ca="1">INDEX(L$65:INDIRECT("L"&amp;$C$61),$T51)</f>
        <v>#NUM!</v>
      </c>
      <c r="AE51" t="e">
        <f ca="1">INDEX(M$65:INDIRECT("M"&amp;$C$61),$T51)</f>
        <v>#NUM!</v>
      </c>
      <c r="AF51" t="e">
        <f ca="1">INDEX(N$65:INDIRECT("N"&amp;$C$61),$T51)</f>
        <v>#NUM!</v>
      </c>
      <c r="AG51" s="23" t="e">
        <f t="array" aca="1" ref="AG51" ca="1">IF(ISBLANK($AD$11),LARGE(IF($E$65:INDIRECT("E"&amp;$C$61)=$AD$10,O$65:INDIRECT(AG$13&amp;$C$61)),$AH51),IF(ISBLANK($AD$10),LARGE(IF($D$65:INDIRECT("D"&amp;$C$61)=$AD$11,O$65:INDIRECT(AG$13&amp;$C$61)),$AH51),LARGE(IF(($E$65:INDIRECT("E"&amp;$C$61)=$AD$10)*($D$65:INDIRECT("D"&amp;$C$61)=$AD$11),O$65:INDIRECT(AG$13&amp;$C$61)),$AH51)))</f>
        <v>#NUM!</v>
      </c>
      <c r="AH51" s="69">
        <v>2</v>
      </c>
      <c r="AI51" s="69" t="str">
        <f>AI50</f>
        <v>O</v>
      </c>
      <c r="AJ51" s="69" t="str">
        <f>AJ50</f>
        <v>V</v>
      </c>
    </row>
    <row r="52" spans="1:36" x14ac:dyDescent="0.25">
      <c r="A52" s="73" t="s">
        <v>71</v>
      </c>
      <c r="B52" s="69" t="s">
        <v>36</v>
      </c>
      <c r="C52" s="73" t="e">
        <f ca="1">AE3</f>
        <v>#NUM!</v>
      </c>
      <c r="D52" s="69" t="e">
        <f ca="1">INDEX(D$65:INDIRECT("D"&amp;$C$61),$C52)</f>
        <v>#NUM!</v>
      </c>
      <c r="E52" s="69" t="e">
        <f ca="1">INDEX(INDIRECT(("'MemberID'!$C$6:C"&amp;MemberID!$C$1)),MATCH(D52,INDIRECT(("'MemberID'!$G$6:G"&amp;MemberID!$C$1)),0))</f>
        <v>#NUM!</v>
      </c>
      <c r="F52" s="69" t="e">
        <f ca="1">INDEX(E$65:INDIRECT("E"&amp;$C$61),$C52)</f>
        <v>#NUM!</v>
      </c>
      <c r="G52" t="e">
        <f ca="1">INDEX(F$65:INDIRECT("F"&amp;$C$61),$C52)</f>
        <v>#NUM!</v>
      </c>
      <c r="H52" t="e">
        <f ca="1">INDEX(G$65:INDIRECT("G"&amp;$C$61),$C52)</f>
        <v>#NUM!</v>
      </c>
      <c r="I52" s="69" t="e">
        <f ca="1">INDEX(H$65:INDIRECT("H"&amp;$C$61),$C52)</f>
        <v>#NUM!</v>
      </c>
      <c r="J52" t="e">
        <f ca="1">INDEX(I$65:INDIRECT("I"&amp;$C$61),$C52)</f>
        <v>#NUM!</v>
      </c>
      <c r="K52" s="7" t="e">
        <f ca="1">INDEX(J$65:INDIRECT("J"&amp;$C$61),$C52)</f>
        <v>#NUM!</v>
      </c>
      <c r="L52" t="e">
        <f ca="1">INDEX(K$65:INDIRECT("K"&amp;$C$61),$C52)</f>
        <v>#NUM!</v>
      </c>
      <c r="M52" t="e">
        <f ca="1">INDEX(L$65:INDIRECT("L"&amp;$C$61),$C52)</f>
        <v>#NUM!</v>
      </c>
      <c r="N52" t="e">
        <f ca="1">INDEX(M$65:INDIRECT("M"&amp;$C$61),$C52)</f>
        <v>#NUM!</v>
      </c>
      <c r="O52" t="e">
        <f ca="1">INDEX(N$65:INDIRECT("N"&amp;$C$61),$C52)</f>
        <v>#NUM!</v>
      </c>
      <c r="P52" s="23" t="e">
        <f ca="1">INDEX(O$65:INDIRECT("O"&amp;$C$61),$C52)</f>
        <v>#NUM!</v>
      </c>
      <c r="Q52" s="104"/>
      <c r="R52" s="73" t="s">
        <v>71</v>
      </c>
      <c r="S52" s="69" t="s">
        <v>36</v>
      </c>
      <c r="T52" s="73" t="e">
        <f t="array" aca="1" ref="T52" ca="1">MATCH(IF(ISBLANK($AD$11),LARGE(IF($E$65:INDIRECT("E"&amp;$C$61)=$AD$10,INDIRECT(AJ52&amp;65):INDIRECT(AJ52&amp;$C$61)),$AH52),IF(ISBLANK($AD$10),LARGE(IF($D$65:INDIRECT("D"&amp;$C$61)=$AD$11,INDIRECT(AJ52&amp;65):INDIRECT(AJ52&amp;$C$61)),$AH52),LARGE(IF(($E$65:INDIRECT("E"&amp;$C$61)=$AD$10)*($D$65:INDIRECT("D"&amp;$C$61)=$AD$11),INDIRECT(AJ52&amp;65):INDIRECT(AJ52&amp;$C$61)),$AH52))),INDIRECT(AJ52&amp;65):INDIRECT(AJ52&amp;$C$61),0)</f>
        <v>#NUM!</v>
      </c>
      <c r="U52" s="69" t="e">
        <f ca="1">INDEX(D$65:INDIRECT("D"&amp;$C$61),$T52)</f>
        <v>#NUM!</v>
      </c>
      <c r="V52" s="69" t="e">
        <f ca="1">INDEX(INDIRECT(("'MemberID'!$C$6:C"&amp;MemberID!$C$1)),MATCH(U52,INDIRECT(("'MemberID'!$G$6:G"&amp;MemberID!$C$1)),0))</f>
        <v>#NUM!</v>
      </c>
      <c r="W52" s="69" t="e">
        <f ca="1">INDEX(E$65:INDIRECT("E"&amp;$C$61),$T52)</f>
        <v>#NUM!</v>
      </c>
      <c r="X52" t="e">
        <f ca="1">INDEX(F$65:INDIRECT("F"&amp;$C$61),$T52)</f>
        <v>#NUM!</v>
      </c>
      <c r="Y52" t="e">
        <f ca="1">INDEX(G$65:INDIRECT("G"&amp;$C$61),$T52)</f>
        <v>#NUM!</v>
      </c>
      <c r="Z52" t="e">
        <f ca="1">INDEX(H$65:INDIRECT("H"&amp;$C$61),$T52)</f>
        <v>#NUM!</v>
      </c>
      <c r="AA52" t="e">
        <f ca="1">INDEX(I$65:INDIRECT("I"&amp;$C$61),$T52)</f>
        <v>#NUM!</v>
      </c>
      <c r="AB52" t="e">
        <f ca="1">INDEX(J$65:INDIRECT("J"&amp;$C$61),$T52)</f>
        <v>#NUM!</v>
      </c>
      <c r="AC52" t="e">
        <f ca="1">INDEX(K$65:INDIRECT("K"&amp;$C$61),$T52)</f>
        <v>#NUM!</v>
      </c>
      <c r="AD52" t="e">
        <f ca="1">INDEX(L$65:INDIRECT("L"&amp;$C$61),$T52)</f>
        <v>#NUM!</v>
      </c>
      <c r="AE52" t="e">
        <f ca="1">INDEX(M$65:INDIRECT("M"&amp;$C$61),$T52)</f>
        <v>#NUM!</v>
      </c>
      <c r="AF52" t="e">
        <f ca="1">INDEX(N$65:INDIRECT("N"&amp;$C$61),$T52)</f>
        <v>#NUM!</v>
      </c>
      <c r="AG52" s="23" t="e">
        <f t="array" aca="1" ref="AG52" ca="1">IF(ISBLANK($AD$11),LARGE(IF($E$65:INDIRECT("E"&amp;$C$61)=$AD$10,O$65:INDIRECT(AG$13&amp;$C$61)),$AH52),IF(ISBLANK($AD$10),LARGE(IF($D$65:INDIRECT("D"&amp;$C$61)=$AD$11,O$65:INDIRECT(AG$13&amp;$C$61)),$AH52),LARGE(IF(($E$65:INDIRECT("E"&amp;$C$61)=$AD$10)*($D$65:INDIRECT("D"&amp;$C$61)=$AD$11),O$65:INDIRECT(AG$13&amp;$C$61)),$AH52)))</f>
        <v>#NUM!</v>
      </c>
      <c r="AH52" s="69">
        <v>3</v>
      </c>
      <c r="AI52" s="69" t="str">
        <f t="shared" ref="AI52:AJ55" si="5">AI51</f>
        <v>O</v>
      </c>
      <c r="AJ52" s="69" t="str">
        <f t="shared" si="5"/>
        <v>V</v>
      </c>
    </row>
    <row r="53" spans="1:36" x14ac:dyDescent="0.25">
      <c r="A53" s="74" t="s">
        <v>72</v>
      </c>
      <c r="B53" s="69" t="s">
        <v>36</v>
      </c>
      <c r="C53" s="74" t="e">
        <f ca="1">O6</f>
        <v>#N/A</v>
      </c>
      <c r="D53" s="69" t="e">
        <f ca="1">INDEX(D$65:INDIRECT("D"&amp;$C$61),$C53)</f>
        <v>#N/A</v>
      </c>
      <c r="E53" s="69" t="e">
        <f ca="1">INDEX(INDIRECT(("'MemberID'!$C$6:C"&amp;MemberID!$C$1)),MATCH(D53,INDIRECT(("'MemberID'!$G$6:G"&amp;MemberID!$C$1)),0))</f>
        <v>#N/A</v>
      </c>
      <c r="F53" s="69" t="e">
        <f ca="1">INDEX(E$65:INDIRECT("E"&amp;$C$61),$C53)</f>
        <v>#N/A</v>
      </c>
      <c r="G53" t="e">
        <f ca="1">INDEX(F$65:INDIRECT("F"&amp;$C$61),$C53)</f>
        <v>#N/A</v>
      </c>
      <c r="H53" t="e">
        <f ca="1">INDEX(G$65:INDIRECT("G"&amp;$C$61),$C53)</f>
        <v>#N/A</v>
      </c>
      <c r="I53" s="69" t="e">
        <f ca="1">INDEX(H$65:INDIRECT("H"&amp;$C$61),$C53)</f>
        <v>#N/A</v>
      </c>
      <c r="J53" t="e">
        <f ca="1">INDEX(I$65:INDIRECT("I"&amp;$C$61),$C53)</f>
        <v>#N/A</v>
      </c>
      <c r="K53" s="7" t="e">
        <f ca="1">INDEX(J$65:INDIRECT("J"&amp;$C$61),$C53)</f>
        <v>#N/A</v>
      </c>
      <c r="L53" t="e">
        <f ca="1">INDEX(K$65:INDIRECT("K"&amp;$C$61),$C53)</f>
        <v>#N/A</v>
      </c>
      <c r="M53" t="e">
        <f ca="1">INDEX(L$65:INDIRECT("L"&amp;$C$61),$C53)</f>
        <v>#N/A</v>
      </c>
      <c r="N53" t="e">
        <f ca="1">INDEX(M$65:INDIRECT("M"&amp;$C$61),$C53)</f>
        <v>#N/A</v>
      </c>
      <c r="O53" t="e">
        <f ca="1">INDEX(N$65:INDIRECT("N"&amp;$C$61),$C53)</f>
        <v>#N/A</v>
      </c>
      <c r="P53" s="23" t="e">
        <f ca="1">INDEX(O$65:INDIRECT("O"&amp;$C$61),$C53)</f>
        <v>#N/A</v>
      </c>
      <c r="Q53" s="104"/>
      <c r="R53" s="74" t="s">
        <v>72</v>
      </c>
      <c r="S53" s="69" t="s">
        <v>36</v>
      </c>
      <c r="T53" s="74" t="e">
        <f t="array" aca="1" ref="T53" ca="1">MATCH(IF(ISBLANK($AD$11),SMALL(IF($E$65:INDIRECT("E"&amp;$C$61)=$AD$10,INDIRECT(AJ53&amp;65):INDIRECT(AJ53&amp;$C$61)),$AH53),IF(ISBLANK($AD$10),SMALL(IF($D$65:INDIRECT("D"&amp;$C$61)=$AD$11,INDIRECT(AJ53&amp;65):INDIRECT(AJ53&amp;$C$61)),$AH53),SMALL(IF(($E$65:INDIRECT("E"&amp;$C$61)=$AD$10)*($D$65:INDIRECT("D"&amp;$C$61)=$AD$11),INDIRECT(AJ53&amp;65):INDIRECT(AJ53&amp;$C$61)),$AH53))),INDIRECT(AJ53&amp;65):INDIRECT(AJ53&amp;$C$61),0)</f>
        <v>#NUM!</v>
      </c>
      <c r="U53" s="69" t="e">
        <f ca="1">INDEX(D$65:INDIRECT("D"&amp;$C$61),$T53)</f>
        <v>#NUM!</v>
      </c>
      <c r="V53" s="69" t="e">
        <f ca="1">INDEX(INDIRECT(("'MemberID'!$C$6:C"&amp;MemberID!$C$1)),MATCH(U53,INDIRECT(("'MemberID'!$G$6:G"&amp;MemberID!$C$1)),0))</f>
        <v>#NUM!</v>
      </c>
      <c r="W53" s="69" t="e">
        <f ca="1">INDEX(E$65:INDIRECT("E"&amp;$C$61),$T53)</f>
        <v>#NUM!</v>
      </c>
      <c r="X53" t="e">
        <f ca="1">INDEX(F$65:INDIRECT("F"&amp;$C$61),$T53)</f>
        <v>#NUM!</v>
      </c>
      <c r="Y53" t="e">
        <f ca="1">INDEX(G$65:INDIRECT("G"&amp;$C$61),$T53)</f>
        <v>#NUM!</v>
      </c>
      <c r="Z53" t="e">
        <f ca="1">INDEX(H$65:INDIRECT("H"&amp;$C$61),$T53)</f>
        <v>#NUM!</v>
      </c>
      <c r="AA53" t="e">
        <f ca="1">INDEX(I$65:INDIRECT("I"&amp;$C$61),$T53)</f>
        <v>#NUM!</v>
      </c>
      <c r="AB53" t="e">
        <f ca="1">INDEX(J$65:INDIRECT("J"&amp;$C$61),$T53)</f>
        <v>#NUM!</v>
      </c>
      <c r="AC53" t="e">
        <f ca="1">INDEX(K$65:INDIRECT("K"&amp;$C$61),$T53)</f>
        <v>#NUM!</v>
      </c>
      <c r="AD53" t="e">
        <f ca="1">INDEX(L$65:INDIRECT("L"&amp;$C$61),$T53)</f>
        <v>#NUM!</v>
      </c>
      <c r="AE53" t="e">
        <f ca="1">INDEX(M$65:INDIRECT("M"&amp;$C$61),$T53)</f>
        <v>#NUM!</v>
      </c>
      <c r="AF53" t="e">
        <f ca="1">INDEX(N$65:INDIRECT("N"&amp;$C$61),$T53)</f>
        <v>#NUM!</v>
      </c>
      <c r="AG53" s="23" t="e">
        <f t="array" aca="1" ref="AG53" ca="1">IF(ISBLANK($AD$11),SMALL(IF($E$65:INDIRECT("E"&amp;$C$61)=$AD$10,O$65:INDIRECT(AG$13&amp;$C$61)),$AH53),IF(ISBLANK($AD$10),SMALL(IF($D$65:INDIRECT("D"&amp;$C$61)=$AD$11,O$65:INDIRECT(AG$13&amp;$C$61)),$AH53),SMALL(IF(($E$65:INDIRECT("E"&amp;$C$61)=$AD$10)*($D$65:INDIRECT("D"&amp;$C$61)=$AD$11),O$65:INDIRECT(AG$13&amp;$C$61)),$AH53)))</f>
        <v>#NUM!</v>
      </c>
      <c r="AH53" s="69">
        <v>1</v>
      </c>
      <c r="AI53" s="69" t="str">
        <f t="shared" si="5"/>
        <v>O</v>
      </c>
      <c r="AJ53" s="69" t="str">
        <f t="shared" si="5"/>
        <v>V</v>
      </c>
    </row>
    <row r="54" spans="1:36" x14ac:dyDescent="0.25">
      <c r="A54" s="74" t="s">
        <v>73</v>
      </c>
      <c r="B54" s="69" t="s">
        <v>36</v>
      </c>
      <c r="C54" s="74" t="e">
        <f ca="1">W6</f>
        <v>#NUM!</v>
      </c>
      <c r="D54" s="69" t="e">
        <f ca="1">INDEX(D$65:INDIRECT("D"&amp;$C$61),$C54)</f>
        <v>#NUM!</v>
      </c>
      <c r="E54" s="69" t="e">
        <f ca="1">INDEX(INDIRECT(("'MemberID'!$C$6:C"&amp;MemberID!$C$1)),MATCH(D54,INDIRECT(("'MemberID'!$G$6:G"&amp;MemberID!$C$1)),0))</f>
        <v>#NUM!</v>
      </c>
      <c r="F54" s="69" t="e">
        <f ca="1">INDEX(E$65:INDIRECT("E"&amp;$C$61),$C54)</f>
        <v>#NUM!</v>
      </c>
      <c r="G54" t="e">
        <f ca="1">INDEX(F$65:INDIRECT("F"&amp;$C$61),$C54)</f>
        <v>#NUM!</v>
      </c>
      <c r="H54" t="e">
        <f ca="1">INDEX(G$65:INDIRECT("G"&amp;$C$61),$C54)</f>
        <v>#NUM!</v>
      </c>
      <c r="I54" s="69" t="e">
        <f ca="1">INDEX(H$65:INDIRECT("H"&amp;$C$61),$C54)</f>
        <v>#NUM!</v>
      </c>
      <c r="J54" t="e">
        <f ca="1">INDEX(I$65:INDIRECT("I"&amp;$C$61),$C54)</f>
        <v>#NUM!</v>
      </c>
      <c r="K54" s="7" t="e">
        <f ca="1">INDEX(J$65:INDIRECT("J"&amp;$C$61),$C54)</f>
        <v>#NUM!</v>
      </c>
      <c r="L54" t="e">
        <f ca="1">INDEX(K$65:INDIRECT("K"&amp;$C$61),$C54)</f>
        <v>#NUM!</v>
      </c>
      <c r="M54" t="e">
        <f ca="1">INDEX(L$65:INDIRECT("L"&amp;$C$61),$C54)</f>
        <v>#NUM!</v>
      </c>
      <c r="N54" t="e">
        <f ca="1">INDEX(M$65:INDIRECT("M"&amp;$C$61),$C54)</f>
        <v>#NUM!</v>
      </c>
      <c r="O54" t="e">
        <f ca="1">INDEX(N$65:INDIRECT("N"&amp;$C$61),$C54)</f>
        <v>#NUM!</v>
      </c>
      <c r="P54" s="23" t="e">
        <f ca="1">INDEX(O$65:INDIRECT("O"&amp;$C$61),$C54)</f>
        <v>#NUM!</v>
      </c>
      <c r="Q54" s="104"/>
      <c r="R54" s="74" t="s">
        <v>73</v>
      </c>
      <c r="S54" s="69" t="s">
        <v>36</v>
      </c>
      <c r="T54" s="74" t="e">
        <f t="array" aca="1" ref="T54" ca="1">MATCH(IF(ISBLANK($AD$11),SMALL(IF($E$65:INDIRECT("E"&amp;$C$61)=$AD$10,INDIRECT(AJ54&amp;65):INDIRECT(AJ54&amp;$C$61)),$AH54),IF(ISBLANK($AD$10),SMALL(IF($D$65:INDIRECT("D"&amp;$C$61)=$AD$11,INDIRECT(AJ54&amp;65):INDIRECT(AJ54&amp;$C$61)),$AH54),SMALL(IF(($E$65:INDIRECT("E"&amp;$C$61)=$AD$10)*($D$65:INDIRECT("D"&amp;$C$61)=$AD$11),INDIRECT(AJ54&amp;65):INDIRECT(AJ54&amp;$C$61)),$AH54))),INDIRECT(AJ54&amp;65):INDIRECT(AJ54&amp;$C$61),0)</f>
        <v>#NUM!</v>
      </c>
      <c r="U54" s="69" t="e">
        <f ca="1">INDEX(D$65:INDIRECT("D"&amp;$C$61),$T54)</f>
        <v>#NUM!</v>
      </c>
      <c r="V54" s="69" t="e">
        <f ca="1">INDEX(INDIRECT(("'MemberID'!$C$6:C"&amp;MemberID!$C$1)),MATCH(U54,INDIRECT(("'MemberID'!$G$6:G"&amp;MemberID!$C$1)),0))</f>
        <v>#NUM!</v>
      </c>
      <c r="W54" s="69" t="e">
        <f ca="1">INDEX(E$65:INDIRECT("E"&amp;$C$61),$T54)</f>
        <v>#NUM!</v>
      </c>
      <c r="X54" t="e">
        <f ca="1">INDEX(F$65:INDIRECT("F"&amp;$C$61),$T54)</f>
        <v>#NUM!</v>
      </c>
      <c r="Y54" t="e">
        <f ca="1">INDEX(G$65:INDIRECT("G"&amp;$C$61),$T54)</f>
        <v>#NUM!</v>
      </c>
      <c r="Z54" t="e">
        <f ca="1">INDEX(H$65:INDIRECT("H"&amp;$C$61),$T54)</f>
        <v>#NUM!</v>
      </c>
      <c r="AA54" t="e">
        <f ca="1">INDEX(I$65:INDIRECT("I"&amp;$C$61),$T54)</f>
        <v>#NUM!</v>
      </c>
      <c r="AB54" t="e">
        <f ca="1">INDEX(J$65:INDIRECT("J"&amp;$C$61),$T54)</f>
        <v>#NUM!</v>
      </c>
      <c r="AC54" t="e">
        <f ca="1">INDEX(K$65:INDIRECT("K"&amp;$C$61),$T54)</f>
        <v>#NUM!</v>
      </c>
      <c r="AD54" t="e">
        <f ca="1">INDEX(L$65:INDIRECT("L"&amp;$C$61),$T54)</f>
        <v>#NUM!</v>
      </c>
      <c r="AE54" t="e">
        <f ca="1">INDEX(M$65:INDIRECT("M"&amp;$C$61),$T54)</f>
        <v>#NUM!</v>
      </c>
      <c r="AF54" t="e">
        <f ca="1">INDEX(N$65:INDIRECT("N"&amp;$C$61),$T54)</f>
        <v>#NUM!</v>
      </c>
      <c r="AG54" s="23" t="e">
        <f t="array" aca="1" ref="AG54" ca="1">IF(ISBLANK($AD$11),SMALL(IF($E$65:INDIRECT("E"&amp;$C$61)=$AD$10,O$65:INDIRECT(AG$13&amp;$C$61)),$AH54),IF(ISBLANK($AD$10),SMALL(IF($D$65:INDIRECT("D"&amp;$C$61)=$AD$11,O$65:INDIRECT(AG$13&amp;$C$61)),$AH54),SMALL(IF(($E$65:INDIRECT("E"&amp;$C$61)=$AD$10)*($D$65:INDIRECT("D"&amp;$C$61)=$AD$11),O$65:INDIRECT(AG$13&amp;$C$61)),$AH54)))</f>
        <v>#NUM!</v>
      </c>
      <c r="AH54" s="69">
        <v>2</v>
      </c>
      <c r="AI54" s="69" t="str">
        <f t="shared" si="5"/>
        <v>O</v>
      </c>
      <c r="AJ54" s="69" t="str">
        <f t="shared" si="5"/>
        <v>V</v>
      </c>
    </row>
    <row r="55" spans="1:36" x14ac:dyDescent="0.25">
      <c r="A55" s="74" t="s">
        <v>74</v>
      </c>
      <c r="B55" s="69" t="s">
        <v>36</v>
      </c>
      <c r="C55" s="74" t="e">
        <f ca="1">AE6</f>
        <v>#NUM!</v>
      </c>
      <c r="D55" s="69" t="e">
        <f ca="1">INDEX(D$65:INDIRECT("D"&amp;$C$61),$C55)</f>
        <v>#NUM!</v>
      </c>
      <c r="E55" s="69" t="e">
        <f ca="1">INDEX(INDIRECT(("'MemberID'!$C$6:C"&amp;MemberID!$C$1)),MATCH(D55,INDIRECT(("'MemberID'!$G$6:G"&amp;MemberID!$C$1)),0))</f>
        <v>#NUM!</v>
      </c>
      <c r="F55" s="69" t="e">
        <f ca="1">INDEX(E$65:INDIRECT("E"&amp;$C$61),$C55)</f>
        <v>#NUM!</v>
      </c>
      <c r="G55" t="e">
        <f ca="1">INDEX(F$65:INDIRECT("F"&amp;$C$61),$C55)</f>
        <v>#NUM!</v>
      </c>
      <c r="H55" t="e">
        <f ca="1">INDEX(G$65:INDIRECT("G"&amp;$C$61),$C55)</f>
        <v>#NUM!</v>
      </c>
      <c r="I55" s="69" t="e">
        <f ca="1">INDEX(H$65:INDIRECT("H"&amp;$C$61),$C55)</f>
        <v>#NUM!</v>
      </c>
      <c r="J55" t="e">
        <f ca="1">INDEX(I$65:INDIRECT("I"&amp;$C$61),$C55)</f>
        <v>#NUM!</v>
      </c>
      <c r="K55" s="7" t="e">
        <f ca="1">INDEX(J$65:INDIRECT("J"&amp;$C$61),$C55)</f>
        <v>#NUM!</v>
      </c>
      <c r="L55" t="e">
        <f ca="1">INDEX(K$65:INDIRECT("K"&amp;$C$61),$C55)</f>
        <v>#NUM!</v>
      </c>
      <c r="M55" t="e">
        <f ca="1">INDEX(L$65:INDIRECT("L"&amp;$C$61),$C55)</f>
        <v>#NUM!</v>
      </c>
      <c r="N55" t="e">
        <f ca="1">INDEX(M$65:INDIRECT("M"&amp;$C$61),$C55)</f>
        <v>#NUM!</v>
      </c>
      <c r="O55" t="e">
        <f ca="1">INDEX(N$65:INDIRECT("N"&amp;$C$61),$C55)</f>
        <v>#NUM!</v>
      </c>
      <c r="P55" s="23" t="e">
        <f ca="1">INDEX(O$65:INDIRECT("O"&amp;$C$61),$C55)</f>
        <v>#NUM!</v>
      </c>
      <c r="Q55" s="104"/>
      <c r="R55" s="74" t="s">
        <v>74</v>
      </c>
      <c r="S55" s="69" t="s">
        <v>36</v>
      </c>
      <c r="T55" s="74" t="e">
        <f t="array" aca="1" ref="T55" ca="1">MATCH(IF(ISBLANK($AD$11),SMALL(IF($E$65:INDIRECT("E"&amp;$C$61)=$AD$10,INDIRECT(AJ55&amp;65):INDIRECT(AJ55&amp;$C$61)),$AH55),IF(ISBLANK($AD$10),SMALL(IF($D$65:INDIRECT("D"&amp;$C$61)=$AD$11,INDIRECT(AJ55&amp;65):INDIRECT(AJ55&amp;$C$61)),$AH55),SMALL(IF(($E$65:INDIRECT("E"&amp;$C$61)=$AD$10)*($D$65:INDIRECT("D"&amp;$C$61)=$AD$11),INDIRECT(AJ55&amp;65):INDIRECT(AJ55&amp;$C$61)),$AH55))),INDIRECT(AJ55&amp;65):INDIRECT(AJ55&amp;$C$61),0)</f>
        <v>#NUM!</v>
      </c>
      <c r="U55" s="69" t="e">
        <f ca="1">INDEX(D$65:INDIRECT("D"&amp;$C$61),$T55)</f>
        <v>#NUM!</v>
      </c>
      <c r="V55" s="69" t="e">
        <f ca="1">INDEX(INDIRECT(("'MemberID'!$C$6:C"&amp;MemberID!$C$1)),MATCH(U55,INDIRECT(("'MemberID'!$G$6:G"&amp;MemberID!$C$1)),0))</f>
        <v>#NUM!</v>
      </c>
      <c r="W55" s="69" t="e">
        <f ca="1">INDEX(E$65:INDIRECT("E"&amp;$C$61),$T55)</f>
        <v>#NUM!</v>
      </c>
      <c r="X55" t="e">
        <f ca="1">INDEX(F$65:INDIRECT("F"&amp;$C$61),$T55)</f>
        <v>#NUM!</v>
      </c>
      <c r="Y55" t="e">
        <f ca="1">INDEX(G$65:INDIRECT("G"&amp;$C$61),$T55)</f>
        <v>#NUM!</v>
      </c>
      <c r="Z55" t="e">
        <f ca="1">INDEX(H$65:INDIRECT("H"&amp;$C$61),$T55)</f>
        <v>#NUM!</v>
      </c>
      <c r="AA55" t="e">
        <f ca="1">INDEX(I$65:INDIRECT("I"&amp;$C$61),$T55)</f>
        <v>#NUM!</v>
      </c>
      <c r="AB55" t="e">
        <f ca="1">INDEX(J$65:INDIRECT("J"&amp;$C$61),$T55)</f>
        <v>#NUM!</v>
      </c>
      <c r="AC55" t="e">
        <f ca="1">INDEX(K$65:INDIRECT("K"&amp;$C$61),$T55)</f>
        <v>#NUM!</v>
      </c>
      <c r="AD55" t="e">
        <f ca="1">INDEX(L$65:INDIRECT("L"&amp;$C$61),$T55)</f>
        <v>#NUM!</v>
      </c>
      <c r="AE55" t="e">
        <f ca="1">INDEX(M$65:INDIRECT("M"&amp;$C$61),$T55)</f>
        <v>#NUM!</v>
      </c>
      <c r="AF55" t="e">
        <f ca="1">INDEX(N$65:INDIRECT("N"&amp;$C$61),$T55)</f>
        <v>#NUM!</v>
      </c>
      <c r="AG55" s="23" t="e">
        <f t="array" aca="1" ref="AG55" ca="1">IF(ISBLANK($AD$11),SMALL(IF($E$65:INDIRECT("E"&amp;$C$61)=$AD$10,O$65:INDIRECT(AG$13&amp;$C$61)),$AH55),IF(ISBLANK($AD$10),SMALL(IF($D$65:INDIRECT("D"&amp;$C$61)=$AD$11,O$65:INDIRECT(AG$13&amp;$C$61)),$AH55),SMALL(IF(($E$65:INDIRECT("E"&amp;$C$61)=$AD$10)*($D$65:INDIRECT("D"&amp;$C$61)=$AD$11),O$65:INDIRECT(AG$13&amp;$C$61)),$AH55)))</f>
        <v>#NUM!</v>
      </c>
      <c r="AH55" s="69">
        <v>3</v>
      </c>
      <c r="AI55" s="69" t="str">
        <f t="shared" si="5"/>
        <v>O</v>
      </c>
      <c r="AJ55" s="69" t="str">
        <f t="shared" si="5"/>
        <v>V</v>
      </c>
    </row>
    <row r="56" spans="1:36" x14ac:dyDescent="0.25">
      <c r="Q56" s="104"/>
    </row>
    <row r="57" spans="1:36" x14ac:dyDescent="0.25">
      <c r="F57" s="57"/>
      <c r="G57" s="57"/>
      <c r="H57" s="57"/>
      <c r="I57" s="57"/>
      <c r="Q57" s="104"/>
    </row>
    <row r="58" spans="1:36" x14ac:dyDescent="0.25">
      <c r="D58" s="7"/>
      <c r="F58" s="77"/>
      <c r="G58" s="77"/>
      <c r="H58" s="77"/>
      <c r="I58" s="77"/>
      <c r="J58" s="7"/>
      <c r="K58" s="7"/>
      <c r="L58" s="7"/>
      <c r="M58" s="7"/>
      <c r="N58" s="7"/>
      <c r="O58" s="7"/>
      <c r="P58" s="7"/>
      <c r="Q58" s="105"/>
      <c r="R58" s="7"/>
      <c r="S58" s="7"/>
      <c r="T58" s="7"/>
      <c r="U58" s="7"/>
      <c r="V58" s="7"/>
      <c r="W58" s="7"/>
      <c r="X58" s="7"/>
      <c r="Y58" s="7"/>
    </row>
    <row r="59" spans="1:36" x14ac:dyDescent="0.25">
      <c r="D59" s="66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8"/>
      <c r="Q59" s="105"/>
      <c r="R59" s="7"/>
      <c r="S59" s="7"/>
      <c r="T59" s="7"/>
      <c r="U59" s="7"/>
      <c r="V59" s="7"/>
      <c r="W59" s="7"/>
      <c r="X59" s="7"/>
      <c r="Y59" s="7"/>
    </row>
    <row r="60" spans="1:36" x14ac:dyDescent="0.25">
      <c r="D60" s="66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8"/>
      <c r="Q60" s="105"/>
      <c r="R60" s="7"/>
      <c r="S60" s="7"/>
      <c r="T60" s="7"/>
      <c r="U60" s="7"/>
      <c r="V60" s="7"/>
      <c r="W60" s="7"/>
      <c r="X60" s="7"/>
      <c r="Y60" s="7"/>
    </row>
    <row r="61" spans="1:36" x14ac:dyDescent="0.25">
      <c r="B61" t="s">
        <v>23</v>
      </c>
      <c r="C61" s="23">
        <f>LOOKUP(2,1/(NOT(ISBLANK(D:D))),ROW(D:D))</f>
        <v>64</v>
      </c>
      <c r="D61" s="66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8"/>
      <c r="Q61" s="105"/>
      <c r="R61" s="7"/>
      <c r="S61" s="7"/>
      <c r="T61" s="7"/>
      <c r="U61" s="7"/>
      <c r="V61" s="7"/>
      <c r="W61" s="7"/>
      <c r="X61" s="7"/>
      <c r="Y61" s="7"/>
    </row>
    <row r="62" spans="1:36" x14ac:dyDescent="0.25">
      <c r="Q62" s="104"/>
    </row>
    <row r="63" spans="1:36" x14ac:dyDescent="0.25">
      <c r="C63" s="7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Q63" s="22" t="s">
        <v>168</v>
      </c>
      <c r="R63" s="22"/>
      <c r="S63" s="22"/>
      <c r="T63" s="22"/>
      <c r="U63" s="22"/>
      <c r="V63" s="22"/>
    </row>
    <row r="64" spans="1:36" x14ac:dyDescent="0.25">
      <c r="C64" s="7"/>
      <c r="D64" t="s">
        <v>0</v>
      </c>
      <c r="E64" s="28" t="s">
        <v>191</v>
      </c>
      <c r="F64" s="28" t="s">
        <v>192</v>
      </c>
      <c r="G64" s="28" t="s">
        <v>193</v>
      </c>
      <c r="H64" s="28" t="s">
        <v>194</v>
      </c>
      <c r="I64" t="s">
        <v>129</v>
      </c>
      <c r="J64" t="s">
        <v>5</v>
      </c>
      <c r="K64" t="s">
        <v>6</v>
      </c>
      <c r="L64" t="s">
        <v>7</v>
      </c>
      <c r="M64" t="s">
        <v>8</v>
      </c>
      <c r="N64" t="s">
        <v>9</v>
      </c>
      <c r="O64" t="s">
        <v>10</v>
      </c>
      <c r="Q64" s="69" t="s">
        <v>140</v>
      </c>
      <c r="R64" s="69" t="s">
        <v>141</v>
      </c>
      <c r="S64" s="69" t="s">
        <v>142</v>
      </c>
      <c r="T64" s="69" t="s">
        <v>143</v>
      </c>
      <c r="U64" s="69" t="s">
        <v>144</v>
      </c>
      <c r="V64" s="69" t="s">
        <v>145</v>
      </c>
    </row>
    <row r="65" spans="3:50" x14ac:dyDescent="0.25">
      <c r="C65" s="66"/>
    </row>
    <row r="66" spans="3:50" x14ac:dyDescent="0.25">
      <c r="C66" s="66"/>
      <c r="AD66" s="1"/>
      <c r="AK66" s="1"/>
      <c r="AO66" s="1"/>
      <c r="AP66" s="1"/>
      <c r="AQ66" s="1"/>
      <c r="AR66" s="1"/>
      <c r="AS66" s="1"/>
      <c r="AT66" s="1"/>
      <c r="AU66" s="1"/>
      <c r="AX66" s="1"/>
    </row>
    <row r="67" spans="3:50" x14ac:dyDescent="0.25">
      <c r="C67" s="66"/>
    </row>
    <row r="68" spans="3:50" x14ac:dyDescent="0.25">
      <c r="C68" s="66"/>
    </row>
    <row r="69" spans="3:50" x14ac:dyDescent="0.25">
      <c r="C69" s="66"/>
    </row>
    <row r="70" spans="3:50" x14ac:dyDescent="0.25">
      <c r="C70" s="66"/>
    </row>
    <row r="71" spans="3:50" x14ac:dyDescent="0.25">
      <c r="C71" s="66"/>
    </row>
    <row r="72" spans="3:50" x14ac:dyDescent="0.25">
      <c r="C72" s="66"/>
    </row>
    <row r="73" spans="3:50" x14ac:dyDescent="0.25">
      <c r="C73" s="66"/>
    </row>
    <row r="74" spans="3:50" x14ac:dyDescent="0.25">
      <c r="C74" s="66"/>
    </row>
    <row r="75" spans="3:50" x14ac:dyDescent="0.25">
      <c r="C75" s="66"/>
    </row>
    <row r="76" spans="3:50" x14ac:dyDescent="0.25">
      <c r="C76" s="66"/>
    </row>
    <row r="77" spans="3:50" x14ac:dyDescent="0.25">
      <c r="C77" s="66"/>
    </row>
    <row r="78" spans="3:50" x14ac:dyDescent="0.25">
      <c r="C78" s="66"/>
    </row>
    <row r="79" spans="3:50" x14ac:dyDescent="0.25">
      <c r="C79" s="66"/>
    </row>
    <row r="80" spans="3:50" x14ac:dyDescent="0.25">
      <c r="C80" s="66"/>
    </row>
    <row r="81" spans="3:3" x14ac:dyDescent="0.25">
      <c r="C81" s="66"/>
    </row>
    <row r="82" spans="3:3" x14ac:dyDescent="0.25">
      <c r="C82" s="66"/>
    </row>
    <row r="83" spans="3:3" x14ac:dyDescent="0.25">
      <c r="C83" s="66"/>
    </row>
    <row r="84" spans="3:3" x14ac:dyDescent="0.25">
      <c r="C84" s="66"/>
    </row>
    <row r="85" spans="3:3" x14ac:dyDescent="0.25">
      <c r="C85" s="66"/>
    </row>
    <row r="86" spans="3:3" x14ac:dyDescent="0.25">
      <c r="C86" s="66"/>
    </row>
    <row r="87" spans="3:3" x14ac:dyDescent="0.25">
      <c r="C87" s="66"/>
    </row>
    <row r="88" spans="3:3" x14ac:dyDescent="0.25">
      <c r="C88" s="66"/>
    </row>
    <row r="89" spans="3:3" x14ac:dyDescent="0.25">
      <c r="C89" s="66"/>
    </row>
    <row r="90" spans="3:3" x14ac:dyDescent="0.25">
      <c r="C90" s="66"/>
    </row>
    <row r="91" spans="3:3" x14ac:dyDescent="0.25">
      <c r="C91" s="66"/>
    </row>
    <row r="92" spans="3:3" x14ac:dyDescent="0.25">
      <c r="C92" s="66"/>
    </row>
    <row r="93" spans="3:3" x14ac:dyDescent="0.25">
      <c r="C93" s="66"/>
    </row>
    <row r="94" spans="3:3" x14ac:dyDescent="0.25">
      <c r="C94" s="66"/>
    </row>
    <row r="95" spans="3:3" x14ac:dyDescent="0.25">
      <c r="C95" s="66"/>
    </row>
    <row r="96" spans="3:3" x14ac:dyDescent="0.25">
      <c r="C96" s="66"/>
    </row>
    <row r="97" spans="3:3" x14ac:dyDescent="0.25">
      <c r="C97" s="66"/>
    </row>
    <row r="98" spans="3:3" x14ac:dyDescent="0.25">
      <c r="C98" s="66"/>
    </row>
    <row r="99" spans="3:3" x14ac:dyDescent="0.25">
      <c r="C99" s="66"/>
    </row>
    <row r="100" spans="3:3" x14ac:dyDescent="0.25">
      <c r="C100" s="66"/>
    </row>
    <row r="101" spans="3:3" x14ac:dyDescent="0.25">
      <c r="C101" s="66"/>
    </row>
    <row r="102" spans="3:3" x14ac:dyDescent="0.25">
      <c r="C102" s="66"/>
    </row>
    <row r="103" spans="3:3" x14ac:dyDescent="0.25">
      <c r="C103" s="66"/>
    </row>
    <row r="104" spans="3:3" x14ac:dyDescent="0.25">
      <c r="C104" s="66"/>
    </row>
    <row r="105" spans="3:3" x14ac:dyDescent="0.25">
      <c r="C105" s="66"/>
    </row>
    <row r="106" spans="3:3" x14ac:dyDescent="0.25">
      <c r="C106" s="66"/>
    </row>
    <row r="107" spans="3:3" x14ac:dyDescent="0.25">
      <c r="C107" s="66"/>
    </row>
    <row r="108" spans="3:3" x14ac:dyDescent="0.25">
      <c r="C108" s="66"/>
    </row>
    <row r="109" spans="3:3" x14ac:dyDescent="0.25">
      <c r="C109" s="66"/>
    </row>
    <row r="110" spans="3:3" x14ac:dyDescent="0.25">
      <c r="C110" s="66"/>
    </row>
    <row r="111" spans="3:3" x14ac:dyDescent="0.25">
      <c r="C111" s="66"/>
    </row>
    <row r="112" spans="3:3" x14ac:dyDescent="0.25">
      <c r="C112" s="66"/>
    </row>
    <row r="113" spans="3:3" x14ac:dyDescent="0.25">
      <c r="C113" s="66"/>
    </row>
    <row r="114" spans="3:3" x14ac:dyDescent="0.25">
      <c r="C114" s="66"/>
    </row>
    <row r="115" spans="3:3" x14ac:dyDescent="0.25">
      <c r="C115" s="66"/>
    </row>
    <row r="116" spans="3:3" x14ac:dyDescent="0.25">
      <c r="C116" s="66"/>
    </row>
    <row r="117" spans="3:3" x14ac:dyDescent="0.25">
      <c r="C117" s="66"/>
    </row>
    <row r="118" spans="3:3" x14ac:dyDescent="0.25">
      <c r="C118" s="66"/>
    </row>
    <row r="119" spans="3:3" x14ac:dyDescent="0.25">
      <c r="C119" s="66"/>
    </row>
    <row r="120" spans="3:3" x14ac:dyDescent="0.25">
      <c r="C120" s="66"/>
    </row>
    <row r="121" spans="3:3" x14ac:dyDescent="0.25">
      <c r="C121" s="66"/>
    </row>
    <row r="122" spans="3:3" x14ac:dyDescent="0.25">
      <c r="C122" s="66"/>
    </row>
    <row r="123" spans="3:3" x14ac:dyDescent="0.25">
      <c r="C123" s="66"/>
    </row>
    <row r="124" spans="3:3" x14ac:dyDescent="0.25">
      <c r="C124" s="66"/>
    </row>
    <row r="125" spans="3:3" x14ac:dyDescent="0.25">
      <c r="C125" s="66"/>
    </row>
    <row r="126" spans="3:3" x14ac:dyDescent="0.25">
      <c r="C126" s="66"/>
    </row>
    <row r="127" spans="3:3" x14ac:dyDescent="0.25">
      <c r="C127" s="66"/>
    </row>
    <row r="128" spans="3:3" x14ac:dyDescent="0.25">
      <c r="C128" s="66"/>
    </row>
    <row r="129" spans="3:3" x14ac:dyDescent="0.25">
      <c r="C129" s="66"/>
    </row>
    <row r="130" spans="3:3" x14ac:dyDescent="0.25">
      <c r="C130" s="66"/>
    </row>
    <row r="131" spans="3:3" x14ac:dyDescent="0.25">
      <c r="C131" s="66"/>
    </row>
    <row r="132" spans="3:3" x14ac:dyDescent="0.25">
      <c r="C132" s="66"/>
    </row>
    <row r="133" spans="3:3" x14ac:dyDescent="0.25">
      <c r="C133" s="66"/>
    </row>
    <row r="134" spans="3:3" x14ac:dyDescent="0.25">
      <c r="C134" s="66"/>
    </row>
    <row r="135" spans="3:3" x14ac:dyDescent="0.25">
      <c r="C135" s="66"/>
    </row>
    <row r="136" spans="3:3" x14ac:dyDescent="0.25">
      <c r="C136" s="66"/>
    </row>
    <row r="137" spans="3:3" x14ac:dyDescent="0.25">
      <c r="C137" s="66"/>
    </row>
    <row r="138" spans="3:3" x14ac:dyDescent="0.25">
      <c r="C138" s="66"/>
    </row>
    <row r="139" spans="3:3" x14ac:dyDescent="0.25">
      <c r="C139" s="66"/>
    </row>
    <row r="140" spans="3:3" x14ac:dyDescent="0.25">
      <c r="C140" s="66"/>
    </row>
    <row r="141" spans="3:3" x14ac:dyDescent="0.25">
      <c r="C141" s="66"/>
    </row>
    <row r="142" spans="3:3" x14ac:dyDescent="0.25">
      <c r="C142" s="66"/>
    </row>
    <row r="143" spans="3:3" x14ac:dyDescent="0.25">
      <c r="C143" s="66"/>
    </row>
    <row r="144" spans="3:3" x14ac:dyDescent="0.25">
      <c r="C144" s="66"/>
    </row>
    <row r="145" spans="3:3" x14ac:dyDescent="0.25">
      <c r="C145" s="66"/>
    </row>
    <row r="146" spans="3:3" x14ac:dyDescent="0.25">
      <c r="C146" s="66"/>
    </row>
    <row r="147" spans="3:3" x14ac:dyDescent="0.25">
      <c r="C147" s="66"/>
    </row>
    <row r="148" spans="3:3" x14ac:dyDescent="0.25">
      <c r="C148" s="66"/>
    </row>
    <row r="149" spans="3:3" x14ac:dyDescent="0.25">
      <c r="C149" s="66"/>
    </row>
    <row r="150" spans="3:3" x14ac:dyDescent="0.25">
      <c r="C150" s="66"/>
    </row>
    <row r="151" spans="3:3" x14ac:dyDescent="0.25">
      <c r="C151" s="66"/>
    </row>
    <row r="152" spans="3:3" x14ac:dyDescent="0.25">
      <c r="C152" s="66"/>
    </row>
    <row r="153" spans="3:3" x14ac:dyDescent="0.25">
      <c r="C153" s="66"/>
    </row>
    <row r="154" spans="3:3" x14ac:dyDescent="0.25">
      <c r="C154" s="66"/>
    </row>
    <row r="155" spans="3:3" x14ac:dyDescent="0.25">
      <c r="C155" s="66"/>
    </row>
    <row r="156" spans="3:3" x14ac:dyDescent="0.25">
      <c r="C156" s="66"/>
    </row>
    <row r="157" spans="3:3" x14ac:dyDescent="0.25">
      <c r="C157" s="66"/>
    </row>
    <row r="158" spans="3:3" x14ac:dyDescent="0.25">
      <c r="C158" s="66"/>
    </row>
    <row r="159" spans="3:3" x14ac:dyDescent="0.25">
      <c r="C159" s="66"/>
    </row>
    <row r="160" spans="3:3" x14ac:dyDescent="0.25">
      <c r="C160" s="66"/>
    </row>
    <row r="161" spans="3:3" x14ac:dyDescent="0.25">
      <c r="C161" s="66"/>
    </row>
    <row r="162" spans="3:3" x14ac:dyDescent="0.25">
      <c r="C162" s="66"/>
    </row>
    <row r="163" spans="3:3" x14ac:dyDescent="0.25">
      <c r="C163" s="66"/>
    </row>
    <row r="164" spans="3:3" x14ac:dyDescent="0.25">
      <c r="C164" s="66"/>
    </row>
    <row r="165" spans="3:3" x14ac:dyDescent="0.25">
      <c r="C165" s="66"/>
    </row>
    <row r="166" spans="3:3" x14ac:dyDescent="0.25">
      <c r="C166" s="66"/>
    </row>
    <row r="167" spans="3:3" x14ac:dyDescent="0.25">
      <c r="C167" s="66"/>
    </row>
    <row r="168" spans="3:3" x14ac:dyDescent="0.25">
      <c r="C168" s="66"/>
    </row>
    <row r="169" spans="3:3" x14ac:dyDescent="0.25">
      <c r="C169" s="66"/>
    </row>
    <row r="170" spans="3:3" x14ac:dyDescent="0.25">
      <c r="C170" s="66"/>
    </row>
    <row r="171" spans="3:3" x14ac:dyDescent="0.25">
      <c r="C171" s="66"/>
    </row>
    <row r="172" spans="3:3" x14ac:dyDescent="0.25">
      <c r="C172" s="66"/>
    </row>
    <row r="173" spans="3:3" x14ac:dyDescent="0.25">
      <c r="C173" s="66"/>
    </row>
    <row r="174" spans="3:3" x14ac:dyDescent="0.25">
      <c r="C174" s="66"/>
    </row>
    <row r="175" spans="3:3" x14ac:dyDescent="0.25">
      <c r="C175" s="66"/>
    </row>
    <row r="176" spans="3:3" x14ac:dyDescent="0.25">
      <c r="C176" s="66"/>
    </row>
    <row r="177" spans="3:3" x14ac:dyDescent="0.25">
      <c r="C177" s="66"/>
    </row>
    <row r="178" spans="3:3" x14ac:dyDescent="0.25">
      <c r="C178" s="66"/>
    </row>
    <row r="179" spans="3:3" x14ac:dyDescent="0.25">
      <c r="C179" s="66"/>
    </row>
    <row r="180" spans="3:3" x14ac:dyDescent="0.25">
      <c r="C180" s="66"/>
    </row>
    <row r="181" spans="3:3" x14ac:dyDescent="0.25">
      <c r="C181" s="66"/>
    </row>
    <row r="182" spans="3:3" x14ac:dyDescent="0.25">
      <c r="C182" s="66"/>
    </row>
    <row r="183" spans="3:3" x14ac:dyDescent="0.25">
      <c r="C183" s="66"/>
    </row>
    <row r="184" spans="3:3" x14ac:dyDescent="0.25">
      <c r="C184" s="66"/>
    </row>
    <row r="185" spans="3:3" x14ac:dyDescent="0.25">
      <c r="C185" s="66"/>
    </row>
    <row r="186" spans="3:3" x14ac:dyDescent="0.25">
      <c r="C186" s="66"/>
    </row>
    <row r="187" spans="3:3" x14ac:dyDescent="0.25">
      <c r="C187" s="66"/>
    </row>
    <row r="188" spans="3:3" x14ac:dyDescent="0.25">
      <c r="C188" s="66"/>
    </row>
    <row r="189" spans="3:3" x14ac:dyDescent="0.25">
      <c r="C189" s="66"/>
    </row>
    <row r="190" spans="3:3" x14ac:dyDescent="0.25">
      <c r="C190" s="66"/>
    </row>
    <row r="191" spans="3:3" x14ac:dyDescent="0.25">
      <c r="C191" s="66"/>
    </row>
    <row r="192" spans="3:3" x14ac:dyDescent="0.25">
      <c r="C192" s="66"/>
    </row>
    <row r="193" spans="3:3" x14ac:dyDescent="0.25">
      <c r="C193" s="66"/>
    </row>
    <row r="194" spans="3:3" x14ac:dyDescent="0.25">
      <c r="C194" s="66"/>
    </row>
    <row r="195" spans="3:3" x14ac:dyDescent="0.25">
      <c r="C195" s="66"/>
    </row>
    <row r="196" spans="3:3" x14ac:dyDescent="0.25">
      <c r="C196" s="66"/>
    </row>
    <row r="197" spans="3:3" x14ac:dyDescent="0.25">
      <c r="C197" s="66"/>
    </row>
    <row r="198" spans="3:3" x14ac:dyDescent="0.25">
      <c r="C198" s="66"/>
    </row>
    <row r="199" spans="3:3" x14ac:dyDescent="0.25">
      <c r="C199" s="66"/>
    </row>
    <row r="200" spans="3:3" x14ac:dyDescent="0.25">
      <c r="C200" s="66"/>
    </row>
    <row r="201" spans="3:3" x14ac:dyDescent="0.25">
      <c r="C201" s="66"/>
    </row>
    <row r="202" spans="3:3" x14ac:dyDescent="0.25">
      <c r="C202" s="66"/>
    </row>
    <row r="203" spans="3:3" x14ac:dyDescent="0.25">
      <c r="C203" s="66"/>
    </row>
    <row r="204" spans="3:3" x14ac:dyDescent="0.25">
      <c r="C204" s="66"/>
    </row>
    <row r="205" spans="3:3" x14ac:dyDescent="0.25">
      <c r="C205" s="66"/>
    </row>
    <row r="206" spans="3:3" x14ac:dyDescent="0.25">
      <c r="C206" s="66"/>
    </row>
    <row r="207" spans="3:3" x14ac:dyDescent="0.25">
      <c r="C207" s="66"/>
    </row>
    <row r="208" spans="3:3" x14ac:dyDescent="0.25">
      <c r="C208" s="66"/>
    </row>
    <row r="209" spans="3:3" x14ac:dyDescent="0.25">
      <c r="C209" s="66"/>
    </row>
    <row r="210" spans="3:3" x14ac:dyDescent="0.25">
      <c r="C210" s="66"/>
    </row>
    <row r="211" spans="3:3" x14ac:dyDescent="0.25">
      <c r="C211" s="66"/>
    </row>
    <row r="212" spans="3:3" x14ac:dyDescent="0.25">
      <c r="C212" s="66"/>
    </row>
    <row r="213" spans="3:3" x14ac:dyDescent="0.25">
      <c r="C213" s="66"/>
    </row>
    <row r="214" spans="3:3" x14ac:dyDescent="0.25">
      <c r="C214" s="66"/>
    </row>
    <row r="215" spans="3:3" x14ac:dyDescent="0.25">
      <c r="C215" s="66"/>
    </row>
    <row r="216" spans="3:3" x14ac:dyDescent="0.25">
      <c r="C216" s="66"/>
    </row>
    <row r="217" spans="3:3" x14ac:dyDescent="0.25">
      <c r="C217" s="66"/>
    </row>
    <row r="218" spans="3:3" x14ac:dyDescent="0.25">
      <c r="C218" s="66"/>
    </row>
    <row r="219" spans="3:3" x14ac:dyDescent="0.25">
      <c r="C219" s="66"/>
    </row>
    <row r="220" spans="3:3" x14ac:dyDescent="0.25">
      <c r="C220" s="66"/>
    </row>
    <row r="221" spans="3:3" x14ac:dyDescent="0.25">
      <c r="C221" s="66"/>
    </row>
    <row r="222" spans="3:3" x14ac:dyDescent="0.25">
      <c r="C222" s="66"/>
    </row>
    <row r="223" spans="3:3" x14ac:dyDescent="0.25">
      <c r="C223" s="66"/>
    </row>
    <row r="224" spans="3:3" x14ac:dyDescent="0.25">
      <c r="C224" s="66"/>
    </row>
    <row r="225" spans="3:3" x14ac:dyDescent="0.25">
      <c r="C225" s="66"/>
    </row>
    <row r="226" spans="3:3" x14ac:dyDescent="0.25">
      <c r="C226" s="66"/>
    </row>
    <row r="227" spans="3:3" x14ac:dyDescent="0.25">
      <c r="C227" s="66"/>
    </row>
    <row r="228" spans="3:3" x14ac:dyDescent="0.25">
      <c r="C228" s="66"/>
    </row>
    <row r="229" spans="3:3" x14ac:dyDescent="0.25">
      <c r="C229" s="66"/>
    </row>
    <row r="230" spans="3:3" x14ac:dyDescent="0.25">
      <c r="C230" s="66"/>
    </row>
    <row r="231" spans="3:3" x14ac:dyDescent="0.25">
      <c r="C231" s="66"/>
    </row>
    <row r="232" spans="3:3" x14ac:dyDescent="0.25">
      <c r="C232" s="66"/>
    </row>
    <row r="233" spans="3:3" x14ac:dyDescent="0.25">
      <c r="C233" s="66"/>
    </row>
    <row r="234" spans="3:3" x14ac:dyDescent="0.25">
      <c r="C234" s="66"/>
    </row>
    <row r="235" spans="3:3" x14ac:dyDescent="0.25">
      <c r="C235" s="66"/>
    </row>
    <row r="236" spans="3:3" x14ac:dyDescent="0.25">
      <c r="C236" s="66"/>
    </row>
    <row r="237" spans="3:3" x14ac:dyDescent="0.25">
      <c r="C237" s="66"/>
    </row>
    <row r="238" spans="3:3" x14ac:dyDescent="0.25">
      <c r="C238" s="66"/>
    </row>
    <row r="239" spans="3:3" x14ac:dyDescent="0.25">
      <c r="C239" s="66"/>
    </row>
    <row r="240" spans="3:3" x14ac:dyDescent="0.25">
      <c r="C240" s="66"/>
    </row>
    <row r="241" spans="3:3" x14ac:dyDescent="0.25">
      <c r="C241" s="66"/>
    </row>
    <row r="242" spans="3:3" x14ac:dyDescent="0.25">
      <c r="C242" s="66"/>
    </row>
    <row r="243" spans="3:3" x14ac:dyDescent="0.25">
      <c r="C243" s="66"/>
    </row>
    <row r="244" spans="3:3" x14ac:dyDescent="0.25">
      <c r="C244" s="66"/>
    </row>
    <row r="245" spans="3:3" x14ac:dyDescent="0.25">
      <c r="C245" s="66"/>
    </row>
    <row r="246" spans="3:3" x14ac:dyDescent="0.25">
      <c r="C246" s="66"/>
    </row>
    <row r="247" spans="3:3" x14ac:dyDescent="0.25">
      <c r="C247" s="66"/>
    </row>
    <row r="248" spans="3:3" x14ac:dyDescent="0.25">
      <c r="C248" s="66"/>
    </row>
    <row r="249" spans="3:3" x14ac:dyDescent="0.25">
      <c r="C249" s="66"/>
    </row>
    <row r="250" spans="3:3" x14ac:dyDescent="0.25">
      <c r="C250" s="66"/>
    </row>
    <row r="251" spans="3:3" x14ac:dyDescent="0.25">
      <c r="C251" s="66"/>
    </row>
    <row r="252" spans="3:3" x14ac:dyDescent="0.25">
      <c r="C252" s="66"/>
    </row>
    <row r="253" spans="3:3" x14ac:dyDescent="0.25">
      <c r="C253" s="66"/>
    </row>
    <row r="254" spans="3:3" x14ac:dyDescent="0.25">
      <c r="C254" s="66"/>
    </row>
    <row r="255" spans="3:3" x14ac:dyDescent="0.25">
      <c r="C255" s="66"/>
    </row>
    <row r="256" spans="3:3" x14ac:dyDescent="0.25">
      <c r="C256" s="66"/>
    </row>
    <row r="257" spans="3:3" x14ac:dyDescent="0.25">
      <c r="C257" s="66"/>
    </row>
    <row r="258" spans="3:3" x14ac:dyDescent="0.25">
      <c r="C258" s="66"/>
    </row>
    <row r="259" spans="3:3" x14ac:dyDescent="0.25">
      <c r="C259" s="66"/>
    </row>
    <row r="260" spans="3:3" x14ac:dyDescent="0.25">
      <c r="C260" s="66"/>
    </row>
    <row r="261" spans="3:3" x14ac:dyDescent="0.25">
      <c r="C261" s="66"/>
    </row>
    <row r="262" spans="3:3" x14ac:dyDescent="0.25">
      <c r="C262" s="66"/>
    </row>
    <row r="263" spans="3:3" x14ac:dyDescent="0.25">
      <c r="C263" s="66"/>
    </row>
    <row r="264" spans="3:3" x14ac:dyDescent="0.25">
      <c r="C264" s="66"/>
    </row>
    <row r="265" spans="3:3" x14ac:dyDescent="0.25">
      <c r="C265" s="66"/>
    </row>
    <row r="266" spans="3:3" x14ac:dyDescent="0.25">
      <c r="C266" s="66"/>
    </row>
    <row r="267" spans="3:3" x14ac:dyDescent="0.25">
      <c r="C267" s="66"/>
    </row>
    <row r="268" spans="3:3" x14ac:dyDescent="0.25">
      <c r="C268" s="66"/>
    </row>
    <row r="269" spans="3:3" x14ac:dyDescent="0.25">
      <c r="C269" s="66"/>
    </row>
    <row r="270" spans="3:3" x14ac:dyDescent="0.25">
      <c r="C270" s="66"/>
    </row>
    <row r="271" spans="3:3" x14ac:dyDescent="0.25">
      <c r="C271" s="66"/>
    </row>
    <row r="272" spans="3:3" x14ac:dyDescent="0.25">
      <c r="C272" s="66"/>
    </row>
    <row r="273" spans="3:3" x14ac:dyDescent="0.25">
      <c r="C273" s="66"/>
    </row>
    <row r="274" spans="3:3" x14ac:dyDescent="0.25">
      <c r="C274" s="66"/>
    </row>
    <row r="275" spans="3:3" x14ac:dyDescent="0.25">
      <c r="C275" s="66"/>
    </row>
    <row r="276" spans="3:3" x14ac:dyDescent="0.25">
      <c r="C276" s="66"/>
    </row>
    <row r="277" spans="3:3" x14ac:dyDescent="0.25">
      <c r="C277" s="66"/>
    </row>
    <row r="278" spans="3:3" x14ac:dyDescent="0.25">
      <c r="C278" s="66"/>
    </row>
    <row r="279" spans="3:3" x14ac:dyDescent="0.25">
      <c r="C279" s="66"/>
    </row>
    <row r="280" spans="3:3" x14ac:dyDescent="0.25">
      <c r="C280" s="66"/>
    </row>
    <row r="281" spans="3:3" x14ac:dyDescent="0.25">
      <c r="C281" s="66"/>
    </row>
    <row r="282" spans="3:3" x14ac:dyDescent="0.25">
      <c r="C282" s="66"/>
    </row>
    <row r="283" spans="3:3" x14ac:dyDescent="0.25">
      <c r="C283" s="66"/>
    </row>
    <row r="284" spans="3:3" x14ac:dyDescent="0.25">
      <c r="C284" s="66"/>
    </row>
    <row r="285" spans="3:3" x14ac:dyDescent="0.25">
      <c r="C285" s="66"/>
    </row>
    <row r="286" spans="3:3" x14ac:dyDescent="0.25">
      <c r="C286" s="66"/>
    </row>
    <row r="287" spans="3:3" x14ac:dyDescent="0.25">
      <c r="C287" s="66"/>
    </row>
    <row r="288" spans="3:3" x14ac:dyDescent="0.25">
      <c r="C288" s="66"/>
    </row>
    <row r="289" spans="3:3" x14ac:dyDescent="0.25">
      <c r="C289" s="66"/>
    </row>
    <row r="290" spans="3:3" x14ac:dyDescent="0.25">
      <c r="C290" s="66"/>
    </row>
    <row r="291" spans="3:3" x14ac:dyDescent="0.25">
      <c r="C291" s="66"/>
    </row>
    <row r="292" spans="3:3" x14ac:dyDescent="0.25">
      <c r="C292" s="66"/>
    </row>
    <row r="293" spans="3:3" x14ac:dyDescent="0.25">
      <c r="C293" s="66"/>
    </row>
    <row r="294" spans="3:3" x14ac:dyDescent="0.25">
      <c r="C294" s="66"/>
    </row>
    <row r="295" spans="3:3" x14ac:dyDescent="0.25">
      <c r="C295" s="66"/>
    </row>
    <row r="296" spans="3:3" x14ac:dyDescent="0.25">
      <c r="C296" s="66"/>
    </row>
    <row r="297" spans="3:3" x14ac:dyDescent="0.25">
      <c r="C297" s="66"/>
    </row>
    <row r="298" spans="3:3" x14ac:dyDescent="0.25">
      <c r="C298" s="66"/>
    </row>
    <row r="299" spans="3:3" x14ac:dyDescent="0.25">
      <c r="C299" s="66"/>
    </row>
    <row r="300" spans="3:3" x14ac:dyDescent="0.25">
      <c r="C300" s="66"/>
    </row>
    <row r="301" spans="3:3" x14ac:dyDescent="0.25">
      <c r="C301" s="66"/>
    </row>
    <row r="302" spans="3:3" x14ac:dyDescent="0.25">
      <c r="C302" s="66"/>
    </row>
    <row r="303" spans="3:3" x14ac:dyDescent="0.25">
      <c r="C303" s="66"/>
    </row>
    <row r="304" spans="3:3" x14ac:dyDescent="0.25">
      <c r="C304" s="66"/>
    </row>
    <row r="305" spans="3:3" x14ac:dyDescent="0.25">
      <c r="C305" s="66"/>
    </row>
    <row r="306" spans="3:3" x14ac:dyDescent="0.25">
      <c r="C306" s="66"/>
    </row>
    <row r="307" spans="3:3" x14ac:dyDescent="0.25">
      <c r="C307" s="66"/>
    </row>
    <row r="308" spans="3:3" x14ac:dyDescent="0.25">
      <c r="C308" s="66"/>
    </row>
    <row r="309" spans="3:3" x14ac:dyDescent="0.25">
      <c r="C309" s="66"/>
    </row>
    <row r="310" spans="3:3" x14ac:dyDescent="0.25">
      <c r="C310" s="66"/>
    </row>
    <row r="311" spans="3:3" x14ac:dyDescent="0.25">
      <c r="C311" s="66"/>
    </row>
    <row r="312" spans="3:3" x14ac:dyDescent="0.25">
      <c r="C312" s="66"/>
    </row>
    <row r="313" spans="3:3" x14ac:dyDescent="0.25">
      <c r="C313" s="66"/>
    </row>
    <row r="314" spans="3:3" x14ac:dyDescent="0.25">
      <c r="C314" s="66"/>
    </row>
    <row r="315" spans="3:3" x14ac:dyDescent="0.25">
      <c r="C315" s="66"/>
    </row>
    <row r="316" spans="3:3" x14ac:dyDescent="0.25">
      <c r="C316" s="66"/>
    </row>
    <row r="317" spans="3:3" x14ac:dyDescent="0.25">
      <c r="C317" s="66"/>
    </row>
    <row r="318" spans="3:3" x14ac:dyDescent="0.25">
      <c r="C318" s="66"/>
    </row>
    <row r="319" spans="3:3" x14ac:dyDescent="0.25">
      <c r="C319" s="66"/>
    </row>
    <row r="320" spans="3:3" x14ac:dyDescent="0.25">
      <c r="C320" s="66"/>
    </row>
    <row r="321" spans="3:3" x14ac:dyDescent="0.25">
      <c r="C321" s="66"/>
    </row>
    <row r="322" spans="3:3" x14ac:dyDescent="0.25">
      <c r="C322" s="66"/>
    </row>
    <row r="323" spans="3:3" x14ac:dyDescent="0.25">
      <c r="C323" s="66"/>
    </row>
    <row r="324" spans="3:3" x14ac:dyDescent="0.25">
      <c r="C324" s="66"/>
    </row>
    <row r="325" spans="3:3" x14ac:dyDescent="0.25">
      <c r="C325" s="66"/>
    </row>
    <row r="326" spans="3:3" x14ac:dyDescent="0.25">
      <c r="C326" s="66"/>
    </row>
    <row r="327" spans="3:3" x14ac:dyDescent="0.25">
      <c r="C327" s="66"/>
    </row>
    <row r="328" spans="3:3" x14ac:dyDescent="0.25">
      <c r="C328" s="66"/>
    </row>
    <row r="329" spans="3:3" x14ac:dyDescent="0.25">
      <c r="C329" s="66"/>
    </row>
    <row r="330" spans="3:3" x14ac:dyDescent="0.25">
      <c r="C330" s="66"/>
    </row>
    <row r="331" spans="3:3" x14ac:dyDescent="0.25">
      <c r="C331" s="66"/>
    </row>
    <row r="332" spans="3:3" x14ac:dyDescent="0.25">
      <c r="C332" s="66"/>
    </row>
    <row r="333" spans="3:3" x14ac:dyDescent="0.25">
      <c r="C333" s="66"/>
    </row>
    <row r="334" spans="3:3" x14ac:dyDescent="0.25">
      <c r="C334" s="66"/>
    </row>
    <row r="335" spans="3:3" x14ac:dyDescent="0.25">
      <c r="C335" s="66"/>
    </row>
    <row r="336" spans="3:3" x14ac:dyDescent="0.25">
      <c r="C336" s="66"/>
    </row>
    <row r="337" spans="3:3" x14ac:dyDescent="0.25">
      <c r="C337" s="66"/>
    </row>
    <row r="338" spans="3:3" x14ac:dyDescent="0.25">
      <c r="C338" s="66"/>
    </row>
    <row r="339" spans="3:3" x14ac:dyDescent="0.25">
      <c r="C339" s="66"/>
    </row>
    <row r="340" spans="3:3" x14ac:dyDescent="0.25">
      <c r="C340" s="66"/>
    </row>
    <row r="341" spans="3:3" x14ac:dyDescent="0.25">
      <c r="C341" s="66"/>
    </row>
    <row r="342" spans="3:3" x14ac:dyDescent="0.25">
      <c r="C342" s="66"/>
    </row>
    <row r="343" spans="3:3" x14ac:dyDescent="0.25">
      <c r="C343" s="66"/>
    </row>
    <row r="344" spans="3:3" x14ac:dyDescent="0.25">
      <c r="C344" s="66"/>
    </row>
    <row r="345" spans="3:3" x14ac:dyDescent="0.25">
      <c r="C345" s="66"/>
    </row>
    <row r="346" spans="3:3" x14ac:dyDescent="0.25">
      <c r="C346" s="66"/>
    </row>
    <row r="347" spans="3:3" x14ac:dyDescent="0.25">
      <c r="C347" s="66"/>
    </row>
    <row r="348" spans="3:3" x14ac:dyDescent="0.25">
      <c r="C348" s="66"/>
    </row>
    <row r="349" spans="3:3" x14ac:dyDescent="0.25">
      <c r="C349" s="66"/>
    </row>
    <row r="350" spans="3:3" x14ac:dyDescent="0.25">
      <c r="C350" s="66"/>
    </row>
    <row r="351" spans="3:3" x14ac:dyDescent="0.25">
      <c r="C351" s="66"/>
    </row>
    <row r="352" spans="3:3" x14ac:dyDescent="0.25">
      <c r="C352" s="66"/>
    </row>
    <row r="353" spans="3:3" x14ac:dyDescent="0.25">
      <c r="C353" s="66"/>
    </row>
    <row r="354" spans="3:3" x14ac:dyDescent="0.25">
      <c r="C354" s="66"/>
    </row>
    <row r="355" spans="3:3" x14ac:dyDescent="0.25">
      <c r="C355" s="66"/>
    </row>
    <row r="356" spans="3:3" x14ac:dyDescent="0.25">
      <c r="C356" s="66"/>
    </row>
    <row r="357" spans="3:3" x14ac:dyDescent="0.25">
      <c r="C357" s="66"/>
    </row>
    <row r="358" spans="3:3" x14ac:dyDescent="0.25">
      <c r="C358" s="66"/>
    </row>
    <row r="359" spans="3:3" x14ac:dyDescent="0.25">
      <c r="C359" s="66"/>
    </row>
    <row r="360" spans="3:3" x14ac:dyDescent="0.25">
      <c r="C360" s="66"/>
    </row>
    <row r="361" spans="3:3" x14ac:dyDescent="0.25">
      <c r="C361" s="66"/>
    </row>
    <row r="362" spans="3:3" x14ac:dyDescent="0.25">
      <c r="C362" s="66"/>
    </row>
    <row r="363" spans="3:3" x14ac:dyDescent="0.25">
      <c r="C363" s="66"/>
    </row>
    <row r="364" spans="3:3" x14ac:dyDescent="0.25">
      <c r="C364" s="66"/>
    </row>
    <row r="365" spans="3:3" x14ac:dyDescent="0.25">
      <c r="C365" s="66"/>
    </row>
    <row r="366" spans="3:3" x14ac:dyDescent="0.25">
      <c r="C366" s="66"/>
    </row>
    <row r="367" spans="3:3" x14ac:dyDescent="0.25">
      <c r="C367" s="66"/>
    </row>
    <row r="368" spans="3:3" x14ac:dyDescent="0.25">
      <c r="C368" s="66"/>
    </row>
    <row r="369" spans="3:3" x14ac:dyDescent="0.25">
      <c r="C369" s="66"/>
    </row>
    <row r="370" spans="3:3" x14ac:dyDescent="0.25">
      <c r="C370" s="66"/>
    </row>
    <row r="371" spans="3:3" x14ac:dyDescent="0.25">
      <c r="C371" s="66"/>
    </row>
    <row r="372" spans="3:3" x14ac:dyDescent="0.25">
      <c r="C372" s="66"/>
    </row>
    <row r="373" spans="3:3" x14ac:dyDescent="0.25">
      <c r="C373" s="66"/>
    </row>
    <row r="374" spans="3:3" x14ac:dyDescent="0.25">
      <c r="C374" s="66"/>
    </row>
    <row r="375" spans="3:3" x14ac:dyDescent="0.25">
      <c r="C375" s="66"/>
    </row>
    <row r="376" spans="3:3" x14ac:dyDescent="0.25">
      <c r="C376" s="66"/>
    </row>
    <row r="377" spans="3:3" x14ac:dyDescent="0.25">
      <c r="C377" s="66"/>
    </row>
    <row r="378" spans="3:3" x14ac:dyDescent="0.25">
      <c r="C378" s="66"/>
    </row>
    <row r="379" spans="3:3" x14ac:dyDescent="0.25">
      <c r="C379" s="66"/>
    </row>
    <row r="380" spans="3:3" x14ac:dyDescent="0.25">
      <c r="C380" s="66"/>
    </row>
    <row r="381" spans="3:3" x14ac:dyDescent="0.25">
      <c r="C381" s="66"/>
    </row>
    <row r="382" spans="3:3" x14ac:dyDescent="0.25">
      <c r="C382" s="66"/>
    </row>
    <row r="383" spans="3:3" x14ac:dyDescent="0.25">
      <c r="C383" s="66"/>
    </row>
    <row r="384" spans="3:3" x14ac:dyDescent="0.25">
      <c r="C384" s="66"/>
    </row>
    <row r="385" spans="3:3" x14ac:dyDescent="0.25">
      <c r="C385" s="66"/>
    </row>
    <row r="386" spans="3:3" x14ac:dyDescent="0.25">
      <c r="C386" s="66"/>
    </row>
    <row r="387" spans="3:3" x14ac:dyDescent="0.25">
      <c r="C387" s="66"/>
    </row>
    <row r="388" spans="3:3" x14ac:dyDescent="0.25">
      <c r="C388" s="66"/>
    </row>
    <row r="389" spans="3:3" x14ac:dyDescent="0.25">
      <c r="C389" s="66"/>
    </row>
    <row r="390" spans="3:3" x14ac:dyDescent="0.25">
      <c r="C390" s="66"/>
    </row>
    <row r="391" spans="3:3" x14ac:dyDescent="0.25">
      <c r="C391" s="66"/>
    </row>
    <row r="392" spans="3:3" x14ac:dyDescent="0.25">
      <c r="C392" s="66"/>
    </row>
    <row r="393" spans="3:3" x14ac:dyDescent="0.25">
      <c r="C393" s="66"/>
    </row>
    <row r="394" spans="3:3" x14ac:dyDescent="0.25">
      <c r="C394" s="66"/>
    </row>
    <row r="395" spans="3:3" x14ac:dyDescent="0.25">
      <c r="C395" s="66"/>
    </row>
    <row r="396" spans="3:3" x14ac:dyDescent="0.25">
      <c r="C396" s="66"/>
    </row>
    <row r="397" spans="3:3" x14ac:dyDescent="0.25">
      <c r="C397" s="66"/>
    </row>
    <row r="398" spans="3:3" x14ac:dyDescent="0.25">
      <c r="C398" s="66"/>
    </row>
    <row r="399" spans="3:3" x14ac:dyDescent="0.25">
      <c r="C399" s="66"/>
    </row>
    <row r="400" spans="3:3" x14ac:dyDescent="0.25">
      <c r="C400" s="66"/>
    </row>
    <row r="401" spans="3:3" x14ac:dyDescent="0.25">
      <c r="C401" s="66"/>
    </row>
    <row r="402" spans="3:3" x14ac:dyDescent="0.25">
      <c r="C402" s="66"/>
    </row>
    <row r="403" spans="3:3" x14ac:dyDescent="0.25">
      <c r="C403" s="66"/>
    </row>
    <row r="404" spans="3:3" x14ac:dyDescent="0.25">
      <c r="C404" s="66"/>
    </row>
    <row r="405" spans="3:3" x14ac:dyDescent="0.25">
      <c r="C405" s="66"/>
    </row>
    <row r="406" spans="3:3" x14ac:dyDescent="0.25">
      <c r="C406" s="66"/>
    </row>
    <row r="407" spans="3:3" x14ac:dyDescent="0.25">
      <c r="C407" s="66"/>
    </row>
    <row r="408" spans="3:3" x14ac:dyDescent="0.25">
      <c r="C408" s="66"/>
    </row>
    <row r="409" spans="3:3" x14ac:dyDescent="0.25">
      <c r="C409" s="66"/>
    </row>
    <row r="410" spans="3:3" x14ac:dyDescent="0.25">
      <c r="C410" s="66"/>
    </row>
    <row r="411" spans="3:3" x14ac:dyDescent="0.25">
      <c r="C411" s="66"/>
    </row>
    <row r="412" spans="3:3" x14ac:dyDescent="0.25">
      <c r="C412" s="66"/>
    </row>
    <row r="413" spans="3:3" x14ac:dyDescent="0.25">
      <c r="C413" s="66"/>
    </row>
    <row r="414" spans="3:3" x14ac:dyDescent="0.25">
      <c r="C414" s="66"/>
    </row>
    <row r="415" spans="3:3" x14ac:dyDescent="0.25">
      <c r="C415" s="66"/>
    </row>
    <row r="416" spans="3:3" x14ac:dyDescent="0.25">
      <c r="C416" s="66"/>
    </row>
    <row r="417" spans="3:3" x14ac:dyDescent="0.25">
      <c r="C417" s="66"/>
    </row>
    <row r="418" spans="3:3" x14ac:dyDescent="0.25">
      <c r="C418" s="66"/>
    </row>
    <row r="419" spans="3:3" x14ac:dyDescent="0.25">
      <c r="C419" s="66"/>
    </row>
    <row r="420" spans="3:3" x14ac:dyDescent="0.25">
      <c r="C420" s="66"/>
    </row>
    <row r="421" spans="3:3" x14ac:dyDescent="0.25">
      <c r="C421" s="66"/>
    </row>
    <row r="422" spans="3:3" x14ac:dyDescent="0.25">
      <c r="C422" s="66"/>
    </row>
    <row r="423" spans="3:3" x14ac:dyDescent="0.25">
      <c r="C423" s="66"/>
    </row>
    <row r="424" spans="3:3" x14ac:dyDescent="0.25">
      <c r="C424" s="66"/>
    </row>
    <row r="425" spans="3:3" x14ac:dyDescent="0.25">
      <c r="C425" s="66"/>
    </row>
    <row r="426" spans="3:3" x14ac:dyDescent="0.25">
      <c r="C426" s="66"/>
    </row>
    <row r="427" spans="3:3" x14ac:dyDescent="0.25">
      <c r="C427" s="66"/>
    </row>
    <row r="428" spans="3:3" x14ac:dyDescent="0.25">
      <c r="C428" s="66"/>
    </row>
    <row r="429" spans="3:3" x14ac:dyDescent="0.25">
      <c r="C429" s="66"/>
    </row>
    <row r="430" spans="3:3" x14ac:dyDescent="0.25">
      <c r="C430" s="66"/>
    </row>
    <row r="431" spans="3:3" x14ac:dyDescent="0.25">
      <c r="C431" s="66"/>
    </row>
    <row r="432" spans="3:3" x14ac:dyDescent="0.25">
      <c r="C432" s="66"/>
    </row>
    <row r="433" spans="3:3" x14ac:dyDescent="0.25">
      <c r="C433" s="66"/>
    </row>
    <row r="434" spans="3:3" x14ac:dyDescent="0.25">
      <c r="C434" s="66"/>
    </row>
    <row r="435" spans="3:3" x14ac:dyDescent="0.25">
      <c r="C435" s="66"/>
    </row>
    <row r="436" spans="3:3" x14ac:dyDescent="0.25">
      <c r="C436" s="66"/>
    </row>
    <row r="437" spans="3:3" x14ac:dyDescent="0.25">
      <c r="C437" s="66"/>
    </row>
    <row r="438" spans="3:3" x14ac:dyDescent="0.25">
      <c r="C438" s="66"/>
    </row>
    <row r="439" spans="3:3" x14ac:dyDescent="0.25">
      <c r="C439" s="66"/>
    </row>
    <row r="440" spans="3:3" x14ac:dyDescent="0.25">
      <c r="C440" s="66"/>
    </row>
    <row r="441" spans="3:3" x14ac:dyDescent="0.25">
      <c r="C441" s="66"/>
    </row>
    <row r="442" spans="3:3" x14ac:dyDescent="0.25">
      <c r="C442" s="66"/>
    </row>
    <row r="443" spans="3:3" x14ac:dyDescent="0.25">
      <c r="C443" s="66"/>
    </row>
    <row r="444" spans="3:3" x14ac:dyDescent="0.25">
      <c r="C444" s="66"/>
    </row>
    <row r="445" spans="3:3" x14ac:dyDescent="0.25">
      <c r="C445" s="66"/>
    </row>
    <row r="446" spans="3:3" x14ac:dyDescent="0.25">
      <c r="C446" s="66"/>
    </row>
    <row r="447" spans="3:3" x14ac:dyDescent="0.25">
      <c r="C447" s="66"/>
    </row>
    <row r="448" spans="3:3" x14ac:dyDescent="0.25">
      <c r="C448" s="66"/>
    </row>
    <row r="449" spans="3:3" x14ac:dyDescent="0.25">
      <c r="C449" s="66"/>
    </row>
    <row r="450" spans="3:3" x14ac:dyDescent="0.25">
      <c r="C450" s="66"/>
    </row>
    <row r="451" spans="3:3" x14ac:dyDescent="0.25">
      <c r="C451" s="66"/>
    </row>
    <row r="452" spans="3:3" x14ac:dyDescent="0.25">
      <c r="C452" s="66"/>
    </row>
    <row r="453" spans="3:3" x14ac:dyDescent="0.25">
      <c r="C453" s="66"/>
    </row>
    <row r="454" spans="3:3" x14ac:dyDescent="0.25">
      <c r="C454" s="66"/>
    </row>
    <row r="455" spans="3:3" x14ac:dyDescent="0.25">
      <c r="C455" s="66"/>
    </row>
    <row r="456" spans="3:3" x14ac:dyDescent="0.25">
      <c r="C456" s="66"/>
    </row>
    <row r="457" spans="3:3" x14ac:dyDescent="0.25">
      <c r="C457" s="66"/>
    </row>
    <row r="458" spans="3:3" x14ac:dyDescent="0.25">
      <c r="C458" s="66"/>
    </row>
    <row r="459" spans="3:3" x14ac:dyDescent="0.25">
      <c r="C459" s="66"/>
    </row>
    <row r="460" spans="3:3" x14ac:dyDescent="0.25">
      <c r="C460" s="66"/>
    </row>
    <row r="461" spans="3:3" x14ac:dyDescent="0.25">
      <c r="C461" s="66"/>
    </row>
    <row r="462" spans="3:3" x14ac:dyDescent="0.25">
      <c r="C462" s="66"/>
    </row>
    <row r="463" spans="3:3" x14ac:dyDescent="0.25">
      <c r="C463" s="66"/>
    </row>
    <row r="464" spans="3:3" x14ac:dyDescent="0.25">
      <c r="C464" s="66"/>
    </row>
    <row r="465" spans="3:3" x14ac:dyDescent="0.25">
      <c r="C465" s="66"/>
    </row>
    <row r="466" spans="3:3" x14ac:dyDescent="0.25">
      <c r="C466" s="66"/>
    </row>
    <row r="467" spans="3:3" x14ac:dyDescent="0.25">
      <c r="C467" s="66"/>
    </row>
    <row r="468" spans="3:3" x14ac:dyDescent="0.25">
      <c r="C468" s="66"/>
    </row>
    <row r="469" spans="3:3" x14ac:dyDescent="0.25">
      <c r="C469" s="66"/>
    </row>
    <row r="470" spans="3:3" x14ac:dyDescent="0.25">
      <c r="C470" s="66"/>
    </row>
    <row r="471" spans="3:3" x14ac:dyDescent="0.25">
      <c r="C471" s="66"/>
    </row>
    <row r="472" spans="3:3" x14ac:dyDescent="0.25">
      <c r="C472" s="66"/>
    </row>
    <row r="473" spans="3:3" x14ac:dyDescent="0.25">
      <c r="C473" s="66"/>
    </row>
    <row r="474" spans="3:3" x14ac:dyDescent="0.25">
      <c r="C474" s="66"/>
    </row>
    <row r="475" spans="3:3" x14ac:dyDescent="0.25">
      <c r="C475" s="66"/>
    </row>
    <row r="476" spans="3:3" x14ac:dyDescent="0.25">
      <c r="C476" s="66"/>
    </row>
    <row r="477" spans="3:3" x14ac:dyDescent="0.25">
      <c r="C477" s="66"/>
    </row>
    <row r="478" spans="3:3" x14ac:dyDescent="0.25">
      <c r="C478" s="66"/>
    </row>
    <row r="479" spans="3:3" x14ac:dyDescent="0.25">
      <c r="C479" s="66"/>
    </row>
    <row r="480" spans="3:3" x14ac:dyDescent="0.25">
      <c r="C480" s="66"/>
    </row>
    <row r="481" spans="3:3" x14ac:dyDescent="0.25">
      <c r="C481" s="66"/>
    </row>
    <row r="482" spans="3:3" x14ac:dyDescent="0.25">
      <c r="C482" s="66"/>
    </row>
    <row r="483" spans="3:3" x14ac:dyDescent="0.25">
      <c r="C483" s="66"/>
    </row>
    <row r="484" spans="3:3" x14ac:dyDescent="0.25">
      <c r="C484" s="66"/>
    </row>
    <row r="485" spans="3:3" x14ac:dyDescent="0.25">
      <c r="C485" s="66"/>
    </row>
    <row r="486" spans="3:3" x14ac:dyDescent="0.25">
      <c r="C486" s="66"/>
    </row>
    <row r="487" spans="3:3" x14ac:dyDescent="0.25">
      <c r="C487" s="66"/>
    </row>
    <row r="488" spans="3:3" x14ac:dyDescent="0.25">
      <c r="C488" s="66"/>
    </row>
    <row r="489" spans="3:3" x14ac:dyDescent="0.25">
      <c r="C489" s="66"/>
    </row>
    <row r="490" spans="3:3" x14ac:dyDescent="0.25">
      <c r="C490" s="66"/>
    </row>
    <row r="491" spans="3:3" x14ac:dyDescent="0.25">
      <c r="C491" s="66"/>
    </row>
    <row r="492" spans="3:3" x14ac:dyDescent="0.25">
      <c r="C492" s="66"/>
    </row>
    <row r="493" spans="3:3" x14ac:dyDescent="0.25">
      <c r="C493" s="66"/>
    </row>
    <row r="494" spans="3:3" x14ac:dyDescent="0.25">
      <c r="C494" s="66"/>
    </row>
    <row r="495" spans="3:3" x14ac:dyDescent="0.25">
      <c r="C495" s="66"/>
    </row>
    <row r="496" spans="3:3" x14ac:dyDescent="0.25">
      <c r="C496" s="66"/>
    </row>
    <row r="497" spans="3:3" x14ac:dyDescent="0.25">
      <c r="C497" s="66"/>
    </row>
    <row r="498" spans="3:3" x14ac:dyDescent="0.25">
      <c r="C498" s="66"/>
    </row>
    <row r="499" spans="3:3" x14ac:dyDescent="0.25">
      <c r="C499" s="66"/>
    </row>
    <row r="500" spans="3:3" x14ac:dyDescent="0.25">
      <c r="C500" s="66"/>
    </row>
    <row r="501" spans="3:3" x14ac:dyDescent="0.25">
      <c r="C501" s="66"/>
    </row>
    <row r="502" spans="3:3" x14ac:dyDescent="0.25">
      <c r="C502" s="66"/>
    </row>
    <row r="503" spans="3:3" x14ac:dyDescent="0.25">
      <c r="C503" s="66"/>
    </row>
    <row r="504" spans="3:3" x14ac:dyDescent="0.25">
      <c r="C504" s="66"/>
    </row>
    <row r="505" spans="3:3" x14ac:dyDescent="0.25">
      <c r="C505" s="66"/>
    </row>
    <row r="506" spans="3:3" x14ac:dyDescent="0.25">
      <c r="C506" s="66"/>
    </row>
    <row r="507" spans="3:3" x14ac:dyDescent="0.25">
      <c r="C507" s="66"/>
    </row>
    <row r="508" spans="3:3" x14ac:dyDescent="0.25">
      <c r="C508" s="66"/>
    </row>
    <row r="509" spans="3:3" x14ac:dyDescent="0.25">
      <c r="C509" s="66"/>
    </row>
    <row r="510" spans="3:3" x14ac:dyDescent="0.25">
      <c r="C510" s="66"/>
    </row>
    <row r="511" spans="3:3" x14ac:dyDescent="0.25">
      <c r="C511" s="66"/>
    </row>
    <row r="512" spans="3:3" x14ac:dyDescent="0.25">
      <c r="C512" s="66"/>
    </row>
    <row r="513" spans="3:3" x14ac:dyDescent="0.25">
      <c r="C513" s="66"/>
    </row>
    <row r="514" spans="3:3" x14ac:dyDescent="0.25">
      <c r="C514" s="66"/>
    </row>
    <row r="515" spans="3:3" x14ac:dyDescent="0.25">
      <c r="C515" s="66"/>
    </row>
    <row r="516" spans="3:3" x14ac:dyDescent="0.25">
      <c r="C516" s="66"/>
    </row>
    <row r="517" spans="3:3" x14ac:dyDescent="0.25">
      <c r="C517" s="66"/>
    </row>
    <row r="518" spans="3:3" x14ac:dyDescent="0.25">
      <c r="C518" s="66"/>
    </row>
    <row r="519" spans="3:3" x14ac:dyDescent="0.25">
      <c r="C519" s="66"/>
    </row>
    <row r="520" spans="3:3" x14ac:dyDescent="0.25">
      <c r="C520" s="66"/>
    </row>
    <row r="521" spans="3:3" x14ac:dyDescent="0.25">
      <c r="C521" s="66"/>
    </row>
    <row r="522" spans="3:3" x14ac:dyDescent="0.25">
      <c r="C522" s="66"/>
    </row>
    <row r="523" spans="3:3" x14ac:dyDescent="0.25">
      <c r="C523" s="66"/>
    </row>
    <row r="524" spans="3:3" x14ac:dyDescent="0.25">
      <c r="C524" s="66"/>
    </row>
    <row r="525" spans="3:3" x14ac:dyDescent="0.25">
      <c r="C525" s="66"/>
    </row>
    <row r="526" spans="3:3" x14ac:dyDescent="0.25">
      <c r="C526" s="66"/>
    </row>
    <row r="527" spans="3:3" x14ac:dyDescent="0.25">
      <c r="C527" s="66"/>
    </row>
    <row r="528" spans="3:3" x14ac:dyDescent="0.25">
      <c r="C528" s="66"/>
    </row>
    <row r="529" spans="3:3" x14ac:dyDescent="0.25">
      <c r="C529" s="66"/>
    </row>
    <row r="530" spans="3:3" x14ac:dyDescent="0.25">
      <c r="C530" s="66"/>
    </row>
    <row r="531" spans="3:3" x14ac:dyDescent="0.25">
      <c r="C531" s="66"/>
    </row>
    <row r="532" spans="3:3" x14ac:dyDescent="0.25">
      <c r="C532" s="66"/>
    </row>
    <row r="533" spans="3:3" x14ac:dyDescent="0.25">
      <c r="C533" s="66"/>
    </row>
    <row r="534" spans="3:3" x14ac:dyDescent="0.25">
      <c r="C534" s="66"/>
    </row>
    <row r="535" spans="3:3" x14ac:dyDescent="0.25">
      <c r="C535" s="66"/>
    </row>
    <row r="536" spans="3:3" x14ac:dyDescent="0.25">
      <c r="C536" s="66"/>
    </row>
    <row r="537" spans="3:3" x14ac:dyDescent="0.25">
      <c r="C537" s="66"/>
    </row>
    <row r="538" spans="3:3" x14ac:dyDescent="0.25">
      <c r="C538" s="66"/>
    </row>
    <row r="539" spans="3:3" x14ac:dyDescent="0.25">
      <c r="C539" s="66"/>
    </row>
    <row r="540" spans="3:3" x14ac:dyDescent="0.25">
      <c r="C540" s="66"/>
    </row>
    <row r="541" spans="3:3" x14ac:dyDescent="0.25">
      <c r="C541" s="66"/>
    </row>
    <row r="542" spans="3:3" x14ac:dyDescent="0.25">
      <c r="C542" s="66"/>
    </row>
    <row r="543" spans="3:3" x14ac:dyDescent="0.25">
      <c r="C543" s="66"/>
    </row>
    <row r="544" spans="3:3" x14ac:dyDescent="0.25">
      <c r="C544" s="66"/>
    </row>
    <row r="545" spans="3:3" x14ac:dyDescent="0.25">
      <c r="C545" s="66"/>
    </row>
    <row r="546" spans="3:3" x14ac:dyDescent="0.25">
      <c r="C546" s="66"/>
    </row>
    <row r="547" spans="3:3" x14ac:dyDescent="0.25">
      <c r="C547" s="66"/>
    </row>
    <row r="548" spans="3:3" x14ac:dyDescent="0.25">
      <c r="C548" s="66"/>
    </row>
    <row r="549" spans="3:3" x14ac:dyDescent="0.25">
      <c r="C549" s="66"/>
    </row>
    <row r="550" spans="3:3" x14ac:dyDescent="0.25">
      <c r="C550" s="66"/>
    </row>
    <row r="551" spans="3:3" x14ac:dyDescent="0.25">
      <c r="C551" s="66"/>
    </row>
    <row r="552" spans="3:3" x14ac:dyDescent="0.25">
      <c r="C552" s="66"/>
    </row>
    <row r="553" spans="3:3" x14ac:dyDescent="0.25">
      <c r="C553" s="66"/>
    </row>
    <row r="554" spans="3:3" x14ac:dyDescent="0.25">
      <c r="C554" s="66"/>
    </row>
    <row r="555" spans="3:3" x14ac:dyDescent="0.25">
      <c r="C555" s="66"/>
    </row>
    <row r="556" spans="3:3" x14ac:dyDescent="0.25">
      <c r="C556" s="66"/>
    </row>
    <row r="557" spans="3:3" x14ac:dyDescent="0.25">
      <c r="C557" s="66"/>
    </row>
    <row r="558" spans="3:3" x14ac:dyDescent="0.25">
      <c r="C558" s="66"/>
    </row>
    <row r="559" spans="3:3" x14ac:dyDescent="0.25">
      <c r="C559" s="66"/>
    </row>
    <row r="560" spans="3:3" x14ac:dyDescent="0.25">
      <c r="C560" s="66"/>
    </row>
    <row r="561" spans="3:3" x14ac:dyDescent="0.25">
      <c r="C561" s="66"/>
    </row>
    <row r="562" spans="3:3" x14ac:dyDescent="0.25">
      <c r="C562" s="66"/>
    </row>
    <row r="563" spans="3:3" x14ac:dyDescent="0.25">
      <c r="C563" s="66"/>
    </row>
    <row r="564" spans="3:3" x14ac:dyDescent="0.25">
      <c r="C564" s="66"/>
    </row>
    <row r="565" spans="3:3" x14ac:dyDescent="0.25">
      <c r="C565" s="66"/>
    </row>
    <row r="566" spans="3:3" x14ac:dyDescent="0.25">
      <c r="C566" s="66"/>
    </row>
    <row r="567" spans="3:3" x14ac:dyDescent="0.25">
      <c r="C567" s="66"/>
    </row>
    <row r="568" spans="3:3" x14ac:dyDescent="0.25">
      <c r="C568" s="66"/>
    </row>
    <row r="569" spans="3:3" x14ac:dyDescent="0.25">
      <c r="C569" s="66"/>
    </row>
    <row r="570" spans="3:3" x14ac:dyDescent="0.25">
      <c r="C570" s="66"/>
    </row>
    <row r="571" spans="3:3" x14ac:dyDescent="0.25">
      <c r="C571" s="66"/>
    </row>
    <row r="572" spans="3:3" x14ac:dyDescent="0.25">
      <c r="C572" s="66"/>
    </row>
    <row r="573" spans="3:3" x14ac:dyDescent="0.25">
      <c r="C573" s="66"/>
    </row>
    <row r="574" spans="3:3" x14ac:dyDescent="0.25">
      <c r="C574" s="66"/>
    </row>
    <row r="575" spans="3:3" x14ac:dyDescent="0.25">
      <c r="C575" s="66"/>
    </row>
    <row r="576" spans="3:3" x14ac:dyDescent="0.25">
      <c r="C576" s="66"/>
    </row>
    <row r="577" spans="3:3" x14ac:dyDescent="0.25">
      <c r="C577" s="66"/>
    </row>
    <row r="578" spans="3:3" x14ac:dyDescent="0.25">
      <c r="C578" s="66"/>
    </row>
    <row r="579" spans="3:3" x14ac:dyDescent="0.25">
      <c r="C579" s="66"/>
    </row>
    <row r="580" spans="3:3" x14ac:dyDescent="0.25">
      <c r="C580" s="66"/>
    </row>
    <row r="581" spans="3:3" x14ac:dyDescent="0.25">
      <c r="C581" s="66"/>
    </row>
    <row r="582" spans="3:3" x14ac:dyDescent="0.25">
      <c r="C582" s="66"/>
    </row>
    <row r="583" spans="3:3" x14ac:dyDescent="0.25">
      <c r="C583" s="66"/>
    </row>
    <row r="584" spans="3:3" x14ac:dyDescent="0.25">
      <c r="C584" s="66"/>
    </row>
    <row r="585" spans="3:3" x14ac:dyDescent="0.25">
      <c r="C585" s="66"/>
    </row>
    <row r="586" spans="3:3" x14ac:dyDescent="0.25">
      <c r="C586" s="66"/>
    </row>
    <row r="587" spans="3:3" x14ac:dyDescent="0.25">
      <c r="C587" s="66"/>
    </row>
    <row r="588" spans="3:3" x14ac:dyDescent="0.25">
      <c r="C588" s="66"/>
    </row>
    <row r="589" spans="3:3" x14ac:dyDescent="0.25">
      <c r="C589" s="66"/>
    </row>
    <row r="590" spans="3:3" x14ac:dyDescent="0.25">
      <c r="C590" s="66"/>
    </row>
    <row r="591" spans="3:3" x14ac:dyDescent="0.25">
      <c r="C591" s="66"/>
    </row>
    <row r="592" spans="3:3" x14ac:dyDescent="0.25">
      <c r="C592" s="66"/>
    </row>
    <row r="593" spans="3:3" x14ac:dyDescent="0.25">
      <c r="C593" s="66"/>
    </row>
    <row r="594" spans="3:3" x14ac:dyDescent="0.25">
      <c r="C594" s="66"/>
    </row>
    <row r="595" spans="3:3" x14ac:dyDescent="0.25">
      <c r="C595" s="66"/>
    </row>
    <row r="596" spans="3:3" x14ac:dyDescent="0.25">
      <c r="C596" s="66"/>
    </row>
    <row r="597" spans="3:3" x14ac:dyDescent="0.25">
      <c r="C597" s="66"/>
    </row>
    <row r="598" spans="3:3" x14ac:dyDescent="0.25">
      <c r="C598" s="66"/>
    </row>
    <row r="599" spans="3:3" x14ac:dyDescent="0.25">
      <c r="C599" s="66"/>
    </row>
    <row r="600" spans="3:3" x14ac:dyDescent="0.25">
      <c r="C600" s="66"/>
    </row>
    <row r="601" spans="3:3" x14ac:dyDescent="0.25">
      <c r="C601" s="66"/>
    </row>
    <row r="602" spans="3:3" x14ac:dyDescent="0.25">
      <c r="C602" s="66"/>
    </row>
    <row r="603" spans="3:3" x14ac:dyDescent="0.25">
      <c r="C603" s="66"/>
    </row>
    <row r="604" spans="3:3" x14ac:dyDescent="0.25">
      <c r="C604" s="66"/>
    </row>
    <row r="605" spans="3:3" x14ac:dyDescent="0.25">
      <c r="C605" s="66"/>
    </row>
    <row r="606" spans="3:3" x14ac:dyDescent="0.25">
      <c r="C606" s="66"/>
    </row>
    <row r="607" spans="3:3" x14ac:dyDescent="0.25">
      <c r="C607" s="66"/>
    </row>
    <row r="608" spans="3:3" x14ac:dyDescent="0.25">
      <c r="C608" s="66"/>
    </row>
    <row r="609" spans="3:3" x14ac:dyDescent="0.25">
      <c r="C609" s="66"/>
    </row>
    <row r="610" spans="3:3" x14ac:dyDescent="0.25">
      <c r="C610" s="66"/>
    </row>
    <row r="611" spans="3:3" x14ac:dyDescent="0.25">
      <c r="C611" s="66"/>
    </row>
    <row r="612" spans="3:3" x14ac:dyDescent="0.25">
      <c r="C612" s="66"/>
    </row>
    <row r="613" spans="3:3" x14ac:dyDescent="0.25">
      <c r="C613" s="66"/>
    </row>
    <row r="614" spans="3:3" x14ac:dyDescent="0.25">
      <c r="C614" s="66"/>
    </row>
    <row r="615" spans="3:3" x14ac:dyDescent="0.25">
      <c r="C615" s="66"/>
    </row>
    <row r="616" spans="3:3" x14ac:dyDescent="0.25">
      <c r="C616" s="66"/>
    </row>
    <row r="617" spans="3:3" x14ac:dyDescent="0.25">
      <c r="C617" s="66"/>
    </row>
    <row r="618" spans="3:3" x14ac:dyDescent="0.25">
      <c r="C618" s="66"/>
    </row>
    <row r="619" spans="3:3" x14ac:dyDescent="0.25">
      <c r="C619" s="66"/>
    </row>
    <row r="620" spans="3:3" x14ac:dyDescent="0.25">
      <c r="C620" s="66"/>
    </row>
    <row r="621" spans="3:3" x14ac:dyDescent="0.25">
      <c r="C621" s="66"/>
    </row>
    <row r="622" spans="3:3" x14ac:dyDescent="0.25">
      <c r="C622" s="66"/>
    </row>
    <row r="623" spans="3:3" x14ac:dyDescent="0.25">
      <c r="C623" s="66"/>
    </row>
    <row r="624" spans="3:3" x14ac:dyDescent="0.25">
      <c r="C624" s="66"/>
    </row>
    <row r="625" spans="3:3" x14ac:dyDescent="0.25">
      <c r="C625" s="66"/>
    </row>
    <row r="626" spans="3:3" x14ac:dyDescent="0.25">
      <c r="C626" s="66"/>
    </row>
    <row r="627" spans="3:3" x14ac:dyDescent="0.25">
      <c r="C627" s="66"/>
    </row>
    <row r="628" spans="3:3" x14ac:dyDescent="0.25">
      <c r="C628" s="66"/>
    </row>
    <row r="629" spans="3:3" x14ac:dyDescent="0.25">
      <c r="C629" s="66"/>
    </row>
    <row r="630" spans="3:3" x14ac:dyDescent="0.25">
      <c r="C630" s="66"/>
    </row>
    <row r="631" spans="3:3" x14ac:dyDescent="0.25">
      <c r="C631" s="66"/>
    </row>
    <row r="632" spans="3:3" x14ac:dyDescent="0.25">
      <c r="C632" s="66"/>
    </row>
    <row r="633" spans="3:3" x14ac:dyDescent="0.25">
      <c r="C633" s="66"/>
    </row>
    <row r="634" spans="3:3" x14ac:dyDescent="0.25">
      <c r="C634" s="66"/>
    </row>
    <row r="635" spans="3:3" x14ac:dyDescent="0.25">
      <c r="C635" s="66"/>
    </row>
    <row r="636" spans="3:3" x14ac:dyDescent="0.25">
      <c r="C636" s="66"/>
    </row>
    <row r="637" spans="3:3" x14ac:dyDescent="0.25">
      <c r="C637" s="66"/>
    </row>
    <row r="638" spans="3:3" x14ac:dyDescent="0.25">
      <c r="C638" s="66"/>
    </row>
    <row r="639" spans="3:3" x14ac:dyDescent="0.25">
      <c r="C639" s="66"/>
    </row>
    <row r="640" spans="3:3" x14ac:dyDescent="0.25">
      <c r="C640" s="66"/>
    </row>
    <row r="641" spans="3:3" x14ac:dyDescent="0.25">
      <c r="C641" s="66"/>
    </row>
    <row r="642" spans="3:3" x14ac:dyDescent="0.25">
      <c r="C642" s="66"/>
    </row>
    <row r="643" spans="3:3" x14ac:dyDescent="0.25">
      <c r="C643" s="66"/>
    </row>
    <row r="644" spans="3:3" x14ac:dyDescent="0.25">
      <c r="C644" s="66"/>
    </row>
    <row r="645" spans="3:3" x14ac:dyDescent="0.25">
      <c r="C645" s="66"/>
    </row>
    <row r="646" spans="3:3" x14ac:dyDescent="0.25">
      <c r="C646" s="66"/>
    </row>
    <row r="647" spans="3:3" x14ac:dyDescent="0.25">
      <c r="C647" s="66"/>
    </row>
    <row r="648" spans="3:3" x14ac:dyDescent="0.25">
      <c r="C648" s="66"/>
    </row>
    <row r="649" spans="3:3" x14ac:dyDescent="0.25">
      <c r="C649" s="66"/>
    </row>
    <row r="650" spans="3:3" x14ac:dyDescent="0.25">
      <c r="C650" s="66"/>
    </row>
    <row r="651" spans="3:3" x14ac:dyDescent="0.25">
      <c r="C651" s="66"/>
    </row>
    <row r="652" spans="3:3" x14ac:dyDescent="0.25">
      <c r="C652" s="66"/>
    </row>
    <row r="653" spans="3:3" x14ac:dyDescent="0.25">
      <c r="C653" s="66"/>
    </row>
    <row r="654" spans="3:3" x14ac:dyDescent="0.25">
      <c r="C654" s="66"/>
    </row>
    <row r="655" spans="3:3" x14ac:dyDescent="0.25">
      <c r="C655" s="66"/>
    </row>
    <row r="656" spans="3:3" x14ac:dyDescent="0.25">
      <c r="C656" s="66"/>
    </row>
    <row r="657" spans="3:3" x14ac:dyDescent="0.25">
      <c r="C657" s="66"/>
    </row>
    <row r="658" spans="3:3" x14ac:dyDescent="0.25">
      <c r="C658" s="66"/>
    </row>
    <row r="659" spans="3:3" x14ac:dyDescent="0.25">
      <c r="C659" s="66"/>
    </row>
    <row r="660" spans="3:3" x14ac:dyDescent="0.25">
      <c r="C660" s="66"/>
    </row>
    <row r="661" spans="3:3" x14ac:dyDescent="0.25">
      <c r="C661" s="66"/>
    </row>
    <row r="662" spans="3:3" x14ac:dyDescent="0.25">
      <c r="C662" s="66"/>
    </row>
    <row r="663" spans="3:3" x14ac:dyDescent="0.25">
      <c r="C663" s="66"/>
    </row>
    <row r="664" spans="3:3" x14ac:dyDescent="0.25">
      <c r="C664" s="66"/>
    </row>
    <row r="665" spans="3:3" x14ac:dyDescent="0.25">
      <c r="C665" s="66"/>
    </row>
    <row r="666" spans="3:3" x14ac:dyDescent="0.25">
      <c r="C666" s="66"/>
    </row>
    <row r="667" spans="3:3" x14ac:dyDescent="0.25">
      <c r="C667" s="66"/>
    </row>
    <row r="668" spans="3:3" x14ac:dyDescent="0.25">
      <c r="C668" s="66"/>
    </row>
    <row r="669" spans="3:3" x14ac:dyDescent="0.25">
      <c r="C669" s="66"/>
    </row>
    <row r="670" spans="3:3" x14ac:dyDescent="0.25">
      <c r="C670" s="66"/>
    </row>
    <row r="671" spans="3:3" x14ac:dyDescent="0.25">
      <c r="C671" s="66"/>
    </row>
    <row r="672" spans="3:3" x14ac:dyDescent="0.25">
      <c r="C672" s="66"/>
    </row>
    <row r="673" spans="3:3" x14ac:dyDescent="0.25">
      <c r="C673" s="66"/>
    </row>
    <row r="674" spans="3:3" x14ac:dyDescent="0.25">
      <c r="C674" s="66"/>
    </row>
    <row r="675" spans="3:3" x14ac:dyDescent="0.25">
      <c r="C675" s="66"/>
    </row>
    <row r="676" spans="3:3" x14ac:dyDescent="0.25">
      <c r="C676" s="66"/>
    </row>
    <row r="677" spans="3:3" x14ac:dyDescent="0.25">
      <c r="C677" s="66"/>
    </row>
    <row r="678" spans="3:3" x14ac:dyDescent="0.25">
      <c r="C678" s="66"/>
    </row>
    <row r="679" spans="3:3" x14ac:dyDescent="0.25">
      <c r="C679" s="66"/>
    </row>
    <row r="680" spans="3:3" x14ac:dyDescent="0.25">
      <c r="C680" s="66"/>
    </row>
    <row r="681" spans="3:3" x14ac:dyDescent="0.25">
      <c r="C681" s="66"/>
    </row>
    <row r="682" spans="3:3" x14ac:dyDescent="0.25">
      <c r="C682" s="66"/>
    </row>
    <row r="683" spans="3:3" x14ac:dyDescent="0.25">
      <c r="C683" s="66"/>
    </row>
    <row r="684" spans="3:3" x14ac:dyDescent="0.25">
      <c r="C684" s="66"/>
    </row>
    <row r="685" spans="3:3" x14ac:dyDescent="0.25">
      <c r="C685" s="66"/>
    </row>
    <row r="686" spans="3:3" x14ac:dyDescent="0.25">
      <c r="C686" s="66"/>
    </row>
    <row r="687" spans="3:3" x14ac:dyDescent="0.25">
      <c r="C687" s="66"/>
    </row>
    <row r="688" spans="3:3" x14ac:dyDescent="0.25">
      <c r="C688" s="66"/>
    </row>
    <row r="689" spans="3:3" x14ac:dyDescent="0.25">
      <c r="C689" s="66"/>
    </row>
    <row r="690" spans="3:3" x14ac:dyDescent="0.25">
      <c r="C690" s="66"/>
    </row>
    <row r="691" spans="3:3" x14ac:dyDescent="0.25">
      <c r="C691" s="66"/>
    </row>
    <row r="692" spans="3:3" x14ac:dyDescent="0.25">
      <c r="C692" s="66"/>
    </row>
    <row r="693" spans="3:3" x14ac:dyDescent="0.25">
      <c r="C693" s="66"/>
    </row>
    <row r="694" spans="3:3" x14ac:dyDescent="0.25">
      <c r="C694" s="66"/>
    </row>
    <row r="695" spans="3:3" x14ac:dyDescent="0.25">
      <c r="C695" s="66"/>
    </row>
    <row r="696" spans="3:3" x14ac:dyDescent="0.25">
      <c r="C696" s="66"/>
    </row>
    <row r="697" spans="3:3" x14ac:dyDescent="0.25">
      <c r="C697" s="66"/>
    </row>
    <row r="698" spans="3:3" x14ac:dyDescent="0.25">
      <c r="C698" s="66"/>
    </row>
    <row r="699" spans="3:3" x14ac:dyDescent="0.25">
      <c r="C699" s="66"/>
    </row>
    <row r="700" spans="3:3" x14ac:dyDescent="0.25">
      <c r="C700" s="66"/>
    </row>
    <row r="701" spans="3:3" x14ac:dyDescent="0.25">
      <c r="C701" s="66"/>
    </row>
    <row r="702" spans="3:3" x14ac:dyDescent="0.25">
      <c r="C702" s="66"/>
    </row>
    <row r="703" spans="3:3" x14ac:dyDescent="0.25">
      <c r="C703" s="66"/>
    </row>
    <row r="704" spans="3:3" x14ac:dyDescent="0.25">
      <c r="C704" s="66"/>
    </row>
    <row r="705" spans="3:3" x14ac:dyDescent="0.25">
      <c r="C705" s="66"/>
    </row>
    <row r="706" spans="3:3" x14ac:dyDescent="0.25">
      <c r="C706" s="66"/>
    </row>
    <row r="707" spans="3:3" x14ac:dyDescent="0.25">
      <c r="C707" s="66"/>
    </row>
    <row r="708" spans="3:3" x14ac:dyDescent="0.25">
      <c r="C708" s="66"/>
    </row>
    <row r="709" spans="3:3" x14ac:dyDescent="0.25">
      <c r="C709" s="66"/>
    </row>
    <row r="710" spans="3:3" x14ac:dyDescent="0.25">
      <c r="C710" s="66"/>
    </row>
    <row r="711" spans="3:3" x14ac:dyDescent="0.25">
      <c r="C711" s="66"/>
    </row>
    <row r="712" spans="3:3" x14ac:dyDescent="0.25">
      <c r="C712" s="66"/>
    </row>
    <row r="713" spans="3:3" x14ac:dyDescent="0.25">
      <c r="C713" s="66"/>
    </row>
    <row r="714" spans="3:3" x14ac:dyDescent="0.25">
      <c r="C714" s="66"/>
    </row>
    <row r="715" spans="3:3" x14ac:dyDescent="0.25">
      <c r="C715" s="66"/>
    </row>
    <row r="716" spans="3:3" x14ac:dyDescent="0.25">
      <c r="C716" s="66"/>
    </row>
    <row r="717" spans="3:3" x14ac:dyDescent="0.25">
      <c r="C717" s="66"/>
    </row>
    <row r="718" spans="3:3" x14ac:dyDescent="0.25">
      <c r="C718" s="66"/>
    </row>
    <row r="719" spans="3:3" x14ac:dyDescent="0.25">
      <c r="C719" s="66"/>
    </row>
    <row r="720" spans="3:3" x14ac:dyDescent="0.25">
      <c r="C720" s="66"/>
    </row>
    <row r="721" spans="3:3" x14ac:dyDescent="0.25">
      <c r="C721" s="66"/>
    </row>
    <row r="722" spans="3:3" x14ac:dyDescent="0.25">
      <c r="C722" s="66"/>
    </row>
    <row r="723" spans="3:3" x14ac:dyDescent="0.25">
      <c r="C723" s="66"/>
    </row>
    <row r="724" spans="3:3" x14ac:dyDescent="0.25">
      <c r="C724" s="66"/>
    </row>
    <row r="725" spans="3:3" x14ac:dyDescent="0.25">
      <c r="C725" s="66"/>
    </row>
    <row r="726" spans="3:3" x14ac:dyDescent="0.25">
      <c r="C726" s="66"/>
    </row>
    <row r="727" spans="3:3" x14ac:dyDescent="0.25">
      <c r="C727" s="66"/>
    </row>
    <row r="728" spans="3:3" x14ac:dyDescent="0.25">
      <c r="C728" s="66"/>
    </row>
    <row r="729" spans="3:3" x14ac:dyDescent="0.25">
      <c r="C729" s="66"/>
    </row>
    <row r="730" spans="3:3" x14ac:dyDescent="0.25">
      <c r="C730" s="66"/>
    </row>
    <row r="731" spans="3:3" x14ac:dyDescent="0.25">
      <c r="C731" s="66"/>
    </row>
    <row r="732" spans="3:3" x14ac:dyDescent="0.25">
      <c r="C732" s="66"/>
    </row>
    <row r="733" spans="3:3" x14ac:dyDescent="0.25">
      <c r="C733" s="66"/>
    </row>
    <row r="734" spans="3:3" x14ac:dyDescent="0.25">
      <c r="C734" s="66"/>
    </row>
    <row r="735" spans="3:3" x14ac:dyDescent="0.25">
      <c r="C735" s="66"/>
    </row>
    <row r="736" spans="3:3" x14ac:dyDescent="0.25">
      <c r="C736" s="66"/>
    </row>
    <row r="737" spans="3:3" x14ac:dyDescent="0.25">
      <c r="C737" s="66"/>
    </row>
    <row r="738" spans="3:3" x14ac:dyDescent="0.25">
      <c r="C738" s="66"/>
    </row>
    <row r="739" spans="3:3" x14ac:dyDescent="0.25">
      <c r="C739" s="66"/>
    </row>
    <row r="740" spans="3:3" x14ac:dyDescent="0.25">
      <c r="C740" s="66"/>
    </row>
    <row r="741" spans="3:3" x14ac:dyDescent="0.25">
      <c r="C741" s="66"/>
    </row>
    <row r="742" spans="3:3" x14ac:dyDescent="0.25">
      <c r="C742" s="66"/>
    </row>
    <row r="743" spans="3:3" x14ac:dyDescent="0.25">
      <c r="C743" s="66"/>
    </row>
    <row r="744" spans="3:3" x14ac:dyDescent="0.25">
      <c r="C744" s="66"/>
    </row>
    <row r="745" spans="3:3" x14ac:dyDescent="0.25">
      <c r="C745" s="66"/>
    </row>
    <row r="746" spans="3:3" x14ac:dyDescent="0.25">
      <c r="C746" s="66"/>
    </row>
    <row r="747" spans="3:3" x14ac:dyDescent="0.25">
      <c r="C747" s="66"/>
    </row>
    <row r="748" spans="3:3" x14ac:dyDescent="0.25">
      <c r="C748" s="66"/>
    </row>
    <row r="749" spans="3:3" x14ac:dyDescent="0.25">
      <c r="C749" s="66"/>
    </row>
    <row r="750" spans="3:3" x14ac:dyDescent="0.25">
      <c r="C750" s="66"/>
    </row>
    <row r="751" spans="3:3" x14ac:dyDescent="0.25">
      <c r="C751" s="66"/>
    </row>
    <row r="752" spans="3:3" x14ac:dyDescent="0.25">
      <c r="C752" s="66"/>
    </row>
    <row r="753" spans="3:3" x14ac:dyDescent="0.25">
      <c r="C753" s="66"/>
    </row>
    <row r="754" spans="3:3" x14ac:dyDescent="0.25">
      <c r="C754" s="66"/>
    </row>
    <row r="755" spans="3:3" x14ac:dyDescent="0.25">
      <c r="C755" s="66"/>
    </row>
    <row r="756" spans="3:3" x14ac:dyDescent="0.25">
      <c r="C756" s="66"/>
    </row>
    <row r="757" spans="3:3" x14ac:dyDescent="0.25">
      <c r="C757" s="66"/>
    </row>
    <row r="758" spans="3:3" x14ac:dyDescent="0.25">
      <c r="C758" s="66"/>
    </row>
    <row r="759" spans="3:3" x14ac:dyDescent="0.25">
      <c r="C759" s="66"/>
    </row>
    <row r="760" spans="3:3" x14ac:dyDescent="0.25">
      <c r="C760" s="66"/>
    </row>
    <row r="761" spans="3:3" x14ac:dyDescent="0.25">
      <c r="C761" s="66"/>
    </row>
    <row r="762" spans="3:3" x14ac:dyDescent="0.25">
      <c r="C762" s="66"/>
    </row>
    <row r="763" spans="3:3" x14ac:dyDescent="0.25">
      <c r="C763" s="66"/>
    </row>
    <row r="764" spans="3:3" x14ac:dyDescent="0.25">
      <c r="C764" s="66"/>
    </row>
    <row r="765" spans="3:3" x14ac:dyDescent="0.25">
      <c r="C765" s="66"/>
    </row>
    <row r="766" spans="3:3" x14ac:dyDescent="0.25">
      <c r="C766" s="66"/>
    </row>
    <row r="767" spans="3:3" x14ac:dyDescent="0.25">
      <c r="C767" s="66"/>
    </row>
    <row r="768" spans="3:3" x14ac:dyDescent="0.25">
      <c r="C768" s="66"/>
    </row>
    <row r="769" spans="3:3" x14ac:dyDescent="0.25">
      <c r="C769" s="66"/>
    </row>
    <row r="770" spans="3:3" x14ac:dyDescent="0.25">
      <c r="C770" s="66"/>
    </row>
    <row r="771" spans="3:3" x14ac:dyDescent="0.25">
      <c r="C771" s="66"/>
    </row>
    <row r="772" spans="3:3" x14ac:dyDescent="0.25">
      <c r="C772" s="66"/>
    </row>
    <row r="773" spans="3:3" x14ac:dyDescent="0.25">
      <c r="C773" s="66"/>
    </row>
    <row r="774" spans="3:3" x14ac:dyDescent="0.25">
      <c r="C774" s="66"/>
    </row>
    <row r="775" spans="3:3" x14ac:dyDescent="0.25">
      <c r="C775" s="66"/>
    </row>
    <row r="776" spans="3:3" x14ac:dyDescent="0.25">
      <c r="C776" s="66"/>
    </row>
    <row r="777" spans="3:3" x14ac:dyDescent="0.25">
      <c r="C777" s="66"/>
    </row>
    <row r="778" spans="3:3" x14ac:dyDescent="0.25">
      <c r="C778" s="66"/>
    </row>
    <row r="779" spans="3:3" x14ac:dyDescent="0.25">
      <c r="C779" s="66"/>
    </row>
    <row r="780" spans="3:3" x14ac:dyDescent="0.25">
      <c r="C780" s="66"/>
    </row>
    <row r="781" spans="3:3" x14ac:dyDescent="0.25">
      <c r="C781" s="66"/>
    </row>
    <row r="782" spans="3:3" x14ac:dyDescent="0.25">
      <c r="C782" s="66"/>
    </row>
    <row r="783" spans="3:3" x14ac:dyDescent="0.25">
      <c r="C783" s="66"/>
    </row>
    <row r="784" spans="3:3" x14ac:dyDescent="0.25">
      <c r="C784" s="66"/>
    </row>
    <row r="785" spans="3:3" x14ac:dyDescent="0.25">
      <c r="C785" s="66"/>
    </row>
    <row r="786" spans="3:3" x14ac:dyDescent="0.25">
      <c r="C786" s="66"/>
    </row>
    <row r="787" spans="3:3" x14ac:dyDescent="0.25">
      <c r="C787" s="66"/>
    </row>
    <row r="788" spans="3:3" x14ac:dyDescent="0.25">
      <c r="C788" s="66"/>
    </row>
    <row r="789" spans="3:3" x14ac:dyDescent="0.25">
      <c r="C789" s="66"/>
    </row>
    <row r="790" spans="3:3" x14ac:dyDescent="0.25">
      <c r="C790" s="66"/>
    </row>
    <row r="791" spans="3:3" x14ac:dyDescent="0.25">
      <c r="C791" s="66"/>
    </row>
    <row r="792" spans="3:3" x14ac:dyDescent="0.25">
      <c r="C792" s="66"/>
    </row>
    <row r="793" spans="3:3" x14ac:dyDescent="0.25">
      <c r="C793" s="66"/>
    </row>
    <row r="794" spans="3:3" x14ac:dyDescent="0.25">
      <c r="C794" s="66"/>
    </row>
    <row r="795" spans="3:3" x14ac:dyDescent="0.25">
      <c r="C795" s="66"/>
    </row>
    <row r="796" spans="3:3" x14ac:dyDescent="0.25">
      <c r="C796" s="66"/>
    </row>
    <row r="797" spans="3:3" x14ac:dyDescent="0.25">
      <c r="C797" s="66"/>
    </row>
    <row r="798" spans="3:3" x14ac:dyDescent="0.25">
      <c r="C798" s="66"/>
    </row>
    <row r="799" spans="3:3" x14ac:dyDescent="0.25">
      <c r="C799" s="66"/>
    </row>
    <row r="800" spans="3:3" x14ac:dyDescent="0.25">
      <c r="C800" s="66"/>
    </row>
    <row r="801" spans="3:3" x14ac:dyDescent="0.25">
      <c r="C801" s="66"/>
    </row>
    <row r="802" spans="3:3" x14ac:dyDescent="0.25">
      <c r="C802" s="66"/>
    </row>
    <row r="803" spans="3:3" x14ac:dyDescent="0.25">
      <c r="C803" s="66"/>
    </row>
    <row r="804" spans="3:3" x14ac:dyDescent="0.25">
      <c r="C804" s="66"/>
    </row>
    <row r="805" spans="3:3" x14ac:dyDescent="0.25">
      <c r="C805" s="66"/>
    </row>
    <row r="806" spans="3:3" x14ac:dyDescent="0.25">
      <c r="C806" s="66"/>
    </row>
    <row r="807" spans="3:3" x14ac:dyDescent="0.25">
      <c r="C807" s="66"/>
    </row>
    <row r="808" spans="3:3" x14ac:dyDescent="0.25">
      <c r="C808" s="66"/>
    </row>
    <row r="809" spans="3:3" x14ac:dyDescent="0.25">
      <c r="C809" s="66"/>
    </row>
    <row r="810" spans="3:3" x14ac:dyDescent="0.25">
      <c r="C810" s="66"/>
    </row>
    <row r="811" spans="3:3" x14ac:dyDescent="0.25">
      <c r="C811" s="66"/>
    </row>
    <row r="812" spans="3:3" x14ac:dyDescent="0.25">
      <c r="C812" s="66"/>
    </row>
    <row r="813" spans="3:3" x14ac:dyDescent="0.25">
      <c r="C813" s="66"/>
    </row>
    <row r="814" spans="3:3" x14ac:dyDescent="0.25">
      <c r="C814" s="66"/>
    </row>
    <row r="815" spans="3:3" x14ac:dyDescent="0.25">
      <c r="C815" s="66"/>
    </row>
    <row r="816" spans="3:3" x14ac:dyDescent="0.25">
      <c r="C816" s="66"/>
    </row>
    <row r="817" spans="3:3" x14ac:dyDescent="0.25">
      <c r="C817" s="66"/>
    </row>
    <row r="818" spans="3:3" x14ac:dyDescent="0.25">
      <c r="C818" s="66"/>
    </row>
    <row r="819" spans="3:3" x14ac:dyDescent="0.25">
      <c r="C819" s="66"/>
    </row>
    <row r="820" spans="3:3" x14ac:dyDescent="0.25">
      <c r="C820" s="66"/>
    </row>
    <row r="821" spans="3:3" x14ac:dyDescent="0.25">
      <c r="C821" s="66"/>
    </row>
    <row r="822" spans="3:3" x14ac:dyDescent="0.25">
      <c r="C822" s="66"/>
    </row>
    <row r="823" spans="3:3" x14ac:dyDescent="0.25">
      <c r="C823" s="66"/>
    </row>
    <row r="824" spans="3:3" x14ac:dyDescent="0.25">
      <c r="C824" s="66"/>
    </row>
    <row r="825" spans="3:3" x14ac:dyDescent="0.25">
      <c r="C825" s="66"/>
    </row>
    <row r="826" spans="3:3" x14ac:dyDescent="0.25">
      <c r="C826" s="66"/>
    </row>
    <row r="827" spans="3:3" x14ac:dyDescent="0.25">
      <c r="C827" s="66"/>
    </row>
    <row r="828" spans="3:3" x14ac:dyDescent="0.25">
      <c r="C828" s="66"/>
    </row>
    <row r="829" spans="3:3" x14ac:dyDescent="0.25">
      <c r="C829" s="66"/>
    </row>
    <row r="830" spans="3:3" x14ac:dyDescent="0.25">
      <c r="C830" s="66"/>
    </row>
    <row r="831" spans="3:3" x14ac:dyDescent="0.25">
      <c r="C831" s="66"/>
    </row>
    <row r="832" spans="3:3" x14ac:dyDescent="0.25">
      <c r="C832" s="66"/>
    </row>
    <row r="833" spans="3:3" x14ac:dyDescent="0.25">
      <c r="C833" s="66"/>
    </row>
    <row r="834" spans="3:3" x14ac:dyDescent="0.25">
      <c r="C834" s="66"/>
    </row>
    <row r="835" spans="3:3" x14ac:dyDescent="0.25">
      <c r="C835" s="66"/>
    </row>
    <row r="836" spans="3:3" x14ac:dyDescent="0.25">
      <c r="C836" s="66"/>
    </row>
    <row r="837" spans="3:3" x14ac:dyDescent="0.25">
      <c r="C837" s="66"/>
    </row>
    <row r="838" spans="3:3" x14ac:dyDescent="0.25">
      <c r="C838" s="66"/>
    </row>
    <row r="839" spans="3:3" x14ac:dyDescent="0.25">
      <c r="C839" s="66"/>
    </row>
    <row r="840" spans="3:3" x14ac:dyDescent="0.25">
      <c r="C840" s="66"/>
    </row>
    <row r="841" spans="3:3" x14ac:dyDescent="0.25">
      <c r="C841" s="66"/>
    </row>
    <row r="842" spans="3:3" x14ac:dyDescent="0.25">
      <c r="C842" s="66"/>
    </row>
    <row r="843" spans="3:3" x14ac:dyDescent="0.25">
      <c r="C843" s="66"/>
    </row>
    <row r="844" spans="3:3" x14ac:dyDescent="0.25">
      <c r="C844" s="66"/>
    </row>
    <row r="845" spans="3:3" x14ac:dyDescent="0.25">
      <c r="C845" s="66"/>
    </row>
    <row r="846" spans="3:3" x14ac:dyDescent="0.25">
      <c r="C846" s="66"/>
    </row>
    <row r="847" spans="3:3" x14ac:dyDescent="0.25">
      <c r="C847" s="66"/>
    </row>
    <row r="848" spans="3:3" x14ac:dyDescent="0.25">
      <c r="C848" s="66"/>
    </row>
    <row r="849" spans="3:3" x14ac:dyDescent="0.25">
      <c r="C849" s="66"/>
    </row>
    <row r="850" spans="3:3" x14ac:dyDescent="0.25">
      <c r="C850" s="66"/>
    </row>
    <row r="851" spans="3:3" x14ac:dyDescent="0.25">
      <c r="C851" s="66"/>
    </row>
    <row r="852" spans="3:3" x14ac:dyDescent="0.25">
      <c r="C852" s="66"/>
    </row>
    <row r="853" spans="3:3" x14ac:dyDescent="0.25">
      <c r="C853" s="66"/>
    </row>
    <row r="854" spans="3:3" x14ac:dyDescent="0.25">
      <c r="C854" s="66"/>
    </row>
    <row r="855" spans="3:3" x14ac:dyDescent="0.25">
      <c r="C855" s="66"/>
    </row>
    <row r="856" spans="3:3" x14ac:dyDescent="0.25">
      <c r="C856" s="66"/>
    </row>
    <row r="857" spans="3:3" x14ac:dyDescent="0.25">
      <c r="C857" s="66"/>
    </row>
    <row r="858" spans="3:3" x14ac:dyDescent="0.25">
      <c r="C858" s="66"/>
    </row>
    <row r="859" spans="3:3" x14ac:dyDescent="0.25">
      <c r="C859" s="66"/>
    </row>
    <row r="860" spans="3:3" x14ac:dyDescent="0.25">
      <c r="C860" s="66"/>
    </row>
    <row r="861" spans="3:3" x14ac:dyDescent="0.25">
      <c r="C861" s="66"/>
    </row>
    <row r="862" spans="3:3" x14ac:dyDescent="0.25">
      <c r="C862" s="66"/>
    </row>
    <row r="863" spans="3:3" x14ac:dyDescent="0.25">
      <c r="C863" s="66"/>
    </row>
    <row r="864" spans="3:3" x14ac:dyDescent="0.25">
      <c r="C864" s="66"/>
    </row>
    <row r="865" spans="3:3" x14ac:dyDescent="0.25">
      <c r="C865" s="66"/>
    </row>
    <row r="866" spans="3:3" x14ac:dyDescent="0.25">
      <c r="C866" s="66"/>
    </row>
    <row r="867" spans="3:3" x14ac:dyDescent="0.25">
      <c r="C867" s="66"/>
    </row>
    <row r="868" spans="3:3" x14ac:dyDescent="0.25">
      <c r="C868" s="66"/>
    </row>
    <row r="869" spans="3:3" x14ac:dyDescent="0.25">
      <c r="C869" s="66"/>
    </row>
    <row r="870" spans="3:3" x14ac:dyDescent="0.25">
      <c r="C870" s="66"/>
    </row>
    <row r="871" spans="3:3" x14ac:dyDescent="0.25">
      <c r="C871" s="66"/>
    </row>
    <row r="872" spans="3:3" x14ac:dyDescent="0.25">
      <c r="C872" s="66"/>
    </row>
    <row r="873" spans="3:3" x14ac:dyDescent="0.25">
      <c r="C873" s="66"/>
    </row>
    <row r="874" spans="3:3" x14ac:dyDescent="0.25">
      <c r="C874" s="66"/>
    </row>
    <row r="875" spans="3:3" x14ac:dyDescent="0.25">
      <c r="C875" s="66"/>
    </row>
    <row r="876" spans="3:3" x14ac:dyDescent="0.25">
      <c r="C876" s="66"/>
    </row>
    <row r="877" spans="3:3" x14ac:dyDescent="0.25">
      <c r="C877" s="66"/>
    </row>
    <row r="878" spans="3:3" x14ac:dyDescent="0.25">
      <c r="C878" s="66"/>
    </row>
    <row r="879" spans="3:3" x14ac:dyDescent="0.25">
      <c r="C879" s="66"/>
    </row>
    <row r="880" spans="3:3" x14ac:dyDescent="0.25">
      <c r="C880" s="66"/>
    </row>
    <row r="881" spans="3:3" x14ac:dyDescent="0.25">
      <c r="C881" s="66"/>
    </row>
    <row r="882" spans="3:3" x14ac:dyDescent="0.25">
      <c r="C882" s="66"/>
    </row>
    <row r="883" spans="3:3" x14ac:dyDescent="0.25">
      <c r="C883" s="66"/>
    </row>
    <row r="884" spans="3:3" x14ac:dyDescent="0.25">
      <c r="C884" s="66"/>
    </row>
    <row r="885" spans="3:3" x14ac:dyDescent="0.25">
      <c r="C885" s="66"/>
    </row>
    <row r="886" spans="3:3" x14ac:dyDescent="0.25">
      <c r="C886" s="66"/>
    </row>
    <row r="887" spans="3:3" x14ac:dyDescent="0.25">
      <c r="C887" s="66"/>
    </row>
    <row r="888" spans="3:3" x14ac:dyDescent="0.25">
      <c r="C888" s="66"/>
    </row>
    <row r="889" spans="3:3" x14ac:dyDescent="0.25">
      <c r="C889" s="66"/>
    </row>
    <row r="890" spans="3:3" x14ac:dyDescent="0.25">
      <c r="C890" s="66"/>
    </row>
    <row r="891" spans="3:3" x14ac:dyDescent="0.25">
      <c r="C891" s="66"/>
    </row>
    <row r="892" spans="3:3" x14ac:dyDescent="0.25">
      <c r="C892" s="66"/>
    </row>
    <row r="893" spans="3:3" x14ac:dyDescent="0.25">
      <c r="C893" s="66"/>
    </row>
    <row r="894" spans="3:3" x14ac:dyDescent="0.25">
      <c r="C894" s="66"/>
    </row>
    <row r="895" spans="3:3" x14ac:dyDescent="0.25">
      <c r="C895" s="66"/>
    </row>
    <row r="896" spans="3:3" x14ac:dyDescent="0.25">
      <c r="C896" s="66"/>
    </row>
    <row r="897" spans="3:3" x14ac:dyDescent="0.25">
      <c r="C897" s="66"/>
    </row>
    <row r="898" spans="3:3" x14ac:dyDescent="0.25">
      <c r="C898" s="66"/>
    </row>
    <row r="899" spans="3:3" x14ac:dyDescent="0.25">
      <c r="C899" s="66"/>
    </row>
    <row r="900" spans="3:3" x14ac:dyDescent="0.25">
      <c r="C900" s="66"/>
    </row>
    <row r="901" spans="3:3" x14ac:dyDescent="0.25">
      <c r="C901" s="66"/>
    </row>
    <row r="902" spans="3:3" x14ac:dyDescent="0.25">
      <c r="C902" s="66"/>
    </row>
    <row r="903" spans="3:3" x14ac:dyDescent="0.25">
      <c r="C903" s="66"/>
    </row>
    <row r="904" spans="3:3" x14ac:dyDescent="0.25">
      <c r="C904" s="66"/>
    </row>
    <row r="905" spans="3:3" x14ac:dyDescent="0.25">
      <c r="C905" s="66"/>
    </row>
    <row r="906" spans="3:3" x14ac:dyDescent="0.25">
      <c r="C906" s="66"/>
    </row>
    <row r="907" spans="3:3" x14ac:dyDescent="0.25">
      <c r="C907" s="66"/>
    </row>
    <row r="908" spans="3:3" x14ac:dyDescent="0.25">
      <c r="C908" s="66"/>
    </row>
    <row r="909" spans="3:3" x14ac:dyDescent="0.25">
      <c r="C909" s="66"/>
    </row>
    <row r="910" spans="3:3" x14ac:dyDescent="0.25">
      <c r="C910" s="66"/>
    </row>
    <row r="911" spans="3:3" x14ac:dyDescent="0.25">
      <c r="C911" s="66"/>
    </row>
    <row r="912" spans="3:3" x14ac:dyDescent="0.25">
      <c r="C912" s="66"/>
    </row>
    <row r="913" spans="3:3" x14ac:dyDescent="0.25">
      <c r="C913" s="66"/>
    </row>
    <row r="914" spans="3:3" x14ac:dyDescent="0.25">
      <c r="C914" s="66"/>
    </row>
    <row r="915" spans="3:3" x14ac:dyDescent="0.25">
      <c r="C915" s="66"/>
    </row>
    <row r="916" spans="3:3" x14ac:dyDescent="0.25">
      <c r="C916" s="66"/>
    </row>
    <row r="917" spans="3:3" x14ac:dyDescent="0.25">
      <c r="C917" s="66"/>
    </row>
    <row r="918" spans="3:3" x14ac:dyDescent="0.25">
      <c r="C918" s="66"/>
    </row>
    <row r="919" spans="3:3" x14ac:dyDescent="0.25">
      <c r="C919" s="66"/>
    </row>
    <row r="920" spans="3:3" x14ac:dyDescent="0.25">
      <c r="C920" s="66"/>
    </row>
    <row r="921" spans="3:3" x14ac:dyDescent="0.25">
      <c r="C921" s="66"/>
    </row>
    <row r="922" spans="3:3" x14ac:dyDescent="0.25">
      <c r="C922" s="66"/>
    </row>
    <row r="923" spans="3:3" x14ac:dyDescent="0.25">
      <c r="C923" s="66"/>
    </row>
    <row r="924" spans="3:3" x14ac:dyDescent="0.25">
      <c r="C924" s="66"/>
    </row>
    <row r="925" spans="3:3" x14ac:dyDescent="0.25">
      <c r="C925" s="66"/>
    </row>
    <row r="926" spans="3:3" x14ac:dyDescent="0.25">
      <c r="C926" s="66"/>
    </row>
    <row r="927" spans="3:3" x14ac:dyDescent="0.25">
      <c r="C927" s="66"/>
    </row>
    <row r="928" spans="3:3" x14ac:dyDescent="0.25">
      <c r="C928" s="66"/>
    </row>
    <row r="929" spans="3:3" x14ac:dyDescent="0.25">
      <c r="C929" s="66"/>
    </row>
    <row r="930" spans="3:3" x14ac:dyDescent="0.25">
      <c r="C930" s="66"/>
    </row>
    <row r="931" spans="3:3" x14ac:dyDescent="0.25">
      <c r="C931" s="66"/>
    </row>
    <row r="932" spans="3:3" x14ac:dyDescent="0.25">
      <c r="C932" s="66"/>
    </row>
    <row r="933" spans="3:3" x14ac:dyDescent="0.25">
      <c r="C933" s="66"/>
    </row>
    <row r="934" spans="3:3" x14ac:dyDescent="0.25">
      <c r="C934" s="66"/>
    </row>
    <row r="935" spans="3:3" x14ac:dyDescent="0.25">
      <c r="C935" s="66"/>
    </row>
    <row r="936" spans="3:3" x14ac:dyDescent="0.25">
      <c r="C936" s="66"/>
    </row>
    <row r="937" spans="3:3" x14ac:dyDescent="0.25">
      <c r="C937" s="66"/>
    </row>
    <row r="938" spans="3:3" x14ac:dyDescent="0.25">
      <c r="C938" s="66"/>
    </row>
    <row r="939" spans="3:3" x14ac:dyDescent="0.25">
      <c r="C939" s="66"/>
    </row>
    <row r="940" spans="3:3" x14ac:dyDescent="0.25">
      <c r="C940" s="66"/>
    </row>
    <row r="941" spans="3:3" x14ac:dyDescent="0.25">
      <c r="C941" s="66"/>
    </row>
    <row r="942" spans="3:3" x14ac:dyDescent="0.25">
      <c r="C942" s="66"/>
    </row>
    <row r="943" spans="3:3" x14ac:dyDescent="0.25">
      <c r="C943" s="66"/>
    </row>
    <row r="944" spans="3:3" x14ac:dyDescent="0.25">
      <c r="C944" s="66"/>
    </row>
    <row r="945" spans="3:3" x14ac:dyDescent="0.25">
      <c r="C945" s="66"/>
    </row>
    <row r="946" spans="3:3" x14ac:dyDescent="0.25">
      <c r="C946" s="66"/>
    </row>
    <row r="947" spans="3:3" x14ac:dyDescent="0.25">
      <c r="C947" s="66"/>
    </row>
    <row r="948" spans="3:3" x14ac:dyDescent="0.25">
      <c r="C948" s="66"/>
    </row>
    <row r="949" spans="3:3" x14ac:dyDescent="0.25">
      <c r="C949" s="66"/>
    </row>
    <row r="950" spans="3:3" x14ac:dyDescent="0.25">
      <c r="C950" s="66"/>
    </row>
    <row r="951" spans="3:3" x14ac:dyDescent="0.25">
      <c r="C951" s="66"/>
    </row>
    <row r="952" spans="3:3" x14ac:dyDescent="0.25">
      <c r="C952" s="66"/>
    </row>
    <row r="953" spans="3:3" x14ac:dyDescent="0.25">
      <c r="C953" s="66"/>
    </row>
    <row r="954" spans="3:3" x14ac:dyDescent="0.25">
      <c r="C954" s="66"/>
    </row>
    <row r="955" spans="3:3" x14ac:dyDescent="0.25">
      <c r="C955" s="66"/>
    </row>
    <row r="956" spans="3:3" x14ac:dyDescent="0.25">
      <c r="C956" s="66"/>
    </row>
    <row r="957" spans="3:3" x14ac:dyDescent="0.25">
      <c r="C957" s="66"/>
    </row>
    <row r="958" spans="3:3" x14ac:dyDescent="0.25">
      <c r="C958" s="66"/>
    </row>
    <row r="959" spans="3:3" x14ac:dyDescent="0.25">
      <c r="C959" s="66"/>
    </row>
    <row r="960" spans="3:3" x14ac:dyDescent="0.25">
      <c r="C960" s="66"/>
    </row>
    <row r="961" spans="3:3" x14ac:dyDescent="0.25">
      <c r="C961" s="66"/>
    </row>
    <row r="962" spans="3:3" x14ac:dyDescent="0.25">
      <c r="C962" s="66"/>
    </row>
    <row r="963" spans="3:3" x14ac:dyDescent="0.25">
      <c r="C963" s="66"/>
    </row>
    <row r="964" spans="3:3" x14ac:dyDescent="0.25">
      <c r="C964" s="66"/>
    </row>
    <row r="965" spans="3:3" x14ac:dyDescent="0.25">
      <c r="C965" s="66"/>
    </row>
    <row r="966" spans="3:3" x14ac:dyDescent="0.25">
      <c r="C966" s="66"/>
    </row>
    <row r="967" spans="3:3" x14ac:dyDescent="0.25">
      <c r="C967" s="66"/>
    </row>
    <row r="968" spans="3:3" x14ac:dyDescent="0.25">
      <c r="C968" s="66"/>
    </row>
    <row r="969" spans="3:3" x14ac:dyDescent="0.25">
      <c r="C969" s="66"/>
    </row>
    <row r="970" spans="3:3" x14ac:dyDescent="0.25">
      <c r="C970" s="66"/>
    </row>
    <row r="971" spans="3:3" x14ac:dyDescent="0.25">
      <c r="C971" s="66"/>
    </row>
    <row r="972" spans="3:3" x14ac:dyDescent="0.25">
      <c r="C972" s="66"/>
    </row>
    <row r="973" spans="3:3" x14ac:dyDescent="0.25">
      <c r="C973" s="66"/>
    </row>
    <row r="974" spans="3:3" x14ac:dyDescent="0.25">
      <c r="C974" s="66"/>
    </row>
    <row r="975" spans="3:3" x14ac:dyDescent="0.25">
      <c r="C975" s="66"/>
    </row>
    <row r="976" spans="3:3" x14ac:dyDescent="0.25">
      <c r="C976" s="66"/>
    </row>
    <row r="977" spans="3:3" x14ac:dyDescent="0.25">
      <c r="C977" s="66"/>
    </row>
    <row r="978" spans="3:3" x14ac:dyDescent="0.25">
      <c r="C978" s="66"/>
    </row>
    <row r="979" spans="3:3" x14ac:dyDescent="0.25">
      <c r="C979" s="66"/>
    </row>
    <row r="980" spans="3:3" x14ac:dyDescent="0.25">
      <c r="C980" s="66"/>
    </row>
    <row r="981" spans="3:3" x14ac:dyDescent="0.25">
      <c r="C981" s="66"/>
    </row>
    <row r="982" spans="3:3" x14ac:dyDescent="0.25">
      <c r="C982" s="66"/>
    </row>
    <row r="983" spans="3:3" x14ac:dyDescent="0.25">
      <c r="C983" s="66"/>
    </row>
    <row r="984" spans="3:3" x14ac:dyDescent="0.25">
      <c r="C984" s="66"/>
    </row>
    <row r="985" spans="3:3" x14ac:dyDescent="0.25">
      <c r="C985" s="66"/>
    </row>
    <row r="986" spans="3:3" x14ac:dyDescent="0.25">
      <c r="C986" s="66"/>
    </row>
    <row r="987" spans="3:3" x14ac:dyDescent="0.25">
      <c r="C987" s="66"/>
    </row>
    <row r="988" spans="3:3" x14ac:dyDescent="0.25">
      <c r="C988" s="66"/>
    </row>
    <row r="989" spans="3:3" x14ac:dyDescent="0.25">
      <c r="C989" s="66"/>
    </row>
    <row r="990" spans="3:3" x14ac:dyDescent="0.25">
      <c r="C990" s="66"/>
    </row>
    <row r="991" spans="3:3" x14ac:dyDescent="0.25">
      <c r="C991" s="66"/>
    </row>
    <row r="992" spans="3:3" x14ac:dyDescent="0.25">
      <c r="C992" s="66"/>
    </row>
    <row r="993" spans="3:3" x14ac:dyDescent="0.25">
      <c r="C993" s="66"/>
    </row>
    <row r="994" spans="3:3" x14ac:dyDescent="0.25">
      <c r="C994" s="66"/>
    </row>
    <row r="995" spans="3:3" x14ac:dyDescent="0.25">
      <c r="C995" s="66"/>
    </row>
    <row r="996" spans="3:3" x14ac:dyDescent="0.25">
      <c r="C996" s="66"/>
    </row>
    <row r="997" spans="3:3" x14ac:dyDescent="0.25">
      <c r="C997" s="66"/>
    </row>
    <row r="998" spans="3:3" x14ac:dyDescent="0.25">
      <c r="C998" s="66"/>
    </row>
    <row r="999" spans="3:3" x14ac:dyDescent="0.25">
      <c r="C999" s="66"/>
    </row>
    <row r="1000" spans="3:3" x14ac:dyDescent="0.25">
      <c r="C1000" s="66"/>
    </row>
    <row r="1001" spans="3:3" x14ac:dyDescent="0.25">
      <c r="C1001" s="66"/>
    </row>
    <row r="1002" spans="3:3" x14ac:dyDescent="0.25">
      <c r="C1002" s="66"/>
    </row>
    <row r="1003" spans="3:3" x14ac:dyDescent="0.25">
      <c r="C1003" s="66"/>
    </row>
    <row r="1004" spans="3:3" x14ac:dyDescent="0.25">
      <c r="C1004" s="66"/>
    </row>
    <row r="1005" spans="3:3" x14ac:dyDescent="0.25">
      <c r="C1005" s="66"/>
    </row>
    <row r="1006" spans="3:3" x14ac:dyDescent="0.25">
      <c r="C1006" s="66"/>
    </row>
    <row r="1007" spans="3:3" x14ac:dyDescent="0.25">
      <c r="C1007" s="66"/>
    </row>
    <row r="1008" spans="3:3" x14ac:dyDescent="0.25">
      <c r="C1008" s="66"/>
    </row>
    <row r="1009" spans="3:3" x14ac:dyDescent="0.25">
      <c r="C1009" s="66"/>
    </row>
    <row r="1010" spans="3:3" x14ac:dyDescent="0.25">
      <c r="C1010" s="66"/>
    </row>
    <row r="1011" spans="3:3" x14ac:dyDescent="0.25">
      <c r="C1011" s="66"/>
    </row>
    <row r="1012" spans="3:3" x14ac:dyDescent="0.25">
      <c r="C1012" s="66"/>
    </row>
    <row r="1013" spans="3:3" x14ac:dyDescent="0.25">
      <c r="C1013" s="66"/>
    </row>
    <row r="1014" spans="3:3" x14ac:dyDescent="0.25">
      <c r="C1014" s="66"/>
    </row>
    <row r="1015" spans="3:3" x14ac:dyDescent="0.25">
      <c r="C1015" s="66"/>
    </row>
    <row r="1016" spans="3:3" x14ac:dyDescent="0.25">
      <c r="C1016" s="66"/>
    </row>
    <row r="1017" spans="3:3" x14ac:dyDescent="0.25">
      <c r="C1017" s="66"/>
    </row>
    <row r="1018" spans="3:3" x14ac:dyDescent="0.25">
      <c r="C1018" s="66"/>
    </row>
    <row r="1019" spans="3:3" x14ac:dyDescent="0.25">
      <c r="C1019" s="66"/>
    </row>
    <row r="1020" spans="3:3" x14ac:dyDescent="0.25">
      <c r="C1020" s="66"/>
    </row>
    <row r="1021" spans="3:3" x14ac:dyDescent="0.25">
      <c r="C1021" s="66"/>
    </row>
    <row r="1022" spans="3:3" x14ac:dyDescent="0.25">
      <c r="C1022" s="66"/>
    </row>
    <row r="1023" spans="3:3" x14ac:dyDescent="0.25">
      <c r="C1023" s="66"/>
    </row>
    <row r="1024" spans="3:3" x14ac:dyDescent="0.25">
      <c r="C1024" s="66"/>
    </row>
    <row r="1025" spans="3:3" x14ac:dyDescent="0.25">
      <c r="C1025" s="66"/>
    </row>
    <row r="1026" spans="3:3" x14ac:dyDescent="0.25">
      <c r="C1026" s="66"/>
    </row>
    <row r="1027" spans="3:3" x14ac:dyDescent="0.25">
      <c r="C1027" s="66"/>
    </row>
    <row r="1028" spans="3:3" x14ac:dyDescent="0.25">
      <c r="C1028" s="66"/>
    </row>
    <row r="1029" spans="3:3" x14ac:dyDescent="0.25">
      <c r="C1029" s="66"/>
    </row>
    <row r="1030" spans="3:3" x14ac:dyDescent="0.25">
      <c r="C1030" s="66"/>
    </row>
    <row r="1031" spans="3:3" x14ac:dyDescent="0.25">
      <c r="C1031" s="66"/>
    </row>
    <row r="1032" spans="3:3" x14ac:dyDescent="0.25">
      <c r="C1032" s="66"/>
    </row>
    <row r="1033" spans="3:3" x14ac:dyDescent="0.25">
      <c r="C1033" s="66"/>
    </row>
    <row r="1034" spans="3:3" x14ac:dyDescent="0.25">
      <c r="C1034" s="66"/>
    </row>
    <row r="1035" spans="3:3" x14ac:dyDescent="0.25">
      <c r="C1035" s="66"/>
    </row>
    <row r="1036" spans="3:3" x14ac:dyDescent="0.25">
      <c r="C1036" s="66"/>
    </row>
    <row r="1037" spans="3:3" x14ac:dyDescent="0.25">
      <c r="C1037" s="66"/>
    </row>
    <row r="1038" spans="3:3" x14ac:dyDescent="0.25">
      <c r="C1038" s="66"/>
    </row>
    <row r="1039" spans="3:3" x14ac:dyDescent="0.25">
      <c r="C1039" s="66"/>
    </row>
    <row r="1040" spans="3:3" x14ac:dyDescent="0.25">
      <c r="C1040" s="66"/>
    </row>
    <row r="1041" spans="3:3" x14ac:dyDescent="0.25">
      <c r="C1041" s="66"/>
    </row>
    <row r="1042" spans="3:3" x14ac:dyDescent="0.25">
      <c r="C1042" s="66"/>
    </row>
    <row r="1043" spans="3:3" x14ac:dyDescent="0.25">
      <c r="C1043" s="66"/>
    </row>
    <row r="1044" spans="3:3" x14ac:dyDescent="0.25">
      <c r="C1044" s="66"/>
    </row>
    <row r="1045" spans="3:3" x14ac:dyDescent="0.25">
      <c r="C1045" s="66"/>
    </row>
    <row r="1046" spans="3:3" x14ac:dyDescent="0.25">
      <c r="C1046" s="66"/>
    </row>
    <row r="1047" spans="3:3" x14ac:dyDescent="0.25">
      <c r="C1047" s="66"/>
    </row>
    <row r="1048" spans="3:3" x14ac:dyDescent="0.25">
      <c r="C1048" s="66"/>
    </row>
    <row r="1049" spans="3:3" x14ac:dyDescent="0.25">
      <c r="C1049" s="66"/>
    </row>
    <row r="1050" spans="3:3" x14ac:dyDescent="0.25">
      <c r="C1050" s="66"/>
    </row>
    <row r="1051" spans="3:3" x14ac:dyDescent="0.25">
      <c r="C1051" s="66"/>
    </row>
    <row r="1052" spans="3:3" x14ac:dyDescent="0.25">
      <c r="C1052" s="66"/>
    </row>
    <row r="1053" spans="3:3" x14ac:dyDescent="0.25">
      <c r="C1053" s="66"/>
    </row>
    <row r="1054" spans="3:3" x14ac:dyDescent="0.25">
      <c r="C1054" s="66"/>
    </row>
    <row r="1055" spans="3:3" x14ac:dyDescent="0.25">
      <c r="C1055" s="66"/>
    </row>
    <row r="1056" spans="3:3" x14ac:dyDescent="0.25">
      <c r="C1056" s="66"/>
    </row>
    <row r="1057" spans="3:3" x14ac:dyDescent="0.25">
      <c r="C1057" s="66"/>
    </row>
    <row r="1058" spans="3:3" x14ac:dyDescent="0.25">
      <c r="C1058" s="66"/>
    </row>
    <row r="1059" spans="3:3" x14ac:dyDescent="0.25">
      <c r="C1059" s="66"/>
    </row>
    <row r="1060" spans="3:3" x14ac:dyDescent="0.25">
      <c r="C1060" s="66"/>
    </row>
    <row r="1061" spans="3:3" x14ac:dyDescent="0.25">
      <c r="C1061" s="66"/>
    </row>
    <row r="1062" spans="3:3" x14ac:dyDescent="0.25">
      <c r="C1062" s="66"/>
    </row>
    <row r="1063" spans="3:3" x14ac:dyDescent="0.25">
      <c r="C1063" s="66"/>
    </row>
    <row r="1064" spans="3:3" x14ac:dyDescent="0.25">
      <c r="C1064" s="66"/>
    </row>
    <row r="1065" spans="3:3" x14ac:dyDescent="0.25">
      <c r="C1065" s="66"/>
    </row>
    <row r="1066" spans="3:3" x14ac:dyDescent="0.25">
      <c r="C1066" s="66"/>
    </row>
    <row r="1067" spans="3:3" x14ac:dyDescent="0.25">
      <c r="C1067" s="66"/>
    </row>
    <row r="1068" spans="3:3" x14ac:dyDescent="0.25">
      <c r="C1068" s="66"/>
    </row>
    <row r="1069" spans="3:3" x14ac:dyDescent="0.25">
      <c r="C1069" s="66"/>
    </row>
    <row r="1070" spans="3:3" x14ac:dyDescent="0.25">
      <c r="C1070" s="66"/>
    </row>
    <row r="1071" spans="3:3" x14ac:dyDescent="0.25">
      <c r="C1071" s="66"/>
    </row>
    <row r="1072" spans="3:3" x14ac:dyDescent="0.25">
      <c r="C1072" s="66"/>
    </row>
    <row r="1073" spans="3:3" x14ac:dyDescent="0.25">
      <c r="C1073" s="66"/>
    </row>
    <row r="1074" spans="3:3" x14ac:dyDescent="0.25">
      <c r="C1074" s="66"/>
    </row>
    <row r="1075" spans="3:3" x14ac:dyDescent="0.25">
      <c r="C1075" s="66"/>
    </row>
    <row r="1076" spans="3:3" x14ac:dyDescent="0.25">
      <c r="C1076" s="66"/>
    </row>
    <row r="1077" spans="3:3" x14ac:dyDescent="0.25">
      <c r="C1077" s="66"/>
    </row>
    <row r="1078" spans="3:3" x14ac:dyDescent="0.25">
      <c r="C1078" s="66"/>
    </row>
    <row r="1079" spans="3:3" x14ac:dyDescent="0.25">
      <c r="C1079" s="66"/>
    </row>
    <row r="1080" spans="3:3" x14ac:dyDescent="0.25">
      <c r="C1080" s="66"/>
    </row>
    <row r="1081" spans="3:3" x14ac:dyDescent="0.25">
      <c r="C1081" s="66"/>
    </row>
    <row r="1082" spans="3:3" x14ac:dyDescent="0.25">
      <c r="C1082" s="66"/>
    </row>
    <row r="1083" spans="3:3" x14ac:dyDescent="0.25">
      <c r="C1083" s="66"/>
    </row>
    <row r="1084" spans="3:3" x14ac:dyDescent="0.25">
      <c r="C1084" s="66"/>
    </row>
    <row r="1085" spans="3:3" x14ac:dyDescent="0.25">
      <c r="C1085" s="66"/>
    </row>
    <row r="1086" spans="3:3" x14ac:dyDescent="0.25">
      <c r="C1086" s="66"/>
    </row>
    <row r="1087" spans="3:3" x14ac:dyDescent="0.25">
      <c r="C1087" s="66"/>
    </row>
    <row r="1088" spans="3:3" x14ac:dyDescent="0.25">
      <c r="C1088" s="66"/>
    </row>
    <row r="1089" spans="3:3" x14ac:dyDescent="0.25">
      <c r="C1089" s="66"/>
    </row>
    <row r="1090" spans="3:3" x14ac:dyDescent="0.25">
      <c r="C1090" s="66"/>
    </row>
    <row r="1091" spans="3:3" x14ac:dyDescent="0.25">
      <c r="C1091" s="66"/>
    </row>
    <row r="1092" spans="3:3" x14ac:dyDescent="0.25">
      <c r="C1092" s="66"/>
    </row>
    <row r="1093" spans="3:3" x14ac:dyDescent="0.25">
      <c r="C1093" s="66"/>
    </row>
    <row r="1094" spans="3:3" x14ac:dyDescent="0.25">
      <c r="C1094" s="66"/>
    </row>
    <row r="1095" spans="3:3" x14ac:dyDescent="0.25">
      <c r="C1095" s="66"/>
    </row>
    <row r="1096" spans="3:3" x14ac:dyDescent="0.25">
      <c r="C1096" s="66"/>
    </row>
    <row r="1097" spans="3:3" x14ac:dyDescent="0.25">
      <c r="C1097" s="66"/>
    </row>
    <row r="1098" spans="3:3" x14ac:dyDescent="0.25">
      <c r="C1098" s="66"/>
    </row>
    <row r="1099" spans="3:3" x14ac:dyDescent="0.25">
      <c r="C1099" s="66"/>
    </row>
    <row r="1100" spans="3:3" x14ac:dyDescent="0.25">
      <c r="C1100" s="66"/>
    </row>
    <row r="1101" spans="3:3" x14ac:dyDescent="0.25">
      <c r="C1101" s="66"/>
    </row>
    <row r="1102" spans="3:3" x14ac:dyDescent="0.25">
      <c r="C1102" s="66"/>
    </row>
    <row r="1103" spans="3:3" x14ac:dyDescent="0.25">
      <c r="C1103" s="66"/>
    </row>
    <row r="1104" spans="3:3" x14ac:dyDescent="0.25">
      <c r="C1104" s="66"/>
    </row>
    <row r="1105" spans="3:3" x14ac:dyDescent="0.25">
      <c r="C1105" s="66"/>
    </row>
    <row r="1106" spans="3:3" x14ac:dyDescent="0.25">
      <c r="C1106" s="66"/>
    </row>
    <row r="1107" spans="3:3" x14ac:dyDescent="0.25">
      <c r="C1107" s="66"/>
    </row>
    <row r="1108" spans="3:3" x14ac:dyDescent="0.25">
      <c r="C1108" s="66"/>
    </row>
    <row r="1109" spans="3:3" x14ac:dyDescent="0.25">
      <c r="C1109" s="66"/>
    </row>
    <row r="1110" spans="3:3" x14ac:dyDescent="0.25">
      <c r="C1110" s="66"/>
    </row>
    <row r="1111" spans="3:3" x14ac:dyDescent="0.25">
      <c r="C1111" s="66"/>
    </row>
    <row r="1112" spans="3:3" x14ac:dyDescent="0.25">
      <c r="C1112" s="66"/>
    </row>
    <row r="1113" spans="3:3" x14ac:dyDescent="0.25">
      <c r="C1113" s="66"/>
    </row>
    <row r="1114" spans="3:3" x14ac:dyDescent="0.25">
      <c r="C1114" s="66"/>
    </row>
    <row r="1115" spans="3:3" x14ac:dyDescent="0.25">
      <c r="C1115" s="66"/>
    </row>
    <row r="1116" spans="3:3" x14ac:dyDescent="0.25">
      <c r="C1116" s="66"/>
    </row>
    <row r="1117" spans="3:3" x14ac:dyDescent="0.25">
      <c r="C1117" s="66"/>
    </row>
    <row r="1118" spans="3:3" x14ac:dyDescent="0.25">
      <c r="C1118" s="66"/>
    </row>
    <row r="1119" spans="3:3" x14ac:dyDescent="0.25">
      <c r="C1119" s="66"/>
    </row>
    <row r="1120" spans="3:3" x14ac:dyDescent="0.25">
      <c r="C1120" s="66"/>
    </row>
    <row r="1121" spans="3:3" x14ac:dyDescent="0.25">
      <c r="C1121" s="66"/>
    </row>
    <row r="1122" spans="3:3" x14ac:dyDescent="0.25">
      <c r="C1122" s="66"/>
    </row>
    <row r="1123" spans="3:3" x14ac:dyDescent="0.25">
      <c r="C1123" s="66"/>
    </row>
    <row r="1124" spans="3:3" x14ac:dyDescent="0.25">
      <c r="C1124" s="66"/>
    </row>
    <row r="1125" spans="3:3" x14ac:dyDescent="0.25">
      <c r="C1125" s="66"/>
    </row>
    <row r="1126" spans="3:3" x14ac:dyDescent="0.25">
      <c r="C1126" s="66"/>
    </row>
    <row r="1127" spans="3:3" x14ac:dyDescent="0.25">
      <c r="C1127" s="66"/>
    </row>
    <row r="1128" spans="3:3" x14ac:dyDescent="0.25">
      <c r="C1128" s="66"/>
    </row>
    <row r="1129" spans="3:3" x14ac:dyDescent="0.25">
      <c r="C1129" s="66"/>
    </row>
    <row r="1130" spans="3:3" x14ac:dyDescent="0.25">
      <c r="C1130" s="66"/>
    </row>
    <row r="1131" spans="3:3" x14ac:dyDescent="0.25">
      <c r="C1131" s="66"/>
    </row>
    <row r="1132" spans="3:3" x14ac:dyDescent="0.25">
      <c r="C1132" s="66"/>
    </row>
    <row r="1133" spans="3:3" x14ac:dyDescent="0.25">
      <c r="C1133" s="66"/>
    </row>
    <row r="1134" spans="3:3" x14ac:dyDescent="0.25">
      <c r="C1134" s="66"/>
    </row>
    <row r="1135" spans="3:3" x14ac:dyDescent="0.25">
      <c r="C1135" s="66"/>
    </row>
    <row r="1136" spans="3:3" x14ac:dyDescent="0.25">
      <c r="C1136" s="66"/>
    </row>
    <row r="1137" spans="3:3" x14ac:dyDescent="0.25">
      <c r="C1137" s="66"/>
    </row>
    <row r="1138" spans="3:3" x14ac:dyDescent="0.25">
      <c r="C1138" s="66"/>
    </row>
    <row r="1139" spans="3:3" x14ac:dyDescent="0.25">
      <c r="C1139" s="66"/>
    </row>
    <row r="1140" spans="3:3" x14ac:dyDescent="0.25">
      <c r="C1140" s="66"/>
    </row>
    <row r="1141" spans="3:3" x14ac:dyDescent="0.25">
      <c r="C1141" s="66"/>
    </row>
    <row r="1142" spans="3:3" x14ac:dyDescent="0.25">
      <c r="C1142" s="66"/>
    </row>
    <row r="1143" spans="3:3" x14ac:dyDescent="0.25">
      <c r="C1143" s="66"/>
    </row>
    <row r="1144" spans="3:3" x14ac:dyDescent="0.25">
      <c r="C1144" s="66"/>
    </row>
    <row r="1145" spans="3:3" x14ac:dyDescent="0.25">
      <c r="C1145" s="66"/>
    </row>
    <row r="1146" spans="3:3" x14ac:dyDescent="0.25">
      <c r="C1146" s="66"/>
    </row>
    <row r="1147" spans="3:3" x14ac:dyDescent="0.25">
      <c r="C1147" s="66"/>
    </row>
    <row r="1148" spans="3:3" x14ac:dyDescent="0.25">
      <c r="C1148" s="66"/>
    </row>
    <row r="1149" spans="3:3" x14ac:dyDescent="0.25">
      <c r="C1149" s="66"/>
    </row>
    <row r="1150" spans="3:3" x14ac:dyDescent="0.25">
      <c r="C1150" s="66"/>
    </row>
    <row r="1151" spans="3:3" x14ac:dyDescent="0.25">
      <c r="C1151" s="66"/>
    </row>
    <row r="1152" spans="3:3" x14ac:dyDescent="0.25">
      <c r="C1152" s="66"/>
    </row>
    <row r="1153" spans="3:3" x14ac:dyDescent="0.25">
      <c r="C1153" s="66"/>
    </row>
    <row r="1154" spans="3:3" x14ac:dyDescent="0.25">
      <c r="C1154" s="66"/>
    </row>
    <row r="1155" spans="3:3" x14ac:dyDescent="0.25">
      <c r="C1155" s="66"/>
    </row>
    <row r="1156" spans="3:3" x14ac:dyDescent="0.25">
      <c r="C1156" s="66"/>
    </row>
    <row r="1157" spans="3:3" x14ac:dyDescent="0.25">
      <c r="C1157" s="66"/>
    </row>
    <row r="1158" spans="3:3" x14ac:dyDescent="0.25">
      <c r="C1158" s="66"/>
    </row>
    <row r="1159" spans="3:3" x14ac:dyDescent="0.25">
      <c r="C1159" s="66"/>
    </row>
    <row r="1160" spans="3:3" x14ac:dyDescent="0.25">
      <c r="C1160" s="66"/>
    </row>
    <row r="1161" spans="3:3" x14ac:dyDescent="0.25">
      <c r="C1161" s="66"/>
    </row>
    <row r="1162" spans="3:3" x14ac:dyDescent="0.25">
      <c r="C1162" s="66"/>
    </row>
    <row r="1163" spans="3:3" x14ac:dyDescent="0.25">
      <c r="C1163" s="66"/>
    </row>
    <row r="1164" spans="3:3" x14ac:dyDescent="0.25">
      <c r="C1164" s="66"/>
    </row>
    <row r="1165" spans="3:3" x14ac:dyDescent="0.25">
      <c r="C1165" s="66"/>
    </row>
    <row r="1166" spans="3:3" x14ac:dyDescent="0.25">
      <c r="C1166" s="66"/>
    </row>
    <row r="1167" spans="3:3" x14ac:dyDescent="0.25">
      <c r="C1167" s="66"/>
    </row>
    <row r="1168" spans="3:3" x14ac:dyDescent="0.25">
      <c r="C1168" s="66"/>
    </row>
    <row r="1169" spans="3:3" x14ac:dyDescent="0.25">
      <c r="C1169" s="66"/>
    </row>
    <row r="1170" spans="3:3" x14ac:dyDescent="0.25">
      <c r="C1170" s="66"/>
    </row>
    <row r="1171" spans="3:3" x14ac:dyDescent="0.25">
      <c r="C1171" s="66"/>
    </row>
    <row r="1172" spans="3:3" x14ac:dyDescent="0.25">
      <c r="C1172" s="66"/>
    </row>
    <row r="1173" spans="3:3" x14ac:dyDescent="0.25">
      <c r="C1173" s="66"/>
    </row>
    <row r="1174" spans="3:3" x14ac:dyDescent="0.25">
      <c r="C1174" s="66"/>
    </row>
    <row r="1175" spans="3:3" x14ac:dyDescent="0.25">
      <c r="C1175" s="66"/>
    </row>
    <row r="1176" spans="3:3" x14ac:dyDescent="0.25">
      <c r="C1176" s="66"/>
    </row>
    <row r="1177" spans="3:3" x14ac:dyDescent="0.25">
      <c r="C1177" s="66"/>
    </row>
    <row r="1178" spans="3:3" x14ac:dyDescent="0.25">
      <c r="C1178" s="66"/>
    </row>
    <row r="1179" spans="3:3" x14ac:dyDescent="0.25">
      <c r="C1179" s="66"/>
    </row>
    <row r="1180" spans="3:3" x14ac:dyDescent="0.25">
      <c r="C1180" s="66"/>
    </row>
    <row r="1181" spans="3:3" x14ac:dyDescent="0.25">
      <c r="C1181" s="66"/>
    </row>
    <row r="1182" spans="3:3" x14ac:dyDescent="0.25">
      <c r="C1182" s="66"/>
    </row>
    <row r="1183" spans="3:3" x14ac:dyDescent="0.25">
      <c r="C1183" s="66"/>
    </row>
    <row r="1184" spans="3:3" x14ac:dyDescent="0.25">
      <c r="C1184" s="66"/>
    </row>
    <row r="1185" spans="3:3" x14ac:dyDescent="0.25">
      <c r="C1185" s="66"/>
    </row>
    <row r="1186" spans="3:3" x14ac:dyDescent="0.25">
      <c r="C1186" s="66"/>
    </row>
    <row r="1187" spans="3:3" x14ac:dyDescent="0.25">
      <c r="C1187" s="66"/>
    </row>
    <row r="1188" spans="3:3" x14ac:dyDescent="0.25">
      <c r="C1188" s="66"/>
    </row>
    <row r="1189" spans="3:3" x14ac:dyDescent="0.25">
      <c r="C1189" s="66"/>
    </row>
    <row r="1190" spans="3:3" x14ac:dyDescent="0.25">
      <c r="C1190" s="66"/>
    </row>
    <row r="1191" spans="3:3" x14ac:dyDescent="0.25">
      <c r="C1191" s="66"/>
    </row>
    <row r="1192" spans="3:3" x14ac:dyDescent="0.25">
      <c r="C1192" s="66"/>
    </row>
    <row r="1193" spans="3:3" x14ac:dyDescent="0.25">
      <c r="C1193" s="66"/>
    </row>
    <row r="1194" spans="3:3" x14ac:dyDescent="0.25">
      <c r="C1194" s="66"/>
    </row>
    <row r="1195" spans="3:3" x14ac:dyDescent="0.25">
      <c r="C1195" s="66"/>
    </row>
    <row r="1196" spans="3:3" x14ac:dyDescent="0.25">
      <c r="C1196" s="66"/>
    </row>
    <row r="1197" spans="3:3" x14ac:dyDescent="0.25">
      <c r="C1197" s="66"/>
    </row>
    <row r="1198" spans="3:3" x14ac:dyDescent="0.25">
      <c r="C1198" s="66"/>
    </row>
    <row r="1199" spans="3:3" x14ac:dyDescent="0.25">
      <c r="C1199" s="66"/>
    </row>
    <row r="1200" spans="3:3" x14ac:dyDescent="0.25">
      <c r="C1200" s="66"/>
    </row>
    <row r="1201" spans="3:3" x14ac:dyDescent="0.25">
      <c r="C1201" s="66"/>
    </row>
    <row r="1202" spans="3:3" x14ac:dyDescent="0.25">
      <c r="C1202" s="66"/>
    </row>
    <row r="1203" spans="3:3" x14ac:dyDescent="0.25">
      <c r="C1203" s="66"/>
    </row>
    <row r="1204" spans="3:3" x14ac:dyDescent="0.25">
      <c r="C1204" s="66"/>
    </row>
    <row r="1205" spans="3:3" x14ac:dyDescent="0.25">
      <c r="C1205" s="66"/>
    </row>
    <row r="1206" spans="3:3" x14ac:dyDescent="0.25">
      <c r="C1206" s="66"/>
    </row>
    <row r="1207" spans="3:3" x14ac:dyDescent="0.25">
      <c r="C1207" s="66"/>
    </row>
    <row r="1208" spans="3:3" x14ac:dyDescent="0.25">
      <c r="C1208" s="66"/>
    </row>
    <row r="1209" spans="3:3" x14ac:dyDescent="0.25">
      <c r="C1209" s="66"/>
    </row>
    <row r="1210" spans="3:3" x14ac:dyDescent="0.25">
      <c r="C1210" s="66"/>
    </row>
    <row r="1211" spans="3:3" x14ac:dyDescent="0.25">
      <c r="C1211" s="66"/>
    </row>
    <row r="1212" spans="3:3" x14ac:dyDescent="0.25">
      <c r="C1212" s="66"/>
    </row>
    <row r="1213" spans="3:3" x14ac:dyDescent="0.25">
      <c r="C1213" s="66"/>
    </row>
    <row r="1214" spans="3:3" x14ac:dyDescent="0.25">
      <c r="C1214" s="66"/>
    </row>
    <row r="1215" spans="3:3" x14ac:dyDescent="0.25">
      <c r="C1215" s="66"/>
    </row>
    <row r="1216" spans="3:3" x14ac:dyDescent="0.25">
      <c r="C1216" s="66"/>
    </row>
    <row r="1217" spans="3:3" x14ac:dyDescent="0.25">
      <c r="C1217" s="66"/>
    </row>
    <row r="1218" spans="3:3" x14ac:dyDescent="0.25">
      <c r="C1218" s="66"/>
    </row>
    <row r="1219" spans="3:3" x14ac:dyDescent="0.25">
      <c r="C1219" s="66"/>
    </row>
    <row r="1220" spans="3:3" x14ac:dyDescent="0.25">
      <c r="C1220" s="66"/>
    </row>
    <row r="1221" spans="3:3" x14ac:dyDescent="0.25">
      <c r="C1221" s="66"/>
    </row>
    <row r="1222" spans="3:3" x14ac:dyDescent="0.25">
      <c r="C1222" s="66"/>
    </row>
    <row r="1223" spans="3:3" x14ac:dyDescent="0.25">
      <c r="C1223" s="66"/>
    </row>
    <row r="1224" spans="3:3" x14ac:dyDescent="0.25">
      <c r="C1224" s="66"/>
    </row>
    <row r="1225" spans="3:3" x14ac:dyDescent="0.25">
      <c r="C1225" s="66"/>
    </row>
    <row r="1226" spans="3:3" x14ac:dyDescent="0.25">
      <c r="C1226" s="66"/>
    </row>
    <row r="1227" spans="3:3" x14ac:dyDescent="0.25">
      <c r="C1227" s="66"/>
    </row>
    <row r="1228" spans="3:3" x14ac:dyDescent="0.25">
      <c r="C1228" s="66"/>
    </row>
    <row r="1229" spans="3:3" x14ac:dyDescent="0.25">
      <c r="C1229" s="66"/>
    </row>
    <row r="1230" spans="3:3" x14ac:dyDescent="0.25">
      <c r="C1230" s="66"/>
    </row>
    <row r="1231" spans="3:3" x14ac:dyDescent="0.25">
      <c r="C1231" s="66"/>
    </row>
    <row r="1232" spans="3:3" x14ac:dyDescent="0.25">
      <c r="C1232" s="66"/>
    </row>
    <row r="1233" spans="3:3" x14ac:dyDescent="0.25">
      <c r="C1233" s="66"/>
    </row>
    <row r="1234" spans="3:3" x14ac:dyDescent="0.25">
      <c r="C1234" s="66"/>
    </row>
    <row r="1235" spans="3:3" x14ac:dyDescent="0.25">
      <c r="C1235" s="66"/>
    </row>
    <row r="1236" spans="3:3" x14ac:dyDescent="0.25">
      <c r="C1236" s="66"/>
    </row>
    <row r="1237" spans="3:3" x14ac:dyDescent="0.25">
      <c r="C1237" s="66"/>
    </row>
    <row r="1238" spans="3:3" x14ac:dyDescent="0.25">
      <c r="C1238" s="66"/>
    </row>
    <row r="1239" spans="3:3" x14ac:dyDescent="0.25">
      <c r="C1239" s="66"/>
    </row>
    <row r="1240" spans="3:3" x14ac:dyDescent="0.25">
      <c r="C1240" s="66"/>
    </row>
    <row r="1241" spans="3:3" x14ac:dyDescent="0.25">
      <c r="C1241" s="66"/>
    </row>
    <row r="1242" spans="3:3" x14ac:dyDescent="0.25">
      <c r="C1242" s="66"/>
    </row>
    <row r="1243" spans="3:3" x14ac:dyDescent="0.25">
      <c r="C1243" s="66"/>
    </row>
    <row r="1244" spans="3:3" x14ac:dyDescent="0.25">
      <c r="C1244" s="66"/>
    </row>
    <row r="1245" spans="3:3" x14ac:dyDescent="0.25">
      <c r="C1245" s="66"/>
    </row>
    <row r="1246" spans="3:3" x14ac:dyDescent="0.25">
      <c r="C1246" s="66"/>
    </row>
    <row r="1247" spans="3:3" x14ac:dyDescent="0.25">
      <c r="C1247" s="66"/>
    </row>
    <row r="1248" spans="3:3" x14ac:dyDescent="0.25">
      <c r="C1248" s="66"/>
    </row>
    <row r="1249" spans="3:3" x14ac:dyDescent="0.25">
      <c r="C1249" s="66"/>
    </row>
    <row r="1250" spans="3:3" x14ac:dyDescent="0.25">
      <c r="C1250" s="66"/>
    </row>
    <row r="1251" spans="3:3" x14ac:dyDescent="0.25">
      <c r="C1251" s="66"/>
    </row>
    <row r="1252" spans="3:3" x14ac:dyDescent="0.25">
      <c r="C1252" s="66"/>
    </row>
    <row r="1253" spans="3:3" x14ac:dyDescent="0.25">
      <c r="C1253" s="66"/>
    </row>
    <row r="1254" spans="3:3" x14ac:dyDescent="0.25">
      <c r="C1254" s="66"/>
    </row>
    <row r="1255" spans="3:3" x14ac:dyDescent="0.25">
      <c r="C1255" s="66"/>
    </row>
    <row r="1256" spans="3:3" x14ac:dyDescent="0.25">
      <c r="C1256" s="66"/>
    </row>
    <row r="1257" spans="3:3" x14ac:dyDescent="0.25">
      <c r="C1257" s="66"/>
    </row>
    <row r="1258" spans="3:3" x14ac:dyDescent="0.25">
      <c r="C1258" s="66"/>
    </row>
    <row r="1259" spans="3:3" x14ac:dyDescent="0.25">
      <c r="C1259" s="66"/>
    </row>
    <row r="1260" spans="3:3" x14ac:dyDescent="0.25">
      <c r="C1260" s="66"/>
    </row>
    <row r="1261" spans="3:3" x14ac:dyDescent="0.25">
      <c r="C1261" s="66"/>
    </row>
    <row r="1262" spans="3:3" x14ac:dyDescent="0.25">
      <c r="C1262" s="66"/>
    </row>
    <row r="1263" spans="3:3" x14ac:dyDescent="0.25">
      <c r="C1263" s="66"/>
    </row>
    <row r="1264" spans="3:3" x14ac:dyDescent="0.25">
      <c r="C1264" s="66"/>
    </row>
    <row r="1265" spans="3:3" x14ac:dyDescent="0.25">
      <c r="C1265" s="66"/>
    </row>
    <row r="1266" spans="3:3" x14ac:dyDescent="0.25">
      <c r="C1266" s="66"/>
    </row>
    <row r="1267" spans="3:3" x14ac:dyDescent="0.25">
      <c r="C1267" s="66"/>
    </row>
    <row r="1268" spans="3:3" x14ac:dyDescent="0.25">
      <c r="C1268" s="66"/>
    </row>
    <row r="1269" spans="3:3" x14ac:dyDescent="0.25">
      <c r="C1269" s="66"/>
    </row>
    <row r="1270" spans="3:3" x14ac:dyDescent="0.25">
      <c r="C1270" s="66"/>
    </row>
    <row r="1271" spans="3:3" x14ac:dyDescent="0.25">
      <c r="C1271" s="66"/>
    </row>
    <row r="1272" spans="3:3" x14ac:dyDescent="0.25">
      <c r="C1272" s="66"/>
    </row>
    <row r="1273" spans="3:3" x14ac:dyDescent="0.25">
      <c r="C1273" s="66"/>
    </row>
    <row r="1274" spans="3:3" x14ac:dyDescent="0.25">
      <c r="C1274" s="66"/>
    </row>
    <row r="1275" spans="3:3" x14ac:dyDescent="0.25">
      <c r="C1275" s="66"/>
    </row>
    <row r="1276" spans="3:3" x14ac:dyDescent="0.25">
      <c r="C1276" s="66"/>
    </row>
    <row r="1277" spans="3:3" x14ac:dyDescent="0.25">
      <c r="C1277" s="66"/>
    </row>
    <row r="1278" spans="3:3" x14ac:dyDescent="0.25">
      <c r="C1278" s="66"/>
    </row>
    <row r="1279" spans="3:3" x14ac:dyDescent="0.25">
      <c r="C1279" s="66"/>
    </row>
    <row r="1280" spans="3:3" x14ac:dyDescent="0.25">
      <c r="C1280" s="66"/>
    </row>
    <row r="1281" spans="3:3" x14ac:dyDescent="0.25">
      <c r="C1281" s="66"/>
    </row>
    <row r="1282" spans="3:3" x14ac:dyDescent="0.25">
      <c r="C1282" s="66"/>
    </row>
    <row r="1283" spans="3:3" x14ac:dyDescent="0.25">
      <c r="C1283" s="66"/>
    </row>
    <row r="1284" spans="3:3" x14ac:dyDescent="0.25">
      <c r="C1284" s="66"/>
    </row>
    <row r="1285" spans="3:3" x14ac:dyDescent="0.25">
      <c r="C1285" s="66"/>
    </row>
    <row r="1286" spans="3:3" x14ac:dyDescent="0.25">
      <c r="C1286" s="66"/>
    </row>
    <row r="1287" spans="3:3" x14ac:dyDescent="0.25">
      <c r="C1287" s="66"/>
    </row>
    <row r="1288" spans="3:3" x14ac:dyDescent="0.25">
      <c r="C1288" s="66"/>
    </row>
    <row r="1289" spans="3:3" x14ac:dyDescent="0.25">
      <c r="C1289" s="66"/>
    </row>
    <row r="1290" spans="3:3" x14ac:dyDescent="0.25">
      <c r="C1290" s="66"/>
    </row>
    <row r="1291" spans="3:3" x14ac:dyDescent="0.25">
      <c r="C1291" s="66"/>
    </row>
    <row r="1292" spans="3:3" x14ac:dyDescent="0.25">
      <c r="C1292" s="66"/>
    </row>
    <row r="1293" spans="3:3" x14ac:dyDescent="0.25">
      <c r="C1293" s="66"/>
    </row>
    <row r="1294" spans="3:3" x14ac:dyDescent="0.25">
      <c r="C1294" s="66"/>
    </row>
    <row r="1295" spans="3:3" x14ac:dyDescent="0.25">
      <c r="C1295" s="66"/>
    </row>
    <row r="1296" spans="3:3" x14ac:dyDescent="0.25">
      <c r="C1296" s="66"/>
    </row>
    <row r="1297" spans="3:3" x14ac:dyDescent="0.25">
      <c r="C1297" s="66"/>
    </row>
    <row r="1298" spans="3:3" x14ac:dyDescent="0.25">
      <c r="C1298" s="66"/>
    </row>
    <row r="1299" spans="3:3" x14ac:dyDescent="0.25">
      <c r="C1299" s="66"/>
    </row>
    <row r="1300" spans="3:3" x14ac:dyDescent="0.25">
      <c r="C1300" s="66"/>
    </row>
    <row r="1301" spans="3:3" x14ac:dyDescent="0.25">
      <c r="C1301" s="66"/>
    </row>
    <row r="1302" spans="3:3" x14ac:dyDescent="0.25">
      <c r="C1302" s="66"/>
    </row>
    <row r="1303" spans="3:3" x14ac:dyDescent="0.25">
      <c r="C1303" s="66"/>
    </row>
    <row r="1304" spans="3:3" x14ac:dyDescent="0.25">
      <c r="C1304" s="66"/>
    </row>
    <row r="1305" spans="3:3" x14ac:dyDescent="0.25">
      <c r="C1305" s="66"/>
    </row>
    <row r="1306" spans="3:3" x14ac:dyDescent="0.25">
      <c r="C1306" s="66"/>
    </row>
    <row r="1307" spans="3:3" x14ac:dyDescent="0.25">
      <c r="C1307" s="66"/>
    </row>
    <row r="1308" spans="3:3" x14ac:dyDescent="0.25">
      <c r="C1308" s="66"/>
    </row>
    <row r="1309" spans="3:3" x14ac:dyDescent="0.25">
      <c r="C1309" s="66"/>
    </row>
    <row r="1310" spans="3:3" x14ac:dyDescent="0.25">
      <c r="C1310" s="66"/>
    </row>
    <row r="1311" spans="3:3" x14ac:dyDescent="0.25">
      <c r="C1311" s="66"/>
    </row>
    <row r="1312" spans="3:3" x14ac:dyDescent="0.25">
      <c r="C1312" s="66"/>
    </row>
    <row r="1313" spans="3:3" x14ac:dyDescent="0.25">
      <c r="C1313" s="66"/>
    </row>
    <row r="1314" spans="3:3" x14ac:dyDescent="0.25">
      <c r="C1314" s="66"/>
    </row>
    <row r="1315" spans="3:3" x14ac:dyDescent="0.25">
      <c r="C1315" s="66"/>
    </row>
    <row r="1316" spans="3:3" x14ac:dyDescent="0.25">
      <c r="C1316" s="66"/>
    </row>
    <row r="1317" spans="3:3" x14ac:dyDescent="0.25">
      <c r="C1317" s="66"/>
    </row>
    <row r="1318" spans="3:3" x14ac:dyDescent="0.25">
      <c r="C1318" s="66"/>
    </row>
    <row r="1319" spans="3:3" x14ac:dyDescent="0.25">
      <c r="C1319" s="66"/>
    </row>
    <row r="1320" spans="3:3" x14ac:dyDescent="0.25">
      <c r="C1320" s="66"/>
    </row>
    <row r="1321" spans="3:3" x14ac:dyDescent="0.25">
      <c r="C1321" s="66"/>
    </row>
    <row r="1322" spans="3:3" x14ac:dyDescent="0.25">
      <c r="C1322" s="66"/>
    </row>
    <row r="1323" spans="3:3" x14ac:dyDescent="0.25">
      <c r="C1323" s="66"/>
    </row>
    <row r="1324" spans="3:3" x14ac:dyDescent="0.25">
      <c r="C1324" s="66"/>
    </row>
    <row r="1325" spans="3:3" x14ac:dyDescent="0.25">
      <c r="C1325" s="66"/>
    </row>
    <row r="1326" spans="3:3" x14ac:dyDescent="0.25">
      <c r="C1326" s="66"/>
    </row>
    <row r="1327" spans="3:3" x14ac:dyDescent="0.25">
      <c r="C1327" s="66"/>
    </row>
    <row r="1328" spans="3:3" x14ac:dyDescent="0.25">
      <c r="C1328" s="66"/>
    </row>
    <row r="1329" spans="3:3" x14ac:dyDescent="0.25">
      <c r="C1329" s="66"/>
    </row>
    <row r="1330" spans="3:3" x14ac:dyDescent="0.25">
      <c r="C1330" s="66"/>
    </row>
    <row r="1331" spans="3:3" x14ac:dyDescent="0.25">
      <c r="C1331" s="66"/>
    </row>
    <row r="1332" spans="3:3" x14ac:dyDescent="0.25">
      <c r="C1332" s="66"/>
    </row>
    <row r="1333" spans="3:3" x14ac:dyDescent="0.25">
      <c r="C1333" s="66"/>
    </row>
    <row r="1334" spans="3:3" x14ac:dyDescent="0.25">
      <c r="C1334" s="66"/>
    </row>
    <row r="1335" spans="3:3" x14ac:dyDescent="0.25">
      <c r="C1335" s="66"/>
    </row>
    <row r="1336" spans="3:3" x14ac:dyDescent="0.25">
      <c r="C1336" s="66"/>
    </row>
    <row r="1337" spans="3:3" x14ac:dyDescent="0.25">
      <c r="C1337" s="66"/>
    </row>
    <row r="1338" spans="3:3" x14ac:dyDescent="0.25">
      <c r="C1338" s="66"/>
    </row>
    <row r="1339" spans="3:3" x14ac:dyDescent="0.25">
      <c r="C1339" s="66"/>
    </row>
    <row r="1340" spans="3:3" x14ac:dyDescent="0.25">
      <c r="C1340" s="66"/>
    </row>
    <row r="1341" spans="3:3" x14ac:dyDescent="0.25">
      <c r="C1341" s="66"/>
    </row>
    <row r="1342" spans="3:3" x14ac:dyDescent="0.25">
      <c r="C1342" s="66"/>
    </row>
    <row r="1343" spans="3:3" x14ac:dyDescent="0.25">
      <c r="C1343" s="66"/>
    </row>
    <row r="1344" spans="3:3" x14ac:dyDescent="0.25">
      <c r="C1344" s="66"/>
    </row>
    <row r="1345" spans="3:3" x14ac:dyDescent="0.25">
      <c r="C1345" s="66"/>
    </row>
    <row r="1346" spans="3:3" x14ac:dyDescent="0.25">
      <c r="C1346" s="66"/>
    </row>
    <row r="1347" spans="3:3" x14ac:dyDescent="0.25">
      <c r="C1347" s="66"/>
    </row>
    <row r="1348" spans="3:3" x14ac:dyDescent="0.25">
      <c r="C1348" s="66"/>
    </row>
    <row r="1349" spans="3:3" x14ac:dyDescent="0.25">
      <c r="C1349" s="66"/>
    </row>
    <row r="1350" spans="3:3" x14ac:dyDescent="0.25">
      <c r="C1350" s="66"/>
    </row>
    <row r="1351" spans="3:3" x14ac:dyDescent="0.25">
      <c r="C1351" s="66"/>
    </row>
    <row r="1352" spans="3:3" x14ac:dyDescent="0.25">
      <c r="C1352" s="66"/>
    </row>
    <row r="1353" spans="3:3" x14ac:dyDescent="0.25">
      <c r="C1353" s="66"/>
    </row>
    <row r="1354" spans="3:3" x14ac:dyDescent="0.25">
      <c r="C1354" s="66"/>
    </row>
    <row r="1355" spans="3:3" x14ac:dyDescent="0.25">
      <c r="C1355" s="66"/>
    </row>
    <row r="1356" spans="3:3" x14ac:dyDescent="0.25">
      <c r="C1356" s="66"/>
    </row>
    <row r="1357" spans="3:3" x14ac:dyDescent="0.25">
      <c r="C1357" s="66"/>
    </row>
    <row r="1358" spans="3:3" x14ac:dyDescent="0.25">
      <c r="C1358" s="66"/>
    </row>
    <row r="1359" spans="3:3" x14ac:dyDescent="0.25">
      <c r="C1359" s="66"/>
    </row>
    <row r="1360" spans="3:3" x14ac:dyDescent="0.25">
      <c r="C1360" s="66"/>
    </row>
    <row r="1361" spans="3:3" x14ac:dyDescent="0.25">
      <c r="C1361" s="66"/>
    </row>
    <row r="1362" spans="3:3" x14ac:dyDescent="0.25">
      <c r="C1362" s="66"/>
    </row>
    <row r="1363" spans="3:3" x14ac:dyDescent="0.25">
      <c r="C1363" s="66"/>
    </row>
    <row r="1364" spans="3:3" x14ac:dyDescent="0.25">
      <c r="C1364" s="66"/>
    </row>
    <row r="1365" spans="3:3" x14ac:dyDescent="0.25">
      <c r="C1365" s="66"/>
    </row>
    <row r="1366" spans="3:3" x14ac:dyDescent="0.25">
      <c r="C1366" s="66"/>
    </row>
    <row r="1367" spans="3:3" x14ac:dyDescent="0.25">
      <c r="C1367" s="66"/>
    </row>
    <row r="1368" spans="3:3" x14ac:dyDescent="0.25">
      <c r="C1368" s="66"/>
    </row>
    <row r="1369" spans="3:3" x14ac:dyDescent="0.25">
      <c r="C1369" s="66"/>
    </row>
    <row r="1370" spans="3:3" x14ac:dyDescent="0.25">
      <c r="C1370" s="66"/>
    </row>
    <row r="1371" spans="3:3" x14ac:dyDescent="0.25">
      <c r="C1371" s="66"/>
    </row>
    <row r="1372" spans="3:3" x14ac:dyDescent="0.25">
      <c r="C1372" s="66"/>
    </row>
    <row r="1373" spans="3:3" x14ac:dyDescent="0.25">
      <c r="C1373" s="66"/>
    </row>
    <row r="1374" spans="3:3" x14ac:dyDescent="0.25">
      <c r="C1374" s="66"/>
    </row>
    <row r="1375" spans="3:3" x14ac:dyDescent="0.25">
      <c r="C1375" s="66"/>
    </row>
    <row r="1376" spans="3:3" x14ac:dyDescent="0.25">
      <c r="C1376" s="66"/>
    </row>
    <row r="1377" spans="3:3" x14ac:dyDescent="0.25">
      <c r="C1377" s="66"/>
    </row>
    <row r="1378" spans="3:3" x14ac:dyDescent="0.25">
      <c r="C1378" s="66"/>
    </row>
    <row r="1379" spans="3:3" x14ac:dyDescent="0.25">
      <c r="C1379" s="66"/>
    </row>
    <row r="1380" spans="3:3" x14ac:dyDescent="0.25">
      <c r="C1380" s="66"/>
    </row>
    <row r="1381" spans="3:3" x14ac:dyDescent="0.25">
      <c r="C1381" s="66"/>
    </row>
    <row r="1382" spans="3:3" x14ac:dyDescent="0.25">
      <c r="C1382" s="66"/>
    </row>
    <row r="1383" spans="3:3" x14ac:dyDescent="0.25">
      <c r="C1383" s="66"/>
    </row>
    <row r="1384" spans="3:3" x14ac:dyDescent="0.25">
      <c r="C1384" s="66"/>
    </row>
    <row r="1385" spans="3:3" x14ac:dyDescent="0.25">
      <c r="C1385" s="66"/>
    </row>
    <row r="1386" spans="3:3" x14ac:dyDescent="0.25">
      <c r="C1386" s="66"/>
    </row>
    <row r="1387" spans="3:3" x14ac:dyDescent="0.25">
      <c r="C1387" s="66"/>
    </row>
    <row r="1388" spans="3:3" x14ac:dyDescent="0.25">
      <c r="C1388" s="66"/>
    </row>
    <row r="1389" spans="3:3" x14ac:dyDescent="0.25">
      <c r="C1389" s="66"/>
    </row>
    <row r="1390" spans="3:3" x14ac:dyDescent="0.25">
      <c r="C1390" s="66"/>
    </row>
    <row r="1391" spans="3:3" x14ac:dyDescent="0.25">
      <c r="C1391" s="66"/>
    </row>
    <row r="1392" spans="3:3" x14ac:dyDescent="0.25">
      <c r="C1392" s="66"/>
    </row>
    <row r="1393" spans="3:3" x14ac:dyDescent="0.25">
      <c r="C1393" s="66"/>
    </row>
    <row r="1394" spans="3:3" x14ac:dyDescent="0.25">
      <c r="C1394" s="66"/>
    </row>
    <row r="1395" spans="3:3" x14ac:dyDescent="0.25">
      <c r="C1395" s="66"/>
    </row>
    <row r="1396" spans="3:3" x14ac:dyDescent="0.25">
      <c r="C1396" s="66"/>
    </row>
    <row r="1397" spans="3:3" x14ac:dyDescent="0.25">
      <c r="C1397" s="66"/>
    </row>
    <row r="1398" spans="3:3" x14ac:dyDescent="0.25">
      <c r="C1398" s="66"/>
    </row>
    <row r="1399" spans="3:3" x14ac:dyDescent="0.25">
      <c r="C1399" s="66"/>
    </row>
    <row r="1400" spans="3:3" x14ac:dyDescent="0.25">
      <c r="C1400" s="66"/>
    </row>
    <row r="1401" spans="3:3" x14ac:dyDescent="0.25">
      <c r="C1401" s="66"/>
    </row>
    <row r="1402" spans="3:3" x14ac:dyDescent="0.25">
      <c r="C1402" s="66"/>
    </row>
    <row r="1403" spans="3:3" x14ac:dyDescent="0.25">
      <c r="C1403" s="66"/>
    </row>
    <row r="1404" spans="3:3" x14ac:dyDescent="0.25">
      <c r="C1404" s="66"/>
    </row>
    <row r="1405" spans="3:3" x14ac:dyDescent="0.25">
      <c r="C1405" s="66"/>
    </row>
    <row r="1406" spans="3:3" x14ac:dyDescent="0.25">
      <c r="C1406" s="66"/>
    </row>
    <row r="1407" spans="3:3" x14ac:dyDescent="0.25">
      <c r="C1407" s="66"/>
    </row>
    <row r="1408" spans="3:3" x14ac:dyDescent="0.25">
      <c r="C1408" s="66"/>
    </row>
    <row r="1409" spans="3:3" x14ac:dyDescent="0.25">
      <c r="C1409" s="66"/>
    </row>
    <row r="1410" spans="3:3" x14ac:dyDescent="0.25">
      <c r="C1410" s="66"/>
    </row>
    <row r="1411" spans="3:3" x14ac:dyDescent="0.25">
      <c r="C1411" s="66"/>
    </row>
    <row r="1412" spans="3:3" x14ac:dyDescent="0.25">
      <c r="C1412" s="66"/>
    </row>
    <row r="1413" spans="3:3" x14ac:dyDescent="0.25">
      <c r="C1413" s="66"/>
    </row>
    <row r="1414" spans="3:3" x14ac:dyDescent="0.25">
      <c r="C1414" s="66"/>
    </row>
    <row r="1415" spans="3:3" x14ac:dyDescent="0.25">
      <c r="C1415" s="66"/>
    </row>
    <row r="1416" spans="3:3" x14ac:dyDescent="0.25">
      <c r="C1416" s="66"/>
    </row>
    <row r="1417" spans="3:3" x14ac:dyDescent="0.25">
      <c r="C1417" s="66"/>
    </row>
    <row r="1418" spans="3:3" x14ac:dyDescent="0.25">
      <c r="C1418" s="66"/>
    </row>
    <row r="1419" spans="3:3" x14ac:dyDescent="0.25">
      <c r="C1419" s="66"/>
    </row>
    <row r="1420" spans="3:3" x14ac:dyDescent="0.25">
      <c r="C1420" s="66"/>
    </row>
    <row r="1421" spans="3:3" x14ac:dyDescent="0.25">
      <c r="C1421" s="66"/>
    </row>
    <row r="1422" spans="3:3" x14ac:dyDescent="0.25">
      <c r="C1422" s="66"/>
    </row>
    <row r="1423" spans="3:3" x14ac:dyDescent="0.25">
      <c r="C1423" s="66"/>
    </row>
    <row r="1424" spans="3:3" x14ac:dyDescent="0.25">
      <c r="C1424" s="66"/>
    </row>
    <row r="1425" spans="3:3" x14ac:dyDescent="0.25">
      <c r="C1425" s="66"/>
    </row>
    <row r="1426" spans="3:3" x14ac:dyDescent="0.25">
      <c r="C1426" s="66"/>
    </row>
    <row r="1427" spans="3:3" x14ac:dyDescent="0.25">
      <c r="C1427" s="66"/>
    </row>
    <row r="1428" spans="3:3" x14ac:dyDescent="0.25">
      <c r="C1428" s="66"/>
    </row>
    <row r="1429" spans="3:3" x14ac:dyDescent="0.25">
      <c r="C1429" s="66"/>
    </row>
    <row r="1430" spans="3:3" x14ac:dyDescent="0.25">
      <c r="C1430" s="66"/>
    </row>
    <row r="1431" spans="3:3" x14ac:dyDescent="0.25">
      <c r="C1431" s="66"/>
    </row>
    <row r="1432" spans="3:3" x14ac:dyDescent="0.25">
      <c r="C1432" s="66"/>
    </row>
    <row r="1433" spans="3:3" x14ac:dyDescent="0.25">
      <c r="C1433" s="66"/>
    </row>
    <row r="1434" spans="3:3" x14ac:dyDescent="0.25">
      <c r="C1434" s="66"/>
    </row>
    <row r="1435" spans="3:3" x14ac:dyDescent="0.25">
      <c r="C1435" s="66"/>
    </row>
    <row r="1436" spans="3:3" x14ac:dyDescent="0.25">
      <c r="C1436" s="66"/>
    </row>
    <row r="1437" spans="3:3" x14ac:dyDescent="0.25">
      <c r="C1437" s="66"/>
    </row>
    <row r="1438" spans="3:3" x14ac:dyDescent="0.25">
      <c r="C1438" s="66"/>
    </row>
    <row r="1439" spans="3:3" x14ac:dyDescent="0.25">
      <c r="C1439" s="66"/>
    </row>
    <row r="1440" spans="3:3" x14ac:dyDescent="0.25">
      <c r="C1440" s="66"/>
    </row>
    <row r="1441" spans="3:3" x14ac:dyDescent="0.25">
      <c r="C1441" s="66"/>
    </row>
    <row r="1442" spans="3:3" x14ac:dyDescent="0.25">
      <c r="C1442" s="66"/>
    </row>
    <row r="1443" spans="3:3" x14ac:dyDescent="0.25">
      <c r="C1443" s="66"/>
    </row>
    <row r="1444" spans="3:3" x14ac:dyDescent="0.25">
      <c r="C1444" s="66"/>
    </row>
    <row r="1445" spans="3:3" x14ac:dyDescent="0.25">
      <c r="C1445" s="66"/>
    </row>
    <row r="1446" spans="3:3" x14ac:dyDescent="0.25">
      <c r="C1446" s="66"/>
    </row>
    <row r="1447" spans="3:3" x14ac:dyDescent="0.25">
      <c r="C1447" s="66"/>
    </row>
    <row r="1448" spans="3:3" x14ac:dyDescent="0.25">
      <c r="C1448" s="66"/>
    </row>
    <row r="1449" spans="3:3" x14ac:dyDescent="0.25">
      <c r="C1449" s="66"/>
    </row>
    <row r="1450" spans="3:3" x14ac:dyDescent="0.25">
      <c r="C1450" s="66"/>
    </row>
    <row r="1451" spans="3:3" x14ac:dyDescent="0.25">
      <c r="C1451" s="66"/>
    </row>
    <row r="1452" spans="3:3" x14ac:dyDescent="0.25">
      <c r="C1452" s="66"/>
    </row>
    <row r="1453" spans="3:3" x14ac:dyDescent="0.25">
      <c r="C1453" s="66"/>
    </row>
    <row r="1454" spans="3:3" x14ac:dyDescent="0.25">
      <c r="C1454" s="66"/>
    </row>
    <row r="1455" spans="3:3" x14ac:dyDescent="0.25">
      <c r="C1455" s="66"/>
    </row>
    <row r="1456" spans="3:3" x14ac:dyDescent="0.25">
      <c r="C1456" s="66"/>
    </row>
    <row r="1457" spans="3:3" x14ac:dyDescent="0.25">
      <c r="C1457" s="66"/>
    </row>
    <row r="1458" spans="3:3" x14ac:dyDescent="0.25">
      <c r="C1458" s="66"/>
    </row>
    <row r="1459" spans="3:3" x14ac:dyDescent="0.25">
      <c r="C1459" s="66"/>
    </row>
    <row r="1460" spans="3:3" x14ac:dyDescent="0.25">
      <c r="C1460" s="66"/>
    </row>
    <row r="1461" spans="3:3" x14ac:dyDescent="0.25">
      <c r="C1461" s="66"/>
    </row>
    <row r="1462" spans="3:3" x14ac:dyDescent="0.25">
      <c r="C1462" s="66"/>
    </row>
    <row r="1463" spans="3:3" x14ac:dyDescent="0.25">
      <c r="C1463" s="66"/>
    </row>
    <row r="1464" spans="3:3" x14ac:dyDescent="0.25">
      <c r="C1464" s="66"/>
    </row>
    <row r="1465" spans="3:3" x14ac:dyDescent="0.25">
      <c r="C1465" s="66"/>
    </row>
    <row r="1466" spans="3:3" x14ac:dyDescent="0.25">
      <c r="C1466" s="66"/>
    </row>
    <row r="1467" spans="3:3" x14ac:dyDescent="0.25">
      <c r="C1467" s="66"/>
    </row>
    <row r="1468" spans="3:3" x14ac:dyDescent="0.25">
      <c r="C1468" s="66"/>
    </row>
    <row r="1469" spans="3:3" x14ac:dyDescent="0.25">
      <c r="C1469" s="66"/>
    </row>
    <row r="1470" spans="3:3" x14ac:dyDescent="0.25">
      <c r="C1470" s="66"/>
    </row>
    <row r="1471" spans="3:3" x14ac:dyDescent="0.25">
      <c r="C1471" s="66"/>
    </row>
    <row r="1472" spans="3:3" x14ac:dyDescent="0.25">
      <c r="C1472" s="66"/>
    </row>
    <row r="1473" spans="3:3" x14ac:dyDescent="0.25">
      <c r="C1473" s="66"/>
    </row>
    <row r="1474" spans="3:3" x14ac:dyDescent="0.25">
      <c r="C1474" s="66"/>
    </row>
    <row r="1475" spans="3:3" x14ac:dyDescent="0.25">
      <c r="C1475" s="66"/>
    </row>
    <row r="1476" spans="3:3" x14ac:dyDescent="0.25">
      <c r="C1476" s="66"/>
    </row>
    <row r="1477" spans="3:3" x14ac:dyDescent="0.25">
      <c r="C1477" s="66"/>
    </row>
    <row r="1478" spans="3:3" x14ac:dyDescent="0.25">
      <c r="C1478" s="66"/>
    </row>
    <row r="1479" spans="3:3" x14ac:dyDescent="0.25">
      <c r="C1479" s="66"/>
    </row>
    <row r="1480" spans="3:3" x14ac:dyDescent="0.25">
      <c r="C1480" s="66"/>
    </row>
    <row r="1481" spans="3:3" x14ac:dyDescent="0.25">
      <c r="C1481" s="66"/>
    </row>
    <row r="1482" spans="3:3" x14ac:dyDescent="0.25">
      <c r="C1482" s="66"/>
    </row>
    <row r="1483" spans="3:3" x14ac:dyDescent="0.25">
      <c r="C1483" s="66"/>
    </row>
    <row r="1484" spans="3:3" x14ac:dyDescent="0.25">
      <c r="C1484" s="66"/>
    </row>
    <row r="1485" spans="3:3" x14ac:dyDescent="0.25">
      <c r="C1485" s="66"/>
    </row>
    <row r="1486" spans="3:3" x14ac:dyDescent="0.25">
      <c r="C1486" s="66"/>
    </row>
    <row r="1487" spans="3:3" x14ac:dyDescent="0.25">
      <c r="C1487" s="66"/>
    </row>
    <row r="1488" spans="3:3" x14ac:dyDescent="0.25">
      <c r="C1488" s="66"/>
    </row>
    <row r="1489" spans="3:3" x14ac:dyDescent="0.25">
      <c r="C1489" s="66"/>
    </row>
    <row r="1490" spans="3:3" x14ac:dyDescent="0.25">
      <c r="C1490" s="66"/>
    </row>
    <row r="1491" spans="3:3" x14ac:dyDescent="0.25">
      <c r="C1491" s="66"/>
    </row>
    <row r="1492" spans="3:3" x14ac:dyDescent="0.25">
      <c r="C1492" s="66"/>
    </row>
    <row r="1493" spans="3:3" x14ac:dyDescent="0.25">
      <c r="C1493" s="66"/>
    </row>
    <row r="1494" spans="3:3" x14ac:dyDescent="0.25">
      <c r="C1494" s="66"/>
    </row>
    <row r="1495" spans="3:3" x14ac:dyDescent="0.25">
      <c r="C1495" s="66"/>
    </row>
    <row r="1496" spans="3:3" x14ac:dyDescent="0.25">
      <c r="C1496" s="66"/>
    </row>
    <row r="1497" spans="3:3" x14ac:dyDescent="0.25">
      <c r="C1497" s="66"/>
    </row>
    <row r="1498" spans="3:3" x14ac:dyDescent="0.25">
      <c r="C1498" s="66"/>
    </row>
    <row r="1499" spans="3:3" x14ac:dyDescent="0.25">
      <c r="C1499" s="66"/>
    </row>
    <row r="1500" spans="3:3" x14ac:dyDescent="0.25">
      <c r="C1500" s="66"/>
    </row>
    <row r="1501" spans="3:3" x14ac:dyDescent="0.25">
      <c r="C1501" s="66"/>
    </row>
    <row r="1502" spans="3:3" x14ac:dyDescent="0.25">
      <c r="C1502" s="66"/>
    </row>
    <row r="1503" spans="3:3" x14ac:dyDescent="0.25">
      <c r="C1503" s="66"/>
    </row>
    <row r="1504" spans="3:3" x14ac:dyDescent="0.25">
      <c r="C1504" s="66"/>
    </row>
    <row r="1505" spans="3:3" x14ac:dyDescent="0.25">
      <c r="C1505" s="66"/>
    </row>
    <row r="1506" spans="3:3" x14ac:dyDescent="0.25">
      <c r="C1506" s="66"/>
    </row>
    <row r="1507" spans="3:3" x14ac:dyDescent="0.25">
      <c r="C1507" s="66"/>
    </row>
    <row r="1508" spans="3:3" x14ac:dyDescent="0.25">
      <c r="C1508" s="66"/>
    </row>
    <row r="1509" spans="3:3" x14ac:dyDescent="0.25">
      <c r="C1509" s="66"/>
    </row>
    <row r="1510" spans="3:3" x14ac:dyDescent="0.25">
      <c r="C1510" s="66"/>
    </row>
    <row r="1511" spans="3:3" x14ac:dyDescent="0.25">
      <c r="C1511" s="66"/>
    </row>
    <row r="1512" spans="3:3" x14ac:dyDescent="0.25">
      <c r="C1512" s="66"/>
    </row>
    <row r="1513" spans="3:3" x14ac:dyDescent="0.25">
      <c r="C1513" s="66"/>
    </row>
    <row r="1514" spans="3:3" x14ac:dyDescent="0.25">
      <c r="C1514" s="66"/>
    </row>
    <row r="1515" spans="3:3" x14ac:dyDescent="0.25">
      <c r="C1515" s="66"/>
    </row>
    <row r="1516" spans="3:3" x14ac:dyDescent="0.25">
      <c r="C1516" s="66"/>
    </row>
    <row r="1517" spans="3:3" x14ac:dyDescent="0.25">
      <c r="C1517" s="66"/>
    </row>
    <row r="1518" spans="3:3" x14ac:dyDescent="0.25">
      <c r="C1518" s="66"/>
    </row>
    <row r="1519" spans="3:3" x14ac:dyDescent="0.25">
      <c r="C1519" s="66"/>
    </row>
    <row r="1520" spans="3:3" x14ac:dyDescent="0.25">
      <c r="C1520" s="66"/>
    </row>
    <row r="1521" spans="3:3" x14ac:dyDescent="0.25">
      <c r="C1521" s="66"/>
    </row>
    <row r="1522" spans="3:3" x14ac:dyDescent="0.25">
      <c r="C1522" s="66"/>
    </row>
    <row r="1523" spans="3:3" x14ac:dyDescent="0.25">
      <c r="C1523" s="66"/>
    </row>
    <row r="1524" spans="3:3" x14ac:dyDescent="0.25">
      <c r="C1524" s="66"/>
    </row>
    <row r="1525" spans="3:3" x14ac:dyDescent="0.25">
      <c r="C1525" s="66"/>
    </row>
    <row r="1526" spans="3:3" x14ac:dyDescent="0.25">
      <c r="C1526" s="66"/>
    </row>
    <row r="1527" spans="3:3" x14ac:dyDescent="0.25">
      <c r="C1527" s="66"/>
    </row>
    <row r="1528" spans="3:3" x14ac:dyDescent="0.25">
      <c r="C1528" s="66"/>
    </row>
    <row r="1529" spans="3:3" x14ac:dyDescent="0.25">
      <c r="C1529" s="66"/>
    </row>
    <row r="1530" spans="3:3" x14ac:dyDescent="0.25">
      <c r="C1530" s="66"/>
    </row>
    <row r="1531" spans="3:3" x14ac:dyDescent="0.25">
      <c r="C1531" s="66"/>
    </row>
    <row r="1532" spans="3:3" x14ac:dyDescent="0.25">
      <c r="C1532" s="66"/>
    </row>
    <row r="1533" spans="3:3" x14ac:dyDescent="0.25">
      <c r="C1533" s="66"/>
    </row>
    <row r="1534" spans="3:3" x14ac:dyDescent="0.25">
      <c r="C1534" s="66"/>
    </row>
    <row r="1535" spans="3:3" x14ac:dyDescent="0.25">
      <c r="C1535" s="66"/>
    </row>
    <row r="1536" spans="3:3" x14ac:dyDescent="0.25">
      <c r="C1536" s="66"/>
    </row>
    <row r="1537" spans="3:3" x14ac:dyDescent="0.25">
      <c r="C1537" s="66"/>
    </row>
    <row r="1538" spans="3:3" x14ac:dyDescent="0.25">
      <c r="C1538" s="66"/>
    </row>
    <row r="1539" spans="3:3" x14ac:dyDescent="0.25">
      <c r="C1539" s="66"/>
    </row>
    <row r="1540" spans="3:3" x14ac:dyDescent="0.25">
      <c r="C1540" s="66"/>
    </row>
    <row r="1541" spans="3:3" x14ac:dyDescent="0.25">
      <c r="C1541" s="66"/>
    </row>
    <row r="1542" spans="3:3" x14ac:dyDescent="0.25">
      <c r="C1542" s="66"/>
    </row>
    <row r="1543" spans="3:3" x14ac:dyDescent="0.25">
      <c r="C1543" s="66"/>
    </row>
    <row r="1544" spans="3:3" x14ac:dyDescent="0.25">
      <c r="C1544" s="66"/>
    </row>
    <row r="1545" spans="3:3" x14ac:dyDescent="0.25">
      <c r="C1545" s="66"/>
    </row>
    <row r="1546" spans="3:3" x14ac:dyDescent="0.25">
      <c r="C1546" s="66"/>
    </row>
    <row r="1547" spans="3:3" x14ac:dyDescent="0.25">
      <c r="C1547" s="66"/>
    </row>
    <row r="1548" spans="3:3" x14ac:dyDescent="0.25">
      <c r="C1548" s="66"/>
    </row>
    <row r="1549" spans="3:3" x14ac:dyDescent="0.25">
      <c r="C1549" s="66"/>
    </row>
    <row r="1550" spans="3:3" x14ac:dyDescent="0.25">
      <c r="C1550" s="66"/>
    </row>
    <row r="1551" spans="3:3" x14ac:dyDescent="0.25">
      <c r="C1551" s="66"/>
    </row>
    <row r="1552" spans="3:3" x14ac:dyDescent="0.25">
      <c r="C1552" s="66"/>
    </row>
    <row r="1553" spans="3:3" x14ac:dyDescent="0.25">
      <c r="C1553" s="66"/>
    </row>
    <row r="1554" spans="3:3" x14ac:dyDescent="0.25">
      <c r="C1554" s="66"/>
    </row>
    <row r="1555" spans="3:3" x14ac:dyDescent="0.25">
      <c r="C1555" s="66"/>
    </row>
    <row r="1556" spans="3:3" x14ac:dyDescent="0.25">
      <c r="C1556" s="66"/>
    </row>
    <row r="1557" spans="3:3" x14ac:dyDescent="0.25">
      <c r="C1557" s="66"/>
    </row>
    <row r="1558" spans="3:3" x14ac:dyDescent="0.25">
      <c r="C1558" s="66"/>
    </row>
    <row r="1559" spans="3:3" x14ac:dyDescent="0.25">
      <c r="C1559" s="66"/>
    </row>
    <row r="1560" spans="3:3" x14ac:dyDescent="0.25">
      <c r="C1560" s="66"/>
    </row>
    <row r="1561" spans="3:3" x14ac:dyDescent="0.25">
      <c r="C1561" s="66"/>
    </row>
    <row r="1562" spans="3:3" x14ac:dyDescent="0.25">
      <c r="C1562" s="66"/>
    </row>
    <row r="1563" spans="3:3" x14ac:dyDescent="0.25">
      <c r="C1563" s="66"/>
    </row>
    <row r="1564" spans="3:3" x14ac:dyDescent="0.25">
      <c r="C1564" s="66"/>
    </row>
    <row r="1565" spans="3:3" x14ac:dyDescent="0.25">
      <c r="C1565" s="66"/>
    </row>
    <row r="1566" spans="3:3" x14ac:dyDescent="0.25">
      <c r="C1566" s="66"/>
    </row>
    <row r="1567" spans="3:3" x14ac:dyDescent="0.25">
      <c r="C1567" s="66"/>
    </row>
    <row r="1568" spans="3:3" x14ac:dyDescent="0.25">
      <c r="C1568" s="66"/>
    </row>
    <row r="1569" spans="3:3" x14ac:dyDescent="0.25">
      <c r="C1569" s="66"/>
    </row>
    <row r="1570" spans="3:3" x14ac:dyDescent="0.25">
      <c r="C1570" s="66"/>
    </row>
    <row r="1571" spans="3:3" x14ac:dyDescent="0.25">
      <c r="C1571" s="66"/>
    </row>
    <row r="1572" spans="3:3" x14ac:dyDescent="0.25">
      <c r="C1572" s="66"/>
    </row>
    <row r="1573" spans="3:3" x14ac:dyDescent="0.25">
      <c r="C1573" s="66"/>
    </row>
    <row r="1574" spans="3:3" x14ac:dyDescent="0.25">
      <c r="C1574" s="66"/>
    </row>
    <row r="1575" spans="3:3" x14ac:dyDescent="0.25">
      <c r="C1575" s="66"/>
    </row>
    <row r="1576" spans="3:3" x14ac:dyDescent="0.25">
      <c r="C1576" s="66"/>
    </row>
    <row r="1577" spans="3:3" x14ac:dyDescent="0.25">
      <c r="C1577" s="66"/>
    </row>
    <row r="1578" spans="3:3" x14ac:dyDescent="0.25">
      <c r="C1578" s="66"/>
    </row>
    <row r="1579" spans="3:3" x14ac:dyDescent="0.25">
      <c r="C1579" s="66"/>
    </row>
    <row r="1580" spans="3:3" x14ac:dyDescent="0.25">
      <c r="C1580" s="66"/>
    </row>
    <row r="1581" spans="3:3" x14ac:dyDescent="0.25">
      <c r="C1581" s="66"/>
    </row>
    <row r="1582" spans="3:3" x14ac:dyDescent="0.25">
      <c r="C1582" s="66"/>
    </row>
    <row r="1583" spans="3:3" x14ac:dyDescent="0.25">
      <c r="C1583" s="66"/>
    </row>
    <row r="1584" spans="3:3" x14ac:dyDescent="0.25">
      <c r="C1584" s="66"/>
    </row>
    <row r="1585" spans="3:3" x14ac:dyDescent="0.25">
      <c r="C1585" s="66"/>
    </row>
    <row r="1586" spans="3:3" x14ac:dyDescent="0.25">
      <c r="C1586" s="66"/>
    </row>
    <row r="1587" spans="3:3" x14ac:dyDescent="0.25">
      <c r="C1587" s="66"/>
    </row>
    <row r="1588" spans="3:3" x14ac:dyDescent="0.25">
      <c r="C1588" s="66"/>
    </row>
    <row r="1589" spans="3:3" x14ac:dyDescent="0.25">
      <c r="C1589" s="66"/>
    </row>
    <row r="1590" spans="3:3" x14ac:dyDescent="0.25">
      <c r="C1590" s="66"/>
    </row>
    <row r="1591" spans="3:3" x14ac:dyDescent="0.25">
      <c r="C1591" s="66"/>
    </row>
    <row r="1592" spans="3:3" x14ac:dyDescent="0.25">
      <c r="C1592" s="66"/>
    </row>
    <row r="1593" spans="3:3" x14ac:dyDescent="0.25">
      <c r="C1593" s="66"/>
    </row>
    <row r="1594" spans="3:3" x14ac:dyDescent="0.25">
      <c r="C1594" s="66"/>
    </row>
    <row r="1595" spans="3:3" x14ac:dyDescent="0.25">
      <c r="C1595" s="66"/>
    </row>
    <row r="1596" spans="3:3" x14ac:dyDescent="0.25">
      <c r="C1596" s="66"/>
    </row>
    <row r="1597" spans="3:3" x14ac:dyDescent="0.25">
      <c r="C1597" s="66"/>
    </row>
    <row r="1598" spans="3:3" x14ac:dyDescent="0.25">
      <c r="C1598" s="66"/>
    </row>
    <row r="1599" spans="3:3" x14ac:dyDescent="0.25">
      <c r="C1599" s="66"/>
    </row>
    <row r="1600" spans="3:3" x14ac:dyDescent="0.25">
      <c r="C1600" s="66"/>
    </row>
    <row r="1601" spans="3:3" x14ac:dyDescent="0.25">
      <c r="C1601" s="66"/>
    </row>
    <row r="1602" spans="3:3" x14ac:dyDescent="0.25">
      <c r="C1602" s="66"/>
    </row>
    <row r="1603" spans="3:3" x14ac:dyDescent="0.25">
      <c r="C1603" s="66"/>
    </row>
    <row r="1604" spans="3:3" x14ac:dyDescent="0.25">
      <c r="C1604" s="66"/>
    </row>
    <row r="1605" spans="3:3" x14ac:dyDescent="0.25">
      <c r="C1605" s="66"/>
    </row>
    <row r="1606" spans="3:3" x14ac:dyDescent="0.25">
      <c r="C1606" s="66"/>
    </row>
    <row r="1607" spans="3:3" x14ac:dyDescent="0.25">
      <c r="C1607" s="66"/>
    </row>
    <row r="1608" spans="3:3" x14ac:dyDescent="0.25">
      <c r="C1608" s="66"/>
    </row>
    <row r="1609" spans="3:3" x14ac:dyDescent="0.25">
      <c r="C1609" s="66"/>
    </row>
    <row r="1610" spans="3:3" x14ac:dyDescent="0.25">
      <c r="C1610" s="66"/>
    </row>
    <row r="1611" spans="3:3" x14ac:dyDescent="0.25">
      <c r="C1611" s="66"/>
    </row>
    <row r="1612" spans="3:3" x14ac:dyDescent="0.25">
      <c r="C1612" s="66"/>
    </row>
    <row r="1613" spans="3:3" x14ac:dyDescent="0.25">
      <c r="C1613" s="66"/>
    </row>
    <row r="1614" spans="3:3" x14ac:dyDescent="0.25">
      <c r="C1614" s="66"/>
    </row>
    <row r="1615" spans="3:3" x14ac:dyDescent="0.25">
      <c r="C1615" s="66"/>
    </row>
    <row r="1616" spans="3:3" x14ac:dyDescent="0.25">
      <c r="C1616" s="66"/>
    </row>
    <row r="1617" spans="3:3" x14ac:dyDescent="0.25">
      <c r="C1617" s="66"/>
    </row>
    <row r="1618" spans="3:3" x14ac:dyDescent="0.25">
      <c r="C1618" s="66"/>
    </row>
    <row r="1619" spans="3:3" x14ac:dyDescent="0.25">
      <c r="C1619" s="66"/>
    </row>
    <row r="1620" spans="3:3" x14ac:dyDescent="0.25">
      <c r="C1620" s="66"/>
    </row>
    <row r="1621" spans="3:3" x14ac:dyDescent="0.25">
      <c r="C1621" s="66"/>
    </row>
    <row r="1622" spans="3:3" x14ac:dyDescent="0.25">
      <c r="C1622" s="66"/>
    </row>
    <row r="1623" spans="3:3" x14ac:dyDescent="0.25">
      <c r="C1623" s="66"/>
    </row>
    <row r="1624" spans="3:3" x14ac:dyDescent="0.25">
      <c r="C1624" s="66"/>
    </row>
    <row r="1625" spans="3:3" x14ac:dyDescent="0.25">
      <c r="C1625" s="66"/>
    </row>
    <row r="1626" spans="3:3" x14ac:dyDescent="0.25">
      <c r="C1626" s="66"/>
    </row>
    <row r="1627" spans="3:3" x14ac:dyDescent="0.25">
      <c r="C1627" s="66"/>
    </row>
    <row r="1628" spans="3:3" x14ac:dyDescent="0.25">
      <c r="C1628" s="66"/>
    </row>
    <row r="1629" spans="3:3" x14ac:dyDescent="0.25">
      <c r="C1629" s="66"/>
    </row>
    <row r="1630" spans="3:3" x14ac:dyDescent="0.25">
      <c r="C1630" s="66"/>
    </row>
    <row r="1631" spans="3:3" x14ac:dyDescent="0.25">
      <c r="C1631" s="66"/>
    </row>
    <row r="1632" spans="3:3" x14ac:dyDescent="0.25">
      <c r="C1632" s="66"/>
    </row>
    <row r="1633" spans="3:3" x14ac:dyDescent="0.25">
      <c r="C1633" s="66"/>
    </row>
    <row r="1634" spans="3:3" x14ac:dyDescent="0.25">
      <c r="C1634" s="66"/>
    </row>
    <row r="1635" spans="3:3" x14ac:dyDescent="0.25">
      <c r="C1635" s="66"/>
    </row>
    <row r="1636" spans="3:3" x14ac:dyDescent="0.25">
      <c r="C1636" s="66"/>
    </row>
    <row r="1637" spans="3:3" x14ac:dyDescent="0.25">
      <c r="C1637" s="66"/>
    </row>
    <row r="1638" spans="3:3" x14ac:dyDescent="0.25">
      <c r="C1638" s="66"/>
    </row>
    <row r="1639" spans="3:3" x14ac:dyDescent="0.25">
      <c r="C1639" s="66"/>
    </row>
    <row r="1640" spans="3:3" x14ac:dyDescent="0.25">
      <c r="C1640" s="66"/>
    </row>
    <row r="1641" spans="3:3" x14ac:dyDescent="0.25">
      <c r="C1641" s="66"/>
    </row>
    <row r="1642" spans="3:3" x14ac:dyDescent="0.25">
      <c r="C1642" s="66"/>
    </row>
    <row r="1643" spans="3:3" x14ac:dyDescent="0.25">
      <c r="C1643" s="66"/>
    </row>
    <row r="1644" spans="3:3" x14ac:dyDescent="0.25">
      <c r="C1644" s="66"/>
    </row>
    <row r="1645" spans="3:3" x14ac:dyDescent="0.25">
      <c r="C1645" s="66"/>
    </row>
    <row r="1646" spans="3:3" x14ac:dyDescent="0.25">
      <c r="C1646" s="66"/>
    </row>
    <row r="1647" spans="3:3" x14ac:dyDescent="0.25">
      <c r="C1647" s="66"/>
    </row>
    <row r="1648" spans="3:3" x14ac:dyDescent="0.25">
      <c r="C1648" s="66"/>
    </row>
    <row r="1649" spans="3:3" x14ac:dyDescent="0.25">
      <c r="C1649" s="66"/>
    </row>
    <row r="1650" spans="3:3" x14ac:dyDescent="0.25">
      <c r="C1650" s="66"/>
    </row>
    <row r="1651" spans="3:3" x14ac:dyDescent="0.25">
      <c r="C1651" s="66"/>
    </row>
    <row r="1652" spans="3:3" x14ac:dyDescent="0.25">
      <c r="C1652" s="66"/>
    </row>
    <row r="1653" spans="3:3" x14ac:dyDescent="0.25">
      <c r="C1653" s="66"/>
    </row>
    <row r="1654" spans="3:3" x14ac:dyDescent="0.25">
      <c r="C1654" s="66"/>
    </row>
    <row r="1655" spans="3:3" x14ac:dyDescent="0.25">
      <c r="C1655" s="66"/>
    </row>
    <row r="1656" spans="3:3" x14ac:dyDescent="0.25">
      <c r="C1656" s="66"/>
    </row>
    <row r="1657" spans="3:3" x14ac:dyDescent="0.25">
      <c r="C1657" s="66"/>
    </row>
    <row r="1658" spans="3:3" x14ac:dyDescent="0.25">
      <c r="C1658" s="66"/>
    </row>
    <row r="1659" spans="3:3" x14ac:dyDescent="0.25">
      <c r="C1659" s="66"/>
    </row>
    <row r="1660" spans="3:3" x14ac:dyDescent="0.25">
      <c r="C1660" s="66"/>
    </row>
    <row r="1661" spans="3:3" x14ac:dyDescent="0.25">
      <c r="C1661" s="66"/>
    </row>
    <row r="1662" spans="3:3" x14ac:dyDescent="0.25">
      <c r="C1662" s="66"/>
    </row>
    <row r="1663" spans="3:3" x14ac:dyDescent="0.25">
      <c r="C1663" s="66"/>
    </row>
    <row r="1664" spans="3:3" x14ac:dyDescent="0.25">
      <c r="C1664" s="66"/>
    </row>
    <row r="1665" spans="3:3" x14ac:dyDescent="0.25">
      <c r="C1665" s="66"/>
    </row>
    <row r="1666" spans="3:3" x14ac:dyDescent="0.25">
      <c r="C1666" s="66"/>
    </row>
    <row r="1667" spans="3:3" x14ac:dyDescent="0.25">
      <c r="C1667" s="66"/>
    </row>
    <row r="1668" spans="3:3" x14ac:dyDescent="0.25">
      <c r="C1668" s="66"/>
    </row>
    <row r="1669" spans="3:3" x14ac:dyDescent="0.25">
      <c r="C1669" s="66"/>
    </row>
    <row r="1670" spans="3:3" x14ac:dyDescent="0.25">
      <c r="C1670" s="66"/>
    </row>
    <row r="1671" spans="3:3" x14ac:dyDescent="0.25">
      <c r="C1671" s="66"/>
    </row>
    <row r="1672" spans="3:3" x14ac:dyDescent="0.25">
      <c r="C1672" s="66"/>
    </row>
    <row r="1673" spans="3:3" x14ac:dyDescent="0.25">
      <c r="C1673" s="66"/>
    </row>
    <row r="1674" spans="3:3" x14ac:dyDescent="0.25">
      <c r="C1674" s="66"/>
    </row>
    <row r="1675" spans="3:3" x14ac:dyDescent="0.25">
      <c r="C1675" s="66"/>
    </row>
    <row r="1676" spans="3:3" x14ac:dyDescent="0.25">
      <c r="C1676" s="66"/>
    </row>
    <row r="1677" spans="3:3" x14ac:dyDescent="0.25">
      <c r="C1677" s="66"/>
    </row>
    <row r="1678" spans="3:3" x14ac:dyDescent="0.25">
      <c r="C1678" s="66"/>
    </row>
    <row r="1679" spans="3:3" x14ac:dyDescent="0.25">
      <c r="C1679" s="66"/>
    </row>
    <row r="1680" spans="3:3" x14ac:dyDescent="0.25">
      <c r="C1680" s="66"/>
    </row>
    <row r="1681" spans="3:3" x14ac:dyDescent="0.25">
      <c r="C1681" s="66"/>
    </row>
    <row r="1682" spans="3:3" x14ac:dyDescent="0.25">
      <c r="C1682" s="66"/>
    </row>
    <row r="1683" spans="3:3" x14ac:dyDescent="0.25">
      <c r="C1683" s="66"/>
    </row>
    <row r="1684" spans="3:3" x14ac:dyDescent="0.25">
      <c r="C1684" s="66"/>
    </row>
    <row r="1685" spans="3:3" x14ac:dyDescent="0.25">
      <c r="C1685" s="66"/>
    </row>
    <row r="1686" spans="3:3" x14ac:dyDescent="0.25">
      <c r="C1686" s="66"/>
    </row>
    <row r="1687" spans="3:3" x14ac:dyDescent="0.25">
      <c r="C1687" s="66"/>
    </row>
    <row r="1688" spans="3:3" x14ac:dyDescent="0.25">
      <c r="C1688" s="66"/>
    </row>
    <row r="1689" spans="3:3" x14ac:dyDescent="0.25">
      <c r="C1689" s="66"/>
    </row>
    <row r="1690" spans="3:3" x14ac:dyDescent="0.25">
      <c r="C1690" s="66"/>
    </row>
    <row r="1691" spans="3:3" x14ac:dyDescent="0.25">
      <c r="C1691" s="66"/>
    </row>
    <row r="1692" spans="3:3" x14ac:dyDescent="0.25">
      <c r="C1692" s="66"/>
    </row>
    <row r="1693" spans="3:3" x14ac:dyDescent="0.25">
      <c r="C1693" s="66"/>
    </row>
    <row r="1694" spans="3:3" x14ac:dyDescent="0.25">
      <c r="C1694" s="66"/>
    </row>
    <row r="1695" spans="3:3" x14ac:dyDescent="0.25">
      <c r="C1695" s="66"/>
    </row>
    <row r="1696" spans="3:3" x14ac:dyDescent="0.25">
      <c r="C1696" s="66"/>
    </row>
    <row r="1697" spans="3:3" x14ac:dyDescent="0.25">
      <c r="C1697" s="66"/>
    </row>
    <row r="1698" spans="3:3" x14ac:dyDescent="0.25">
      <c r="C1698" s="66"/>
    </row>
    <row r="1699" spans="3:3" x14ac:dyDescent="0.25">
      <c r="C1699" s="66"/>
    </row>
    <row r="1700" spans="3:3" x14ac:dyDescent="0.25">
      <c r="C1700" s="66"/>
    </row>
    <row r="1701" spans="3:3" x14ac:dyDescent="0.25">
      <c r="C1701" s="66"/>
    </row>
    <row r="1702" spans="3:3" x14ac:dyDescent="0.25">
      <c r="C1702" s="66"/>
    </row>
    <row r="1703" spans="3:3" x14ac:dyDescent="0.25">
      <c r="C1703" s="66"/>
    </row>
    <row r="1704" spans="3:3" x14ac:dyDescent="0.25">
      <c r="C1704" s="66"/>
    </row>
    <row r="1705" spans="3:3" x14ac:dyDescent="0.25">
      <c r="C1705" s="66"/>
    </row>
    <row r="1706" spans="3:3" x14ac:dyDescent="0.25">
      <c r="C1706" s="66"/>
    </row>
    <row r="1707" spans="3:3" x14ac:dyDescent="0.25">
      <c r="C1707" s="66"/>
    </row>
    <row r="1708" spans="3:3" x14ac:dyDescent="0.25">
      <c r="C1708" s="66"/>
    </row>
    <row r="1709" spans="3:3" x14ac:dyDescent="0.25">
      <c r="C1709" s="66"/>
    </row>
    <row r="1710" spans="3:3" x14ac:dyDescent="0.25">
      <c r="C1710" s="66"/>
    </row>
    <row r="1711" spans="3:3" x14ac:dyDescent="0.25">
      <c r="C1711" s="66"/>
    </row>
    <row r="1712" spans="3:3" x14ac:dyDescent="0.25">
      <c r="C1712" s="66"/>
    </row>
    <row r="1713" spans="3:3" x14ac:dyDescent="0.25">
      <c r="C1713" s="66"/>
    </row>
    <row r="1714" spans="3:3" x14ac:dyDescent="0.25">
      <c r="C1714" s="66"/>
    </row>
    <row r="1715" spans="3:3" x14ac:dyDescent="0.25">
      <c r="C1715" s="66"/>
    </row>
    <row r="1716" spans="3:3" x14ac:dyDescent="0.25">
      <c r="C1716" s="66"/>
    </row>
    <row r="1717" spans="3:3" x14ac:dyDescent="0.25">
      <c r="C1717" s="66"/>
    </row>
    <row r="1718" spans="3:3" x14ac:dyDescent="0.25">
      <c r="C1718" s="66"/>
    </row>
    <row r="1719" spans="3:3" x14ac:dyDescent="0.25">
      <c r="C1719" s="66"/>
    </row>
    <row r="1720" spans="3:3" x14ac:dyDescent="0.25">
      <c r="C1720" s="66"/>
    </row>
    <row r="1721" spans="3:3" x14ac:dyDescent="0.25">
      <c r="C1721" s="66"/>
    </row>
    <row r="1722" spans="3:3" x14ac:dyDescent="0.25">
      <c r="C1722" s="66"/>
    </row>
    <row r="1723" spans="3:3" x14ac:dyDescent="0.25">
      <c r="C1723" s="66"/>
    </row>
    <row r="1724" spans="3:3" x14ac:dyDescent="0.25">
      <c r="C1724" s="66"/>
    </row>
    <row r="1725" spans="3:3" x14ac:dyDescent="0.25">
      <c r="C1725" s="66"/>
    </row>
    <row r="1726" spans="3:3" x14ac:dyDescent="0.25">
      <c r="C1726" s="66"/>
    </row>
    <row r="1727" spans="3:3" x14ac:dyDescent="0.25">
      <c r="C1727" s="66"/>
    </row>
    <row r="1728" spans="3:3" x14ac:dyDescent="0.25">
      <c r="C1728" s="66"/>
    </row>
    <row r="1729" spans="3:3" x14ac:dyDescent="0.25">
      <c r="C1729" s="66"/>
    </row>
    <row r="1730" spans="3:3" x14ac:dyDescent="0.25">
      <c r="C1730" s="66"/>
    </row>
    <row r="1731" spans="3:3" x14ac:dyDescent="0.25">
      <c r="C1731" s="66"/>
    </row>
    <row r="1732" spans="3:3" x14ac:dyDescent="0.25">
      <c r="C1732" s="66"/>
    </row>
    <row r="1733" spans="3:3" x14ac:dyDescent="0.25">
      <c r="C1733" s="66"/>
    </row>
    <row r="1734" spans="3:3" x14ac:dyDescent="0.25">
      <c r="C1734" s="66"/>
    </row>
    <row r="1735" spans="3:3" x14ac:dyDescent="0.25">
      <c r="C1735" s="66"/>
    </row>
    <row r="1736" spans="3:3" x14ac:dyDescent="0.25">
      <c r="C1736" s="66"/>
    </row>
    <row r="1737" spans="3:3" x14ac:dyDescent="0.25">
      <c r="C1737" s="66"/>
    </row>
    <row r="1738" spans="3:3" x14ac:dyDescent="0.25">
      <c r="C1738" s="66"/>
    </row>
    <row r="1739" spans="3:3" x14ac:dyDescent="0.25">
      <c r="C1739" s="66"/>
    </row>
    <row r="1740" spans="3:3" x14ac:dyDescent="0.25">
      <c r="C1740" s="66"/>
    </row>
    <row r="1741" spans="3:3" x14ac:dyDescent="0.25">
      <c r="C1741" s="66"/>
    </row>
    <row r="1742" spans="3:3" x14ac:dyDescent="0.25">
      <c r="C1742" s="66"/>
    </row>
    <row r="1743" spans="3:3" x14ac:dyDescent="0.25">
      <c r="C1743" s="66"/>
    </row>
    <row r="1744" spans="3:3" x14ac:dyDescent="0.25">
      <c r="C1744" s="66"/>
    </row>
    <row r="1745" spans="3:3" x14ac:dyDescent="0.25">
      <c r="C1745" s="66"/>
    </row>
    <row r="1746" spans="3:3" x14ac:dyDescent="0.25">
      <c r="C1746" s="66"/>
    </row>
    <row r="1747" spans="3:3" x14ac:dyDescent="0.25">
      <c r="C1747" s="66"/>
    </row>
    <row r="1748" spans="3:3" x14ac:dyDescent="0.25">
      <c r="C1748" s="66"/>
    </row>
    <row r="1749" spans="3:3" x14ac:dyDescent="0.25">
      <c r="C1749" s="66"/>
    </row>
    <row r="1750" spans="3:3" x14ac:dyDescent="0.25">
      <c r="C1750" s="66"/>
    </row>
    <row r="1751" spans="3:3" x14ac:dyDescent="0.25">
      <c r="C1751" s="66"/>
    </row>
    <row r="1752" spans="3:3" x14ac:dyDescent="0.25">
      <c r="C1752" s="66"/>
    </row>
    <row r="1753" spans="3:3" x14ac:dyDescent="0.25">
      <c r="C1753" s="66"/>
    </row>
    <row r="1754" spans="3:3" x14ac:dyDescent="0.25">
      <c r="C1754" s="66"/>
    </row>
    <row r="1755" spans="3:3" x14ac:dyDescent="0.25">
      <c r="C1755" s="66"/>
    </row>
    <row r="1756" spans="3:3" x14ac:dyDescent="0.25">
      <c r="C1756" s="66"/>
    </row>
    <row r="1757" spans="3:3" x14ac:dyDescent="0.25">
      <c r="C1757" s="66"/>
    </row>
    <row r="1758" spans="3:3" x14ac:dyDescent="0.25">
      <c r="C1758" s="66"/>
    </row>
    <row r="1759" spans="3:3" x14ac:dyDescent="0.25">
      <c r="C1759" s="66"/>
    </row>
    <row r="1760" spans="3:3" x14ac:dyDescent="0.25">
      <c r="C1760" s="66"/>
    </row>
    <row r="1761" spans="3:3" x14ac:dyDescent="0.25">
      <c r="C1761" s="66"/>
    </row>
    <row r="1762" spans="3:3" x14ac:dyDescent="0.25">
      <c r="C1762" s="66"/>
    </row>
    <row r="1763" spans="3:3" x14ac:dyDescent="0.25">
      <c r="C1763" s="66"/>
    </row>
    <row r="1764" spans="3:3" x14ac:dyDescent="0.25">
      <c r="C1764" s="66"/>
    </row>
    <row r="1765" spans="3:3" x14ac:dyDescent="0.25">
      <c r="C1765" s="66"/>
    </row>
    <row r="1766" spans="3:3" x14ac:dyDescent="0.25">
      <c r="C1766" s="66"/>
    </row>
    <row r="1767" spans="3:3" x14ac:dyDescent="0.25">
      <c r="C1767" s="66"/>
    </row>
    <row r="1768" spans="3:3" x14ac:dyDescent="0.25">
      <c r="C1768" s="66"/>
    </row>
    <row r="1769" spans="3:3" x14ac:dyDescent="0.25">
      <c r="C1769" s="66"/>
    </row>
    <row r="1770" spans="3:3" x14ac:dyDescent="0.25">
      <c r="C1770" s="66"/>
    </row>
    <row r="1771" spans="3:3" x14ac:dyDescent="0.25">
      <c r="C1771" s="66"/>
    </row>
    <row r="1772" spans="3:3" x14ac:dyDescent="0.25">
      <c r="C1772" s="66"/>
    </row>
    <row r="1773" spans="3:3" x14ac:dyDescent="0.25">
      <c r="C1773" s="66"/>
    </row>
    <row r="1774" spans="3:3" x14ac:dyDescent="0.25">
      <c r="C1774" s="66"/>
    </row>
    <row r="1775" spans="3:3" x14ac:dyDescent="0.25">
      <c r="C1775" s="66"/>
    </row>
    <row r="1776" spans="3:3" x14ac:dyDescent="0.25">
      <c r="C1776" s="66"/>
    </row>
    <row r="1777" spans="3:3" x14ac:dyDescent="0.25">
      <c r="C1777" s="66"/>
    </row>
    <row r="1778" spans="3:3" x14ac:dyDescent="0.25">
      <c r="C1778" s="66"/>
    </row>
    <row r="1779" spans="3:3" x14ac:dyDescent="0.25">
      <c r="C1779" s="66"/>
    </row>
    <row r="1780" spans="3:3" x14ac:dyDescent="0.25">
      <c r="C1780" s="66"/>
    </row>
    <row r="1781" spans="3:3" x14ac:dyDescent="0.25">
      <c r="C1781" s="66"/>
    </row>
    <row r="1782" spans="3:3" x14ac:dyDescent="0.25">
      <c r="C1782" s="66"/>
    </row>
    <row r="1783" spans="3:3" x14ac:dyDescent="0.25">
      <c r="C1783" s="66"/>
    </row>
    <row r="1784" spans="3:3" x14ac:dyDescent="0.25">
      <c r="C1784" s="66"/>
    </row>
    <row r="1785" spans="3:3" x14ac:dyDescent="0.25">
      <c r="C1785" s="66"/>
    </row>
    <row r="1786" spans="3:3" x14ac:dyDescent="0.25">
      <c r="C1786" s="66"/>
    </row>
    <row r="1787" spans="3:3" x14ac:dyDescent="0.25">
      <c r="C1787" s="66"/>
    </row>
    <row r="1788" spans="3:3" x14ac:dyDescent="0.25">
      <c r="C1788" s="66"/>
    </row>
    <row r="1789" spans="3:3" x14ac:dyDescent="0.25">
      <c r="C1789" s="66"/>
    </row>
    <row r="1790" spans="3:3" x14ac:dyDescent="0.25">
      <c r="C1790" s="66"/>
    </row>
    <row r="1791" spans="3:3" x14ac:dyDescent="0.25">
      <c r="C1791" s="66"/>
    </row>
    <row r="1792" spans="3:3" x14ac:dyDescent="0.25">
      <c r="C1792" s="66"/>
    </row>
    <row r="1793" spans="3:3" x14ac:dyDescent="0.25">
      <c r="C1793" s="66"/>
    </row>
    <row r="1794" spans="3:3" x14ac:dyDescent="0.25">
      <c r="C1794" s="66"/>
    </row>
    <row r="1795" spans="3:3" x14ac:dyDescent="0.25">
      <c r="C1795" s="66"/>
    </row>
    <row r="1796" spans="3:3" x14ac:dyDescent="0.25">
      <c r="C1796" s="66"/>
    </row>
    <row r="1797" spans="3:3" x14ac:dyDescent="0.25">
      <c r="C1797" s="66"/>
    </row>
    <row r="1798" spans="3:3" x14ac:dyDescent="0.25">
      <c r="C1798" s="66"/>
    </row>
    <row r="1799" spans="3:3" x14ac:dyDescent="0.25">
      <c r="C1799" s="66"/>
    </row>
    <row r="1800" spans="3:3" x14ac:dyDescent="0.25">
      <c r="C1800" s="66"/>
    </row>
    <row r="1801" spans="3:3" x14ac:dyDescent="0.25">
      <c r="C1801" s="66"/>
    </row>
    <row r="1802" spans="3:3" x14ac:dyDescent="0.25">
      <c r="C1802" s="66"/>
    </row>
    <row r="1803" spans="3:3" x14ac:dyDescent="0.25">
      <c r="C1803" s="66"/>
    </row>
    <row r="1804" spans="3:3" x14ac:dyDescent="0.25">
      <c r="C1804" s="66"/>
    </row>
    <row r="1805" spans="3:3" x14ac:dyDescent="0.25">
      <c r="C1805" s="66"/>
    </row>
    <row r="1806" spans="3:3" x14ac:dyDescent="0.25">
      <c r="C1806" s="66"/>
    </row>
    <row r="1807" spans="3:3" x14ac:dyDescent="0.25">
      <c r="C1807" s="66"/>
    </row>
    <row r="1808" spans="3:3" x14ac:dyDescent="0.25">
      <c r="C1808" s="66"/>
    </row>
    <row r="1809" spans="3:3" x14ac:dyDescent="0.25">
      <c r="C1809" s="66"/>
    </row>
    <row r="1810" spans="3:3" x14ac:dyDescent="0.25">
      <c r="C1810" s="66"/>
    </row>
    <row r="1811" spans="3:3" x14ac:dyDescent="0.25">
      <c r="C1811" s="66"/>
    </row>
    <row r="1812" spans="3:3" x14ac:dyDescent="0.25">
      <c r="C1812" s="66"/>
    </row>
    <row r="1813" spans="3:3" x14ac:dyDescent="0.25">
      <c r="C1813" s="66"/>
    </row>
    <row r="1814" spans="3:3" x14ac:dyDescent="0.25">
      <c r="C1814" s="66"/>
    </row>
    <row r="1815" spans="3:3" x14ac:dyDescent="0.25">
      <c r="C1815" s="66"/>
    </row>
    <row r="1816" spans="3:3" x14ac:dyDescent="0.25">
      <c r="C1816" s="66"/>
    </row>
    <row r="1817" spans="3:3" x14ac:dyDescent="0.25">
      <c r="C1817" s="66"/>
    </row>
    <row r="1818" spans="3:3" x14ac:dyDescent="0.25">
      <c r="C1818" s="66"/>
    </row>
    <row r="1819" spans="3:3" x14ac:dyDescent="0.25">
      <c r="C1819" s="66"/>
    </row>
    <row r="1820" spans="3:3" x14ac:dyDescent="0.25">
      <c r="C1820" s="66"/>
    </row>
    <row r="1821" spans="3:3" x14ac:dyDescent="0.25">
      <c r="C1821" s="66"/>
    </row>
    <row r="1822" spans="3:3" x14ac:dyDescent="0.25">
      <c r="C1822" s="66"/>
    </row>
    <row r="1823" spans="3:3" x14ac:dyDescent="0.25">
      <c r="C1823" s="66"/>
    </row>
    <row r="1824" spans="3:3" x14ac:dyDescent="0.25">
      <c r="C1824" s="66"/>
    </row>
    <row r="1825" spans="3:3" x14ac:dyDescent="0.25">
      <c r="C1825" s="66"/>
    </row>
    <row r="1826" spans="3:3" x14ac:dyDescent="0.25">
      <c r="C1826" s="66"/>
    </row>
    <row r="1827" spans="3:3" x14ac:dyDescent="0.25">
      <c r="C1827" s="66"/>
    </row>
    <row r="1828" spans="3:3" x14ac:dyDescent="0.25">
      <c r="C1828" s="66"/>
    </row>
    <row r="1829" spans="3:3" x14ac:dyDescent="0.25">
      <c r="C1829" s="66"/>
    </row>
    <row r="1830" spans="3:3" x14ac:dyDescent="0.25">
      <c r="C1830" s="66"/>
    </row>
    <row r="1831" spans="3:3" x14ac:dyDescent="0.25">
      <c r="C1831" s="66"/>
    </row>
    <row r="1832" spans="3:3" x14ac:dyDescent="0.25">
      <c r="C1832" s="66"/>
    </row>
    <row r="1833" spans="3:3" x14ac:dyDescent="0.25">
      <c r="C1833" s="66"/>
    </row>
    <row r="1834" spans="3:3" x14ac:dyDescent="0.25">
      <c r="C1834" s="66"/>
    </row>
    <row r="1835" spans="3:3" x14ac:dyDescent="0.25">
      <c r="C1835" s="66"/>
    </row>
    <row r="1836" spans="3:3" x14ac:dyDescent="0.25">
      <c r="C1836" s="66"/>
    </row>
    <row r="1837" spans="3:3" x14ac:dyDescent="0.25">
      <c r="C1837" s="66"/>
    </row>
    <row r="1838" spans="3:3" x14ac:dyDescent="0.25">
      <c r="C1838" s="66"/>
    </row>
    <row r="1839" spans="3:3" x14ac:dyDescent="0.25">
      <c r="C1839" s="66"/>
    </row>
    <row r="1840" spans="3:3" x14ac:dyDescent="0.25">
      <c r="C1840" s="66"/>
    </row>
    <row r="1841" spans="3:3" x14ac:dyDescent="0.25">
      <c r="C1841" s="66"/>
    </row>
    <row r="1842" spans="3:3" x14ac:dyDescent="0.25">
      <c r="C1842" s="66"/>
    </row>
    <row r="1843" spans="3:3" x14ac:dyDescent="0.25">
      <c r="C1843" s="66"/>
    </row>
    <row r="1844" spans="3:3" x14ac:dyDescent="0.25">
      <c r="C1844" s="66"/>
    </row>
    <row r="1845" spans="3:3" x14ac:dyDescent="0.25">
      <c r="C1845" s="66"/>
    </row>
    <row r="1846" spans="3:3" x14ac:dyDescent="0.25">
      <c r="C1846" s="66"/>
    </row>
    <row r="1847" spans="3:3" x14ac:dyDescent="0.25">
      <c r="C1847" s="66"/>
    </row>
    <row r="1848" spans="3:3" x14ac:dyDescent="0.25">
      <c r="C1848" s="66"/>
    </row>
    <row r="1849" spans="3:3" x14ac:dyDescent="0.25">
      <c r="C1849" s="66"/>
    </row>
    <row r="1850" spans="3:3" x14ac:dyDescent="0.25">
      <c r="C1850" s="66"/>
    </row>
    <row r="1851" spans="3:3" x14ac:dyDescent="0.25">
      <c r="C1851" s="66"/>
    </row>
    <row r="1852" spans="3:3" x14ac:dyDescent="0.25">
      <c r="C1852" s="66"/>
    </row>
    <row r="1853" spans="3:3" x14ac:dyDescent="0.25">
      <c r="C1853" s="66"/>
    </row>
    <row r="1854" spans="3:3" x14ac:dyDescent="0.25">
      <c r="C1854" s="66"/>
    </row>
    <row r="1855" spans="3:3" x14ac:dyDescent="0.25">
      <c r="C1855" s="66"/>
    </row>
    <row r="1856" spans="3:3" x14ac:dyDescent="0.25">
      <c r="C1856" s="66"/>
    </row>
    <row r="1857" spans="3:3" x14ac:dyDescent="0.25">
      <c r="C1857" s="66"/>
    </row>
    <row r="1858" spans="3:3" x14ac:dyDescent="0.25">
      <c r="C1858" s="66"/>
    </row>
    <row r="1859" spans="3:3" x14ac:dyDescent="0.25">
      <c r="C1859" s="66"/>
    </row>
    <row r="1860" spans="3:3" x14ac:dyDescent="0.25">
      <c r="C1860" s="66"/>
    </row>
    <row r="1861" spans="3:3" x14ac:dyDescent="0.25">
      <c r="C1861" s="66"/>
    </row>
    <row r="1862" spans="3:3" x14ac:dyDescent="0.25">
      <c r="C1862" s="66"/>
    </row>
    <row r="1863" spans="3:3" x14ac:dyDescent="0.25">
      <c r="C1863" s="66"/>
    </row>
    <row r="1864" spans="3:3" x14ac:dyDescent="0.25">
      <c r="C1864" s="66"/>
    </row>
    <row r="1865" spans="3:3" x14ac:dyDescent="0.25">
      <c r="C1865" s="66"/>
    </row>
    <row r="1866" spans="3:3" x14ac:dyDescent="0.25">
      <c r="C1866" s="66"/>
    </row>
    <row r="1867" spans="3:3" x14ac:dyDescent="0.25">
      <c r="C1867" s="66"/>
    </row>
    <row r="1868" spans="3:3" x14ac:dyDescent="0.25">
      <c r="C1868" s="66"/>
    </row>
    <row r="1869" spans="3:3" x14ac:dyDescent="0.25">
      <c r="C1869" s="66"/>
    </row>
    <row r="1870" spans="3:3" x14ac:dyDescent="0.25">
      <c r="C1870" s="66"/>
    </row>
    <row r="1871" spans="3:3" x14ac:dyDescent="0.25">
      <c r="C1871" s="66"/>
    </row>
    <row r="1872" spans="3:3" x14ac:dyDescent="0.25">
      <c r="C1872" s="66"/>
    </row>
    <row r="1873" spans="3:3" x14ac:dyDescent="0.25">
      <c r="C1873" s="66"/>
    </row>
    <row r="1874" spans="3:3" x14ac:dyDescent="0.25">
      <c r="C1874" s="66"/>
    </row>
    <row r="1875" spans="3:3" x14ac:dyDescent="0.25">
      <c r="C1875" s="66"/>
    </row>
    <row r="1876" spans="3:3" x14ac:dyDescent="0.25">
      <c r="C1876" s="66"/>
    </row>
    <row r="1877" spans="3:3" x14ac:dyDescent="0.25">
      <c r="C1877" s="66"/>
    </row>
    <row r="1878" spans="3:3" x14ac:dyDescent="0.25">
      <c r="C1878" s="66"/>
    </row>
    <row r="1879" spans="3:3" x14ac:dyDescent="0.25">
      <c r="C1879" s="66"/>
    </row>
    <row r="1880" spans="3:3" x14ac:dyDescent="0.25">
      <c r="C1880" s="66"/>
    </row>
    <row r="1881" spans="3:3" x14ac:dyDescent="0.25">
      <c r="C1881" s="66"/>
    </row>
    <row r="1882" spans="3:3" x14ac:dyDescent="0.25">
      <c r="C1882" s="66"/>
    </row>
    <row r="1883" spans="3:3" x14ac:dyDescent="0.25">
      <c r="C1883" s="66"/>
    </row>
    <row r="1884" spans="3:3" x14ac:dyDescent="0.25">
      <c r="C1884" s="66"/>
    </row>
    <row r="1885" spans="3:3" x14ac:dyDescent="0.25">
      <c r="C1885" s="66"/>
    </row>
    <row r="1886" spans="3:3" x14ac:dyDescent="0.25">
      <c r="C1886" s="66"/>
    </row>
    <row r="1887" spans="3:3" x14ac:dyDescent="0.25">
      <c r="C1887" s="66"/>
    </row>
    <row r="1888" spans="3:3" x14ac:dyDescent="0.25">
      <c r="C1888" s="66"/>
    </row>
    <row r="1889" spans="3:3" x14ac:dyDescent="0.25">
      <c r="C1889" s="66"/>
    </row>
    <row r="1890" spans="3:3" x14ac:dyDescent="0.25">
      <c r="C1890" s="66"/>
    </row>
    <row r="1891" spans="3:3" x14ac:dyDescent="0.25">
      <c r="C1891" s="66"/>
    </row>
    <row r="1892" spans="3:3" x14ac:dyDescent="0.25">
      <c r="C1892" s="66"/>
    </row>
    <row r="1893" spans="3:3" x14ac:dyDescent="0.25">
      <c r="C1893" s="66"/>
    </row>
    <row r="1894" spans="3:3" x14ac:dyDescent="0.25">
      <c r="C1894" s="66"/>
    </row>
    <row r="1895" spans="3:3" x14ac:dyDescent="0.25">
      <c r="C1895" s="66"/>
    </row>
    <row r="1896" spans="3:3" x14ac:dyDescent="0.25">
      <c r="C1896" s="66"/>
    </row>
    <row r="1897" spans="3:3" x14ac:dyDescent="0.25">
      <c r="C1897" s="66"/>
    </row>
    <row r="1898" spans="3:3" x14ac:dyDescent="0.25">
      <c r="C1898" s="66"/>
    </row>
    <row r="1899" spans="3:3" x14ac:dyDescent="0.25">
      <c r="C1899" s="66"/>
    </row>
    <row r="1900" spans="3:3" x14ac:dyDescent="0.25">
      <c r="C1900" s="66"/>
    </row>
    <row r="1901" spans="3:3" x14ac:dyDescent="0.25">
      <c r="C1901" s="66"/>
    </row>
    <row r="1902" spans="3:3" x14ac:dyDescent="0.25">
      <c r="C1902" s="66"/>
    </row>
    <row r="1903" spans="3:3" x14ac:dyDescent="0.25">
      <c r="C1903" s="66"/>
    </row>
    <row r="1904" spans="3:3" x14ac:dyDescent="0.25">
      <c r="C1904" s="66"/>
    </row>
    <row r="1905" spans="3:3" x14ac:dyDescent="0.25">
      <c r="C1905" s="66"/>
    </row>
    <row r="1906" spans="3:3" x14ac:dyDescent="0.25">
      <c r="C1906" s="66"/>
    </row>
    <row r="1907" spans="3:3" x14ac:dyDescent="0.25">
      <c r="C1907" s="66"/>
    </row>
    <row r="1908" spans="3:3" x14ac:dyDescent="0.25">
      <c r="C1908" s="66"/>
    </row>
    <row r="1909" spans="3:3" x14ac:dyDescent="0.25">
      <c r="C1909" s="66"/>
    </row>
    <row r="1910" spans="3:3" x14ac:dyDescent="0.25">
      <c r="C1910" s="66"/>
    </row>
    <row r="1911" spans="3:3" x14ac:dyDescent="0.25">
      <c r="C1911" s="66"/>
    </row>
    <row r="1912" spans="3:3" x14ac:dyDescent="0.25">
      <c r="C1912" s="66"/>
    </row>
    <row r="1913" spans="3:3" x14ac:dyDescent="0.25">
      <c r="C1913" s="66"/>
    </row>
    <row r="1914" spans="3:3" x14ac:dyDescent="0.25">
      <c r="C1914" s="66"/>
    </row>
    <row r="1915" spans="3:3" x14ac:dyDescent="0.25">
      <c r="C1915" s="66"/>
    </row>
    <row r="1916" spans="3:3" x14ac:dyDescent="0.25">
      <c r="C1916" s="66"/>
    </row>
    <row r="1917" spans="3:3" x14ac:dyDescent="0.25">
      <c r="C1917" s="66"/>
    </row>
    <row r="1918" spans="3:3" x14ac:dyDescent="0.25">
      <c r="C1918" s="66"/>
    </row>
    <row r="1919" spans="3:3" x14ac:dyDescent="0.25">
      <c r="C1919" s="66"/>
    </row>
    <row r="1920" spans="3:3" x14ac:dyDescent="0.25">
      <c r="C1920" s="66"/>
    </row>
    <row r="1921" spans="3:3" x14ac:dyDescent="0.25">
      <c r="C1921" s="66"/>
    </row>
    <row r="1922" spans="3:3" x14ac:dyDescent="0.25">
      <c r="C1922" s="66"/>
    </row>
    <row r="1923" spans="3:3" x14ac:dyDescent="0.25">
      <c r="C1923" s="66"/>
    </row>
    <row r="1924" spans="3:3" x14ac:dyDescent="0.25">
      <c r="C1924" s="66"/>
    </row>
    <row r="1925" spans="3:3" x14ac:dyDescent="0.25">
      <c r="C1925" s="66"/>
    </row>
    <row r="1926" spans="3:3" x14ac:dyDescent="0.25">
      <c r="C1926" s="66"/>
    </row>
    <row r="1927" spans="3:3" x14ac:dyDescent="0.25">
      <c r="C1927" s="66"/>
    </row>
    <row r="1928" spans="3:3" x14ac:dyDescent="0.25">
      <c r="C1928" s="66"/>
    </row>
    <row r="1929" spans="3:3" x14ac:dyDescent="0.25">
      <c r="C1929" s="66"/>
    </row>
    <row r="1930" spans="3:3" x14ac:dyDescent="0.25">
      <c r="C1930" s="66"/>
    </row>
    <row r="1931" spans="3:3" x14ac:dyDescent="0.25">
      <c r="C1931" s="66"/>
    </row>
    <row r="1932" spans="3:3" x14ac:dyDescent="0.25">
      <c r="C1932" s="66"/>
    </row>
    <row r="1933" spans="3:3" x14ac:dyDescent="0.25">
      <c r="C1933" s="66"/>
    </row>
    <row r="1934" spans="3:3" x14ac:dyDescent="0.25">
      <c r="C1934" s="66"/>
    </row>
    <row r="1935" spans="3:3" x14ac:dyDescent="0.25">
      <c r="C1935" s="66"/>
    </row>
    <row r="1936" spans="3:3" x14ac:dyDescent="0.25">
      <c r="C1936" s="66"/>
    </row>
    <row r="1937" spans="3:3" x14ac:dyDescent="0.25">
      <c r="C1937" s="66"/>
    </row>
    <row r="1938" spans="3:3" x14ac:dyDescent="0.25">
      <c r="C1938" s="66"/>
    </row>
    <row r="1939" spans="3:3" x14ac:dyDescent="0.25">
      <c r="C1939" s="66"/>
    </row>
    <row r="1940" spans="3:3" x14ac:dyDescent="0.25">
      <c r="C1940" s="66"/>
    </row>
    <row r="1941" spans="3:3" x14ac:dyDescent="0.25">
      <c r="C1941" s="66"/>
    </row>
    <row r="1942" spans="3:3" x14ac:dyDescent="0.25">
      <c r="C1942" s="66"/>
    </row>
    <row r="1943" spans="3:3" x14ac:dyDescent="0.25">
      <c r="C1943" s="66"/>
    </row>
    <row r="1944" spans="3:3" x14ac:dyDescent="0.25">
      <c r="C1944" s="66"/>
    </row>
    <row r="1945" spans="3:3" x14ac:dyDescent="0.25">
      <c r="C1945" s="66"/>
    </row>
    <row r="1946" spans="3:3" x14ac:dyDescent="0.25">
      <c r="C1946" s="66"/>
    </row>
    <row r="1947" spans="3:3" x14ac:dyDescent="0.25">
      <c r="C1947" s="66"/>
    </row>
    <row r="1948" spans="3:3" x14ac:dyDescent="0.25">
      <c r="C1948" s="66"/>
    </row>
    <row r="1949" spans="3:3" x14ac:dyDescent="0.25">
      <c r="C1949" s="66"/>
    </row>
    <row r="1950" spans="3:3" x14ac:dyDescent="0.25">
      <c r="C1950" s="66"/>
    </row>
    <row r="1951" spans="3:3" x14ac:dyDescent="0.25">
      <c r="C1951" s="66"/>
    </row>
    <row r="1952" spans="3:3" x14ac:dyDescent="0.25">
      <c r="C1952" s="66"/>
    </row>
    <row r="1953" spans="3:3" x14ac:dyDescent="0.25">
      <c r="C1953" s="66"/>
    </row>
    <row r="1954" spans="3:3" x14ac:dyDescent="0.25">
      <c r="C1954" s="66"/>
    </row>
    <row r="1955" spans="3:3" x14ac:dyDescent="0.25">
      <c r="C1955" s="66"/>
    </row>
    <row r="1956" spans="3:3" x14ac:dyDescent="0.25">
      <c r="C1956" s="66"/>
    </row>
    <row r="1957" spans="3:3" x14ac:dyDescent="0.25">
      <c r="C1957" s="66"/>
    </row>
    <row r="1958" spans="3:3" x14ac:dyDescent="0.25">
      <c r="C1958" s="66"/>
    </row>
    <row r="1959" spans="3:3" x14ac:dyDescent="0.25">
      <c r="C1959" s="66"/>
    </row>
    <row r="1960" spans="3:3" x14ac:dyDescent="0.25">
      <c r="C1960" s="66"/>
    </row>
    <row r="1961" spans="3:3" x14ac:dyDescent="0.25">
      <c r="C1961" s="66"/>
    </row>
    <row r="1962" spans="3:3" x14ac:dyDescent="0.25">
      <c r="C1962" s="66"/>
    </row>
    <row r="1963" spans="3:3" x14ac:dyDescent="0.25">
      <c r="C1963" s="66"/>
    </row>
    <row r="1964" spans="3:3" x14ac:dyDescent="0.25">
      <c r="C1964" s="66"/>
    </row>
    <row r="1965" spans="3:3" x14ac:dyDescent="0.25">
      <c r="C1965" s="66"/>
    </row>
    <row r="1966" spans="3:3" x14ac:dyDescent="0.25">
      <c r="C1966" s="66"/>
    </row>
    <row r="1967" spans="3:3" x14ac:dyDescent="0.25">
      <c r="C1967" s="66"/>
    </row>
    <row r="1968" spans="3:3" x14ac:dyDescent="0.25">
      <c r="C1968" s="66"/>
    </row>
    <row r="1969" spans="3:3" x14ac:dyDescent="0.25">
      <c r="C1969" s="66"/>
    </row>
    <row r="1970" spans="3:3" x14ac:dyDescent="0.25">
      <c r="C1970" s="66"/>
    </row>
    <row r="1971" spans="3:3" x14ac:dyDescent="0.25">
      <c r="C1971" s="66"/>
    </row>
    <row r="1972" spans="3:3" x14ac:dyDescent="0.25">
      <c r="C1972" s="66"/>
    </row>
    <row r="1973" spans="3:3" x14ac:dyDescent="0.25">
      <c r="C1973" s="66"/>
    </row>
    <row r="1974" spans="3:3" x14ac:dyDescent="0.25">
      <c r="C1974" s="66"/>
    </row>
    <row r="1975" spans="3:3" x14ac:dyDescent="0.25">
      <c r="C1975" s="66"/>
    </row>
    <row r="1976" spans="3:3" x14ac:dyDescent="0.25">
      <c r="C1976" s="66"/>
    </row>
    <row r="1977" spans="3:3" x14ac:dyDescent="0.25">
      <c r="C1977" s="66"/>
    </row>
    <row r="1978" spans="3:3" x14ac:dyDescent="0.25">
      <c r="C1978" s="66"/>
    </row>
    <row r="1979" spans="3:3" x14ac:dyDescent="0.25">
      <c r="C1979" s="66"/>
    </row>
    <row r="1980" spans="3:3" x14ac:dyDescent="0.25">
      <c r="C1980" s="66"/>
    </row>
    <row r="1981" spans="3:3" x14ac:dyDescent="0.25">
      <c r="C1981" s="66"/>
    </row>
    <row r="1982" spans="3:3" x14ac:dyDescent="0.25">
      <c r="C1982" s="66"/>
    </row>
    <row r="1983" spans="3:3" x14ac:dyDescent="0.25">
      <c r="C1983" s="66"/>
    </row>
    <row r="1984" spans="3:3" x14ac:dyDescent="0.25">
      <c r="C1984" s="66"/>
    </row>
    <row r="1985" spans="3:3" x14ac:dyDescent="0.25">
      <c r="C1985" s="66"/>
    </row>
    <row r="1986" spans="3:3" x14ac:dyDescent="0.25">
      <c r="C1986" s="66"/>
    </row>
    <row r="1987" spans="3:3" x14ac:dyDescent="0.25">
      <c r="C1987" s="66"/>
    </row>
    <row r="1988" spans="3:3" x14ac:dyDescent="0.25">
      <c r="C1988" s="66"/>
    </row>
    <row r="1989" spans="3:3" x14ac:dyDescent="0.25">
      <c r="C1989" s="66"/>
    </row>
    <row r="1990" spans="3:3" x14ac:dyDescent="0.25">
      <c r="C1990" s="66"/>
    </row>
    <row r="1991" spans="3:3" x14ac:dyDescent="0.25">
      <c r="C1991" s="66"/>
    </row>
    <row r="1992" spans="3:3" x14ac:dyDescent="0.25">
      <c r="C1992" s="66"/>
    </row>
    <row r="1993" spans="3:3" x14ac:dyDescent="0.25">
      <c r="C1993" s="66"/>
    </row>
    <row r="1994" spans="3:3" x14ac:dyDescent="0.25">
      <c r="C1994" s="66"/>
    </row>
    <row r="1995" spans="3:3" x14ac:dyDescent="0.25">
      <c r="C1995" s="66"/>
    </row>
    <row r="1996" spans="3:3" x14ac:dyDescent="0.25">
      <c r="C1996" s="66"/>
    </row>
    <row r="1997" spans="3:3" x14ac:dyDescent="0.25">
      <c r="C1997" s="66"/>
    </row>
    <row r="1998" spans="3:3" x14ac:dyDescent="0.25">
      <c r="C1998" s="66"/>
    </row>
    <row r="1999" spans="3:3" x14ac:dyDescent="0.25">
      <c r="C1999" s="66"/>
    </row>
    <row r="2000" spans="3:3" x14ac:dyDescent="0.25">
      <c r="C2000" s="66"/>
    </row>
    <row r="2001" spans="3:3" x14ac:dyDescent="0.25">
      <c r="C2001" s="66"/>
    </row>
    <row r="2002" spans="3:3" x14ac:dyDescent="0.25">
      <c r="C2002" s="66"/>
    </row>
    <row r="2003" spans="3:3" x14ac:dyDescent="0.25">
      <c r="C2003" s="66"/>
    </row>
    <row r="2004" spans="3:3" x14ac:dyDescent="0.25">
      <c r="C2004" s="66"/>
    </row>
    <row r="2005" spans="3:3" x14ac:dyDescent="0.25">
      <c r="C2005" s="66"/>
    </row>
    <row r="2006" spans="3:3" x14ac:dyDescent="0.25">
      <c r="C2006" s="66"/>
    </row>
    <row r="2007" spans="3:3" x14ac:dyDescent="0.25">
      <c r="C2007" s="66"/>
    </row>
    <row r="2008" spans="3:3" x14ac:dyDescent="0.25">
      <c r="C2008" s="66"/>
    </row>
    <row r="2009" spans="3:3" x14ac:dyDescent="0.25">
      <c r="C2009" s="66"/>
    </row>
    <row r="2010" spans="3:3" x14ac:dyDescent="0.25">
      <c r="C2010" s="66"/>
    </row>
    <row r="2011" spans="3:3" x14ac:dyDescent="0.25">
      <c r="C2011" s="66"/>
    </row>
    <row r="2012" spans="3:3" x14ac:dyDescent="0.25">
      <c r="C2012" s="66"/>
    </row>
    <row r="2013" spans="3:3" x14ac:dyDescent="0.25">
      <c r="C2013" s="66"/>
    </row>
    <row r="2014" spans="3:3" x14ac:dyDescent="0.25">
      <c r="C2014" s="66"/>
    </row>
    <row r="2015" spans="3:3" x14ac:dyDescent="0.25">
      <c r="C2015" s="66"/>
    </row>
    <row r="2016" spans="3:3" x14ac:dyDescent="0.25">
      <c r="C2016" s="66"/>
    </row>
    <row r="2017" spans="3:3" x14ac:dyDescent="0.25">
      <c r="C2017" s="66"/>
    </row>
    <row r="2018" spans="3:3" x14ac:dyDescent="0.25">
      <c r="C2018" s="66"/>
    </row>
    <row r="2019" spans="3:3" x14ac:dyDescent="0.25">
      <c r="C2019" s="66"/>
    </row>
    <row r="2020" spans="3:3" x14ac:dyDescent="0.25">
      <c r="C2020" s="66"/>
    </row>
    <row r="2021" spans="3:3" x14ac:dyDescent="0.25">
      <c r="C2021" s="66"/>
    </row>
    <row r="2022" spans="3:3" x14ac:dyDescent="0.25">
      <c r="C2022" s="66"/>
    </row>
    <row r="2023" spans="3:3" x14ac:dyDescent="0.25">
      <c r="C2023" s="66"/>
    </row>
    <row r="2024" spans="3:3" x14ac:dyDescent="0.25">
      <c r="C2024" s="66"/>
    </row>
    <row r="2025" spans="3:3" x14ac:dyDescent="0.25">
      <c r="C2025" s="66"/>
    </row>
    <row r="2026" spans="3:3" x14ac:dyDescent="0.25">
      <c r="C2026" s="66"/>
    </row>
    <row r="2027" spans="3:3" x14ac:dyDescent="0.25">
      <c r="C2027" s="66"/>
    </row>
    <row r="2028" spans="3:3" x14ac:dyDescent="0.25">
      <c r="C2028" s="66"/>
    </row>
    <row r="2029" spans="3:3" x14ac:dyDescent="0.25">
      <c r="C2029" s="66"/>
    </row>
    <row r="2030" spans="3:3" x14ac:dyDescent="0.25">
      <c r="C2030" s="66"/>
    </row>
    <row r="2031" spans="3:3" x14ac:dyDescent="0.25">
      <c r="C2031" s="66"/>
    </row>
    <row r="2032" spans="3:3" x14ac:dyDescent="0.25">
      <c r="C2032" s="66"/>
    </row>
    <row r="2033" spans="3:3" x14ac:dyDescent="0.25">
      <c r="C2033" s="66"/>
    </row>
    <row r="2034" spans="3:3" x14ac:dyDescent="0.25">
      <c r="C2034" s="66"/>
    </row>
    <row r="2035" spans="3:3" x14ac:dyDescent="0.25">
      <c r="C2035" s="66"/>
    </row>
    <row r="2036" spans="3:3" x14ac:dyDescent="0.25">
      <c r="C2036" s="66"/>
    </row>
    <row r="2037" spans="3:3" x14ac:dyDescent="0.25">
      <c r="C2037" s="66"/>
    </row>
    <row r="2038" spans="3:3" x14ac:dyDescent="0.25">
      <c r="C2038" s="66"/>
    </row>
    <row r="2039" spans="3:3" x14ac:dyDescent="0.25">
      <c r="C2039" s="66"/>
    </row>
    <row r="2040" spans="3:3" x14ac:dyDescent="0.25">
      <c r="C2040" s="66"/>
    </row>
    <row r="2041" spans="3:3" x14ac:dyDescent="0.25">
      <c r="C2041" s="66"/>
    </row>
    <row r="2042" spans="3:3" x14ac:dyDescent="0.25">
      <c r="C2042" s="66"/>
    </row>
    <row r="2043" spans="3:3" x14ac:dyDescent="0.25">
      <c r="C2043" s="66"/>
    </row>
    <row r="2044" spans="3:3" x14ac:dyDescent="0.25">
      <c r="C2044" s="66"/>
    </row>
    <row r="2045" spans="3:3" x14ac:dyDescent="0.25">
      <c r="C2045" s="66"/>
    </row>
    <row r="2046" spans="3:3" x14ac:dyDescent="0.25">
      <c r="C2046" s="66"/>
    </row>
    <row r="2047" spans="3:3" x14ac:dyDescent="0.25">
      <c r="C2047" s="66"/>
    </row>
    <row r="2048" spans="3:3" x14ac:dyDescent="0.25">
      <c r="C2048" s="66"/>
    </row>
    <row r="2049" spans="3:3" x14ac:dyDescent="0.25">
      <c r="C2049" s="66"/>
    </row>
    <row r="2050" spans="3:3" x14ac:dyDescent="0.25">
      <c r="C2050" s="66"/>
    </row>
    <row r="2051" spans="3:3" x14ac:dyDescent="0.25">
      <c r="C2051" s="66"/>
    </row>
    <row r="2052" spans="3:3" x14ac:dyDescent="0.25">
      <c r="C2052" s="66"/>
    </row>
    <row r="2053" spans="3:3" x14ac:dyDescent="0.25">
      <c r="C2053" s="66"/>
    </row>
    <row r="2054" spans="3:3" x14ac:dyDescent="0.25">
      <c r="C2054" s="66"/>
    </row>
    <row r="2055" spans="3:3" x14ac:dyDescent="0.25">
      <c r="C2055" s="66"/>
    </row>
    <row r="2056" spans="3:3" x14ac:dyDescent="0.25">
      <c r="C2056" s="66"/>
    </row>
    <row r="2057" spans="3:3" x14ac:dyDescent="0.25">
      <c r="C2057" s="66"/>
    </row>
    <row r="2058" spans="3:3" x14ac:dyDescent="0.25">
      <c r="C2058" s="66"/>
    </row>
    <row r="2059" spans="3:3" x14ac:dyDescent="0.25">
      <c r="C2059" s="66"/>
    </row>
    <row r="2060" spans="3:3" x14ac:dyDescent="0.25">
      <c r="C2060" s="66"/>
    </row>
    <row r="2061" spans="3:3" x14ac:dyDescent="0.25">
      <c r="C2061" s="66"/>
    </row>
    <row r="2062" spans="3:3" x14ac:dyDescent="0.25">
      <c r="C2062" s="66"/>
    </row>
    <row r="2063" spans="3:3" x14ac:dyDescent="0.25">
      <c r="C2063" s="66"/>
    </row>
    <row r="2064" spans="3:3" x14ac:dyDescent="0.25">
      <c r="C2064" s="66"/>
    </row>
    <row r="2065" spans="3:3" x14ac:dyDescent="0.25">
      <c r="C2065" s="66"/>
    </row>
    <row r="2066" spans="3:3" x14ac:dyDescent="0.25">
      <c r="C2066" s="66"/>
    </row>
    <row r="2067" spans="3:3" x14ac:dyDescent="0.25">
      <c r="C2067" s="66"/>
    </row>
    <row r="2068" spans="3:3" x14ac:dyDescent="0.25">
      <c r="C2068" s="66"/>
    </row>
    <row r="2069" spans="3:3" x14ac:dyDescent="0.25">
      <c r="C2069" s="66"/>
    </row>
    <row r="2070" spans="3:3" x14ac:dyDescent="0.25">
      <c r="C2070" s="66"/>
    </row>
    <row r="2071" spans="3:3" x14ac:dyDescent="0.25">
      <c r="C2071" s="66"/>
    </row>
    <row r="2072" spans="3:3" x14ac:dyDescent="0.25">
      <c r="C2072" s="66"/>
    </row>
    <row r="2073" spans="3:3" x14ac:dyDescent="0.25">
      <c r="C2073" s="66"/>
    </row>
    <row r="2074" spans="3:3" x14ac:dyDescent="0.25">
      <c r="C2074" s="66"/>
    </row>
    <row r="2075" spans="3:3" x14ac:dyDescent="0.25">
      <c r="C2075" s="66"/>
    </row>
    <row r="2076" spans="3:3" x14ac:dyDescent="0.25">
      <c r="C2076" s="66"/>
    </row>
    <row r="2077" spans="3:3" x14ac:dyDescent="0.25">
      <c r="C2077" s="66"/>
    </row>
    <row r="2078" spans="3:3" x14ac:dyDescent="0.25">
      <c r="C2078" s="66"/>
    </row>
    <row r="2079" spans="3:3" x14ac:dyDescent="0.25">
      <c r="C2079" s="66"/>
    </row>
    <row r="2080" spans="3:3" x14ac:dyDescent="0.25">
      <c r="C2080" s="66"/>
    </row>
    <row r="2081" spans="3:3" x14ac:dyDescent="0.25">
      <c r="C2081" s="66"/>
    </row>
    <row r="2082" spans="3:3" x14ac:dyDescent="0.25">
      <c r="C2082" s="66"/>
    </row>
    <row r="2083" spans="3:3" x14ac:dyDescent="0.25">
      <c r="C2083" s="66"/>
    </row>
    <row r="2084" spans="3:3" x14ac:dyDescent="0.25">
      <c r="C2084" s="66"/>
    </row>
    <row r="2085" spans="3:3" x14ac:dyDescent="0.25">
      <c r="C2085" s="66"/>
    </row>
    <row r="2086" spans="3:3" x14ac:dyDescent="0.25">
      <c r="C2086" s="66"/>
    </row>
    <row r="2087" spans="3:3" x14ac:dyDescent="0.25">
      <c r="C2087" s="66"/>
    </row>
    <row r="2088" spans="3:3" x14ac:dyDescent="0.25">
      <c r="C2088" s="66"/>
    </row>
    <row r="2089" spans="3:3" x14ac:dyDescent="0.25">
      <c r="C2089" s="66"/>
    </row>
    <row r="2090" spans="3:3" x14ac:dyDescent="0.25">
      <c r="C2090" s="66"/>
    </row>
    <row r="2091" spans="3:3" x14ac:dyDescent="0.25">
      <c r="C2091" s="66"/>
    </row>
    <row r="2092" spans="3:3" x14ac:dyDescent="0.25">
      <c r="C2092" s="66"/>
    </row>
    <row r="2093" spans="3:3" x14ac:dyDescent="0.25">
      <c r="C2093" s="66"/>
    </row>
    <row r="2094" spans="3:3" x14ac:dyDescent="0.25">
      <c r="C2094" s="66"/>
    </row>
    <row r="2095" spans="3:3" x14ac:dyDescent="0.25">
      <c r="C2095" s="66"/>
    </row>
    <row r="2096" spans="3:3" x14ac:dyDescent="0.25">
      <c r="C2096" s="66"/>
    </row>
    <row r="2097" spans="3:3" x14ac:dyDescent="0.25">
      <c r="C2097" s="66"/>
    </row>
    <row r="2098" spans="3:3" x14ac:dyDescent="0.25">
      <c r="C2098" s="66"/>
    </row>
    <row r="2099" spans="3:3" x14ac:dyDescent="0.25">
      <c r="C2099" s="66"/>
    </row>
    <row r="2100" spans="3:3" x14ac:dyDescent="0.25">
      <c r="C2100" s="66"/>
    </row>
    <row r="2101" spans="3:3" x14ac:dyDescent="0.25">
      <c r="C2101" s="66"/>
    </row>
    <row r="2102" spans="3:3" x14ac:dyDescent="0.25">
      <c r="C2102" s="66"/>
    </row>
    <row r="2103" spans="3:3" x14ac:dyDescent="0.25">
      <c r="C2103" s="66"/>
    </row>
    <row r="2104" spans="3:3" x14ac:dyDescent="0.25">
      <c r="C2104" s="66"/>
    </row>
    <row r="2105" spans="3:3" x14ac:dyDescent="0.25">
      <c r="C2105" s="66"/>
    </row>
    <row r="2106" spans="3:3" x14ac:dyDescent="0.25">
      <c r="C2106" s="66"/>
    </row>
    <row r="2107" spans="3:3" x14ac:dyDescent="0.25">
      <c r="C2107" s="66"/>
    </row>
    <row r="2108" spans="3:3" x14ac:dyDescent="0.25">
      <c r="C2108" s="66"/>
    </row>
    <row r="2109" spans="3:3" x14ac:dyDescent="0.25">
      <c r="C2109" s="66"/>
    </row>
    <row r="2110" spans="3:3" x14ac:dyDescent="0.25">
      <c r="C2110" s="66"/>
    </row>
    <row r="2111" spans="3:3" x14ac:dyDescent="0.25">
      <c r="C2111" s="66"/>
    </row>
    <row r="2112" spans="3:3" x14ac:dyDescent="0.25">
      <c r="C2112" s="66"/>
    </row>
    <row r="2113" spans="3:3" x14ac:dyDescent="0.25">
      <c r="C2113" s="66"/>
    </row>
    <row r="2114" spans="3:3" x14ac:dyDescent="0.25">
      <c r="C2114" s="66"/>
    </row>
    <row r="2115" spans="3:3" x14ac:dyDescent="0.25">
      <c r="C2115" s="66"/>
    </row>
    <row r="2116" spans="3:3" x14ac:dyDescent="0.25">
      <c r="C2116" s="66"/>
    </row>
    <row r="2117" spans="3:3" x14ac:dyDescent="0.25">
      <c r="C2117" s="66"/>
    </row>
    <row r="2118" spans="3:3" x14ac:dyDescent="0.25">
      <c r="C2118" s="66"/>
    </row>
    <row r="2119" spans="3:3" x14ac:dyDescent="0.25">
      <c r="C2119" s="66"/>
    </row>
    <row r="2120" spans="3:3" x14ac:dyDescent="0.25">
      <c r="C2120" s="66"/>
    </row>
    <row r="2121" spans="3:3" x14ac:dyDescent="0.25">
      <c r="C2121" s="66"/>
    </row>
    <row r="2122" spans="3:3" x14ac:dyDescent="0.25">
      <c r="C2122" s="66"/>
    </row>
    <row r="2123" spans="3:3" x14ac:dyDescent="0.25">
      <c r="C2123" s="66"/>
    </row>
    <row r="2124" spans="3:3" x14ac:dyDescent="0.25">
      <c r="C2124" s="66"/>
    </row>
    <row r="2125" spans="3:3" x14ac:dyDescent="0.25">
      <c r="C2125" s="66"/>
    </row>
    <row r="2126" spans="3:3" x14ac:dyDescent="0.25">
      <c r="C2126" s="66"/>
    </row>
    <row r="2127" spans="3:3" x14ac:dyDescent="0.25">
      <c r="C2127" s="66"/>
    </row>
    <row r="2128" spans="3:3" x14ac:dyDescent="0.25">
      <c r="C2128" s="66"/>
    </row>
    <row r="2129" spans="3:3" x14ac:dyDescent="0.25">
      <c r="C2129" s="66"/>
    </row>
    <row r="2130" spans="3:3" x14ac:dyDescent="0.25">
      <c r="C2130" s="66"/>
    </row>
    <row r="2131" spans="3:3" x14ac:dyDescent="0.25">
      <c r="C2131" s="66"/>
    </row>
    <row r="2132" spans="3:3" x14ac:dyDescent="0.25">
      <c r="C2132" s="66"/>
    </row>
    <row r="2133" spans="3:3" x14ac:dyDescent="0.25">
      <c r="C2133" s="66"/>
    </row>
    <row r="2134" spans="3:3" x14ac:dyDescent="0.25">
      <c r="C2134" s="66"/>
    </row>
    <row r="2135" spans="3:3" x14ac:dyDescent="0.25">
      <c r="C2135" s="66"/>
    </row>
    <row r="2136" spans="3:3" x14ac:dyDescent="0.25">
      <c r="C2136" s="66"/>
    </row>
    <row r="2137" spans="3:3" x14ac:dyDescent="0.25">
      <c r="C2137" s="66"/>
    </row>
    <row r="2138" spans="3:3" x14ac:dyDescent="0.25">
      <c r="C2138" s="66"/>
    </row>
    <row r="2139" spans="3:3" x14ac:dyDescent="0.25">
      <c r="C2139" s="66"/>
    </row>
    <row r="2140" spans="3:3" x14ac:dyDescent="0.25">
      <c r="C2140" s="66"/>
    </row>
    <row r="2141" spans="3:3" x14ac:dyDescent="0.25">
      <c r="C2141" s="66"/>
    </row>
    <row r="2142" spans="3:3" x14ac:dyDescent="0.25">
      <c r="C2142" s="66"/>
    </row>
    <row r="2143" spans="3:3" x14ac:dyDescent="0.25">
      <c r="C2143" s="66"/>
    </row>
    <row r="2144" spans="3:3" x14ac:dyDescent="0.25">
      <c r="C2144" s="66"/>
    </row>
    <row r="2145" spans="3:3" x14ac:dyDescent="0.25">
      <c r="C2145" s="66"/>
    </row>
    <row r="2146" spans="3:3" x14ac:dyDescent="0.25">
      <c r="C2146" s="66"/>
    </row>
    <row r="2147" spans="3:3" x14ac:dyDescent="0.25">
      <c r="C2147" s="66"/>
    </row>
    <row r="2148" spans="3:3" x14ac:dyDescent="0.25">
      <c r="C2148" s="66"/>
    </row>
    <row r="2149" spans="3:3" x14ac:dyDescent="0.25">
      <c r="C2149" s="66"/>
    </row>
    <row r="2150" spans="3:3" x14ac:dyDescent="0.25">
      <c r="C2150" s="66"/>
    </row>
    <row r="2151" spans="3:3" x14ac:dyDescent="0.25">
      <c r="C2151" s="66"/>
    </row>
    <row r="2152" spans="3:3" x14ac:dyDescent="0.25">
      <c r="C2152" s="66"/>
    </row>
    <row r="2153" spans="3:3" x14ac:dyDescent="0.25">
      <c r="C2153" s="66"/>
    </row>
    <row r="2154" spans="3:3" x14ac:dyDescent="0.25">
      <c r="C2154" s="66"/>
    </row>
    <row r="2155" spans="3:3" x14ac:dyDescent="0.25">
      <c r="C2155" s="66"/>
    </row>
    <row r="2156" spans="3:3" x14ac:dyDescent="0.25">
      <c r="C2156" s="66"/>
    </row>
    <row r="2157" spans="3:3" x14ac:dyDescent="0.25">
      <c r="C2157" s="66"/>
    </row>
    <row r="2158" spans="3:3" x14ac:dyDescent="0.25">
      <c r="C2158" s="66"/>
    </row>
    <row r="2159" spans="3:3" x14ac:dyDescent="0.25">
      <c r="C2159" s="66"/>
    </row>
    <row r="2160" spans="3:3" x14ac:dyDescent="0.25">
      <c r="C2160" s="66"/>
    </row>
    <row r="2161" spans="3:3" x14ac:dyDescent="0.25">
      <c r="C2161" s="66"/>
    </row>
    <row r="2162" spans="3:3" x14ac:dyDescent="0.25">
      <c r="C2162" s="66"/>
    </row>
    <row r="2163" spans="3:3" x14ac:dyDescent="0.25">
      <c r="C2163" s="66"/>
    </row>
    <row r="2164" spans="3:3" x14ac:dyDescent="0.25">
      <c r="C2164" s="66"/>
    </row>
    <row r="2165" spans="3:3" x14ac:dyDescent="0.25">
      <c r="C2165" s="66"/>
    </row>
    <row r="2166" spans="3:3" x14ac:dyDescent="0.25">
      <c r="C2166" s="66"/>
    </row>
    <row r="2167" spans="3:3" x14ac:dyDescent="0.25">
      <c r="C2167" s="66"/>
    </row>
    <row r="2168" spans="3:3" x14ac:dyDescent="0.25">
      <c r="C2168" s="66"/>
    </row>
    <row r="2169" spans="3:3" x14ac:dyDescent="0.25">
      <c r="C2169" s="66"/>
    </row>
    <row r="2170" spans="3:3" x14ac:dyDescent="0.25">
      <c r="C2170" s="66"/>
    </row>
    <row r="2171" spans="3:3" x14ac:dyDescent="0.25">
      <c r="C2171" s="66"/>
    </row>
    <row r="2172" spans="3:3" x14ac:dyDescent="0.25">
      <c r="C2172" s="66"/>
    </row>
    <row r="2173" spans="3:3" x14ac:dyDescent="0.25">
      <c r="C2173" s="66"/>
    </row>
    <row r="2174" spans="3:3" x14ac:dyDescent="0.25">
      <c r="C2174" s="66"/>
    </row>
    <row r="2175" spans="3:3" x14ac:dyDescent="0.25">
      <c r="C2175" s="66"/>
    </row>
    <row r="2176" spans="3:3" x14ac:dyDescent="0.25">
      <c r="C2176" s="66"/>
    </row>
    <row r="2177" spans="3:3" x14ac:dyDescent="0.25">
      <c r="C2177" s="66"/>
    </row>
    <row r="2178" spans="3:3" x14ac:dyDescent="0.25">
      <c r="C2178" s="66"/>
    </row>
    <row r="2179" spans="3:3" x14ac:dyDescent="0.25">
      <c r="C2179" s="66"/>
    </row>
    <row r="2180" spans="3:3" x14ac:dyDescent="0.25">
      <c r="C2180" s="66"/>
    </row>
    <row r="2181" spans="3:3" x14ac:dyDescent="0.25">
      <c r="C2181" s="66"/>
    </row>
    <row r="2182" spans="3:3" x14ac:dyDescent="0.25">
      <c r="C2182" s="66"/>
    </row>
    <row r="2183" spans="3:3" x14ac:dyDescent="0.25">
      <c r="C2183" s="66"/>
    </row>
    <row r="2184" spans="3:3" x14ac:dyDescent="0.25">
      <c r="C2184" s="66"/>
    </row>
    <row r="2185" spans="3:3" x14ac:dyDescent="0.25">
      <c r="C2185" s="66"/>
    </row>
    <row r="2186" spans="3:3" x14ac:dyDescent="0.25">
      <c r="C2186" s="66"/>
    </row>
    <row r="2187" spans="3:3" x14ac:dyDescent="0.25">
      <c r="C2187" s="66"/>
    </row>
    <row r="2188" spans="3:3" x14ac:dyDescent="0.25">
      <c r="C2188" s="66"/>
    </row>
    <row r="2189" spans="3:3" x14ac:dyDescent="0.25">
      <c r="C2189" s="66"/>
    </row>
    <row r="2190" spans="3:3" x14ac:dyDescent="0.25">
      <c r="C2190" s="66"/>
    </row>
    <row r="2191" spans="3:3" x14ac:dyDescent="0.25">
      <c r="C2191" s="66"/>
    </row>
    <row r="2192" spans="3:3" x14ac:dyDescent="0.25">
      <c r="C2192" s="66"/>
    </row>
    <row r="2193" spans="3:3" x14ac:dyDescent="0.25">
      <c r="C2193" s="66"/>
    </row>
    <row r="2194" spans="3:3" x14ac:dyDescent="0.25">
      <c r="C2194" s="66"/>
    </row>
    <row r="2195" spans="3:3" x14ac:dyDescent="0.25">
      <c r="C2195" s="66"/>
    </row>
    <row r="2196" spans="3:3" x14ac:dyDescent="0.25">
      <c r="C2196" s="66"/>
    </row>
    <row r="2197" spans="3:3" x14ac:dyDescent="0.25">
      <c r="C2197" s="66"/>
    </row>
    <row r="2198" spans="3:3" x14ac:dyDescent="0.25">
      <c r="C2198" s="66"/>
    </row>
    <row r="2199" spans="3:3" x14ac:dyDescent="0.25">
      <c r="C2199" s="66"/>
    </row>
    <row r="2200" spans="3:3" x14ac:dyDescent="0.25">
      <c r="C2200" s="66"/>
    </row>
    <row r="2201" spans="3:3" x14ac:dyDescent="0.25">
      <c r="C2201" s="66"/>
    </row>
    <row r="2202" spans="3:3" x14ac:dyDescent="0.25">
      <c r="C2202" s="66"/>
    </row>
    <row r="2203" spans="3:3" x14ac:dyDescent="0.25">
      <c r="C2203" s="66"/>
    </row>
    <row r="2204" spans="3:3" x14ac:dyDescent="0.25">
      <c r="C2204" s="66"/>
    </row>
    <row r="2205" spans="3:3" x14ac:dyDescent="0.25">
      <c r="C2205" s="66"/>
    </row>
    <row r="2206" spans="3:3" x14ac:dyDescent="0.25">
      <c r="C2206" s="66"/>
    </row>
    <row r="2207" spans="3:3" x14ac:dyDescent="0.25">
      <c r="C2207" s="66"/>
    </row>
    <row r="2208" spans="3:3" x14ac:dyDescent="0.25">
      <c r="C2208" s="66"/>
    </row>
    <row r="2209" spans="3:3" x14ac:dyDescent="0.25">
      <c r="C2209" s="66"/>
    </row>
    <row r="2210" spans="3:3" x14ac:dyDescent="0.25">
      <c r="C2210" s="66"/>
    </row>
    <row r="2211" spans="3:3" x14ac:dyDescent="0.25">
      <c r="C2211" s="66"/>
    </row>
    <row r="2212" spans="3:3" x14ac:dyDescent="0.25">
      <c r="C2212" s="66"/>
    </row>
    <row r="2213" spans="3:3" x14ac:dyDescent="0.25">
      <c r="C2213" s="66"/>
    </row>
    <row r="2214" spans="3:3" x14ac:dyDescent="0.25">
      <c r="C2214" s="66"/>
    </row>
    <row r="2215" spans="3:3" x14ac:dyDescent="0.25">
      <c r="C2215" s="66"/>
    </row>
    <row r="2216" spans="3:3" x14ac:dyDescent="0.25">
      <c r="C2216" s="66"/>
    </row>
    <row r="2217" spans="3:3" x14ac:dyDescent="0.25">
      <c r="C2217" s="66"/>
    </row>
    <row r="2218" spans="3:3" x14ac:dyDescent="0.25">
      <c r="C2218" s="66"/>
    </row>
    <row r="2219" spans="3:3" x14ac:dyDescent="0.25">
      <c r="C2219" s="66"/>
    </row>
    <row r="2220" spans="3:3" x14ac:dyDescent="0.25">
      <c r="C2220" s="66"/>
    </row>
    <row r="2221" spans="3:3" x14ac:dyDescent="0.25">
      <c r="C2221" s="66"/>
    </row>
    <row r="2222" spans="3:3" x14ac:dyDescent="0.25">
      <c r="C2222" s="66"/>
    </row>
    <row r="2223" spans="3:3" x14ac:dyDescent="0.25">
      <c r="C2223" s="66"/>
    </row>
    <row r="2224" spans="3:3" x14ac:dyDescent="0.25">
      <c r="C2224" s="66"/>
    </row>
    <row r="2225" spans="3:3" x14ac:dyDescent="0.25">
      <c r="C2225" s="66"/>
    </row>
    <row r="2226" spans="3:3" x14ac:dyDescent="0.25">
      <c r="C2226" s="66"/>
    </row>
    <row r="2227" spans="3:3" x14ac:dyDescent="0.25">
      <c r="C2227" s="66"/>
    </row>
    <row r="2228" spans="3:3" x14ac:dyDescent="0.25">
      <c r="C2228" s="66"/>
    </row>
    <row r="2229" spans="3:3" x14ac:dyDescent="0.25">
      <c r="C2229" s="66"/>
    </row>
    <row r="2230" spans="3:3" x14ac:dyDescent="0.25">
      <c r="C2230" s="66"/>
    </row>
    <row r="2231" spans="3:3" x14ac:dyDescent="0.25">
      <c r="C2231" s="66"/>
    </row>
    <row r="2232" spans="3:3" x14ac:dyDescent="0.25">
      <c r="C2232" s="66"/>
    </row>
    <row r="2233" spans="3:3" x14ac:dyDescent="0.25">
      <c r="C2233" s="66"/>
    </row>
    <row r="2234" spans="3:3" x14ac:dyDescent="0.25">
      <c r="C2234" s="66"/>
    </row>
    <row r="2235" spans="3:3" x14ac:dyDescent="0.25">
      <c r="C2235" s="66"/>
    </row>
    <row r="2236" spans="3:3" x14ac:dyDescent="0.25">
      <c r="C2236" s="66"/>
    </row>
    <row r="2237" spans="3:3" x14ac:dyDescent="0.25">
      <c r="C2237" s="66"/>
    </row>
    <row r="2238" spans="3:3" x14ac:dyDescent="0.25">
      <c r="C2238" s="66"/>
    </row>
    <row r="2239" spans="3:3" x14ac:dyDescent="0.25">
      <c r="C2239" s="66"/>
    </row>
    <row r="2240" spans="3:3" x14ac:dyDescent="0.25">
      <c r="C2240" s="66"/>
    </row>
    <row r="2241" spans="3:3" x14ac:dyDescent="0.25">
      <c r="C2241" s="66"/>
    </row>
    <row r="2242" spans="3:3" x14ac:dyDescent="0.25">
      <c r="C2242" s="66"/>
    </row>
    <row r="2243" spans="3:3" x14ac:dyDescent="0.25">
      <c r="C2243" s="66"/>
    </row>
    <row r="2244" spans="3:3" x14ac:dyDescent="0.25">
      <c r="C2244" s="66"/>
    </row>
    <row r="2245" spans="3:3" x14ac:dyDescent="0.25">
      <c r="C2245" s="66"/>
    </row>
    <row r="2246" spans="3:3" x14ac:dyDescent="0.25">
      <c r="C2246" s="66"/>
    </row>
    <row r="2247" spans="3:3" x14ac:dyDescent="0.25">
      <c r="C2247" s="66"/>
    </row>
    <row r="2248" spans="3:3" x14ac:dyDescent="0.25">
      <c r="C2248" s="66"/>
    </row>
    <row r="2249" spans="3:3" x14ac:dyDescent="0.25">
      <c r="C2249" s="66"/>
    </row>
    <row r="2250" spans="3:3" x14ac:dyDescent="0.25">
      <c r="C2250" s="66"/>
    </row>
    <row r="2251" spans="3:3" x14ac:dyDescent="0.25">
      <c r="C2251" s="66"/>
    </row>
    <row r="2252" spans="3:3" x14ac:dyDescent="0.25">
      <c r="C2252" s="66"/>
    </row>
    <row r="2253" spans="3:3" x14ac:dyDescent="0.25">
      <c r="C2253" s="66"/>
    </row>
    <row r="2254" spans="3:3" x14ac:dyDescent="0.25">
      <c r="C2254" s="66"/>
    </row>
    <row r="2255" spans="3:3" x14ac:dyDescent="0.25">
      <c r="C2255" s="66"/>
    </row>
    <row r="2256" spans="3:3" x14ac:dyDescent="0.25">
      <c r="C2256" s="66"/>
    </row>
    <row r="2257" spans="3:3" x14ac:dyDescent="0.25">
      <c r="C2257" s="66"/>
    </row>
    <row r="2258" spans="3:3" x14ac:dyDescent="0.25">
      <c r="C2258" s="66"/>
    </row>
    <row r="2259" spans="3:3" x14ac:dyDescent="0.25">
      <c r="C2259" s="66"/>
    </row>
    <row r="2260" spans="3:3" x14ac:dyDescent="0.25">
      <c r="C2260" s="66"/>
    </row>
    <row r="2261" spans="3:3" x14ac:dyDescent="0.25">
      <c r="C2261" s="66"/>
    </row>
    <row r="2262" spans="3:3" x14ac:dyDescent="0.25">
      <c r="C2262" s="66"/>
    </row>
    <row r="2263" spans="3:3" x14ac:dyDescent="0.25">
      <c r="C2263" s="66"/>
    </row>
    <row r="2264" spans="3:3" x14ac:dyDescent="0.25">
      <c r="C2264" s="66"/>
    </row>
    <row r="2265" spans="3:3" x14ac:dyDescent="0.25">
      <c r="C2265" s="66"/>
    </row>
    <row r="2266" spans="3:3" x14ac:dyDescent="0.25">
      <c r="C2266" s="66"/>
    </row>
    <row r="2267" spans="3:3" x14ac:dyDescent="0.25">
      <c r="C2267" s="66"/>
    </row>
    <row r="2268" spans="3:3" x14ac:dyDescent="0.25">
      <c r="C2268" s="66"/>
    </row>
    <row r="2269" spans="3:3" x14ac:dyDescent="0.25">
      <c r="C2269" s="66"/>
    </row>
    <row r="2270" spans="3:3" x14ac:dyDescent="0.25">
      <c r="C2270" s="66"/>
    </row>
    <row r="2271" spans="3:3" x14ac:dyDescent="0.25">
      <c r="C2271" s="66"/>
    </row>
    <row r="2272" spans="3:3" x14ac:dyDescent="0.25">
      <c r="C2272" s="66"/>
    </row>
    <row r="2273" spans="3:3" x14ac:dyDescent="0.25">
      <c r="C2273" s="66"/>
    </row>
    <row r="2274" spans="3:3" x14ac:dyDescent="0.25">
      <c r="C2274" s="66"/>
    </row>
    <row r="2275" spans="3:3" x14ac:dyDescent="0.25">
      <c r="C2275" s="66"/>
    </row>
    <row r="2276" spans="3:3" x14ac:dyDescent="0.25">
      <c r="C2276" s="66"/>
    </row>
    <row r="2277" spans="3:3" x14ac:dyDescent="0.25">
      <c r="C2277" s="66"/>
    </row>
    <row r="2278" spans="3:3" x14ac:dyDescent="0.25">
      <c r="C2278" s="66"/>
    </row>
    <row r="2279" spans="3:3" x14ac:dyDescent="0.25">
      <c r="C2279" s="66"/>
    </row>
    <row r="2280" spans="3:3" x14ac:dyDescent="0.25">
      <c r="C2280" s="66"/>
    </row>
    <row r="2281" spans="3:3" x14ac:dyDescent="0.25">
      <c r="C2281" s="66"/>
    </row>
    <row r="2282" spans="3:3" x14ac:dyDescent="0.25">
      <c r="C2282" s="66"/>
    </row>
    <row r="2283" spans="3:3" x14ac:dyDescent="0.25">
      <c r="C2283" s="66"/>
    </row>
    <row r="2284" spans="3:3" x14ac:dyDescent="0.25">
      <c r="C2284" s="66"/>
    </row>
    <row r="2285" spans="3:3" x14ac:dyDescent="0.25">
      <c r="C2285" s="66"/>
    </row>
    <row r="2286" spans="3:3" x14ac:dyDescent="0.25">
      <c r="C2286" s="66"/>
    </row>
    <row r="2287" spans="3:3" x14ac:dyDescent="0.25">
      <c r="C2287" s="66"/>
    </row>
    <row r="2288" spans="3:3" x14ac:dyDescent="0.25">
      <c r="C2288" s="66"/>
    </row>
    <row r="2289" spans="3:3" x14ac:dyDescent="0.25">
      <c r="C2289" s="66"/>
    </row>
    <row r="2290" spans="3:3" x14ac:dyDescent="0.25">
      <c r="C2290" s="66"/>
    </row>
    <row r="2291" spans="3:3" x14ac:dyDescent="0.25">
      <c r="C2291" s="66"/>
    </row>
    <row r="2292" spans="3:3" x14ac:dyDescent="0.25">
      <c r="C2292" s="66"/>
    </row>
    <row r="2293" spans="3:3" x14ac:dyDescent="0.25">
      <c r="C2293" s="66"/>
    </row>
    <row r="2294" spans="3:3" x14ac:dyDescent="0.25">
      <c r="C2294" s="66"/>
    </row>
    <row r="2295" spans="3:3" x14ac:dyDescent="0.25">
      <c r="C2295" s="66"/>
    </row>
    <row r="2296" spans="3:3" x14ac:dyDescent="0.25">
      <c r="C2296" s="66"/>
    </row>
    <row r="2297" spans="3:3" x14ac:dyDescent="0.25">
      <c r="C2297" s="66"/>
    </row>
    <row r="2298" spans="3:3" x14ac:dyDescent="0.25">
      <c r="C2298" s="66"/>
    </row>
    <row r="2299" spans="3:3" x14ac:dyDescent="0.25">
      <c r="C2299" s="66"/>
    </row>
    <row r="2300" spans="3:3" x14ac:dyDescent="0.25">
      <c r="C2300" s="66"/>
    </row>
    <row r="2301" spans="3:3" x14ac:dyDescent="0.25">
      <c r="C2301" s="66"/>
    </row>
    <row r="2302" spans="3:3" x14ac:dyDescent="0.25">
      <c r="C2302" s="66"/>
    </row>
    <row r="2303" spans="3:3" x14ac:dyDescent="0.25">
      <c r="C2303" s="66"/>
    </row>
    <row r="2304" spans="3:3" x14ac:dyDescent="0.25">
      <c r="C2304" s="66"/>
    </row>
    <row r="2305" spans="3:3" x14ac:dyDescent="0.25">
      <c r="C2305" s="66"/>
    </row>
    <row r="2306" spans="3:3" x14ac:dyDescent="0.25">
      <c r="C2306" s="66"/>
    </row>
    <row r="2307" spans="3:3" x14ac:dyDescent="0.25">
      <c r="C2307" s="66"/>
    </row>
    <row r="2308" spans="3:3" x14ac:dyDescent="0.25">
      <c r="C2308" s="66"/>
    </row>
    <row r="2309" spans="3:3" x14ac:dyDescent="0.25">
      <c r="C2309" s="66"/>
    </row>
    <row r="2310" spans="3:3" x14ac:dyDescent="0.25">
      <c r="C2310" s="66"/>
    </row>
    <row r="2311" spans="3:3" x14ac:dyDescent="0.25">
      <c r="C2311" s="66"/>
    </row>
    <row r="2312" spans="3:3" x14ac:dyDescent="0.25">
      <c r="C2312" s="66"/>
    </row>
    <row r="2313" spans="3:3" x14ac:dyDescent="0.25">
      <c r="C2313" s="66"/>
    </row>
    <row r="2314" spans="3:3" x14ac:dyDescent="0.25">
      <c r="C2314" s="66"/>
    </row>
    <row r="2315" spans="3:3" x14ac:dyDescent="0.25">
      <c r="C2315" s="66"/>
    </row>
    <row r="2316" spans="3:3" x14ac:dyDescent="0.25">
      <c r="C2316" s="66"/>
    </row>
    <row r="2317" spans="3:3" x14ac:dyDescent="0.25">
      <c r="C2317" s="66"/>
    </row>
    <row r="2318" spans="3:3" x14ac:dyDescent="0.25">
      <c r="C2318" s="66"/>
    </row>
    <row r="2319" spans="3:3" x14ac:dyDescent="0.25">
      <c r="C2319" s="66"/>
    </row>
    <row r="2320" spans="3:3" x14ac:dyDescent="0.25">
      <c r="C2320" s="66"/>
    </row>
    <row r="2321" spans="3:3" x14ac:dyDescent="0.25">
      <c r="C2321" s="66"/>
    </row>
    <row r="2322" spans="3:3" x14ac:dyDescent="0.25">
      <c r="C2322" s="66"/>
    </row>
    <row r="2323" spans="3:3" x14ac:dyDescent="0.25">
      <c r="C2323" s="66"/>
    </row>
    <row r="2324" spans="3:3" x14ac:dyDescent="0.25">
      <c r="C2324" s="66"/>
    </row>
    <row r="2325" spans="3:3" x14ac:dyDescent="0.25">
      <c r="C2325" s="66"/>
    </row>
    <row r="2326" spans="3:3" x14ac:dyDescent="0.25">
      <c r="C2326" s="66"/>
    </row>
    <row r="2327" spans="3:3" x14ac:dyDescent="0.25">
      <c r="C2327" s="66"/>
    </row>
    <row r="2328" spans="3:3" x14ac:dyDescent="0.25">
      <c r="C2328" s="66"/>
    </row>
    <row r="2329" spans="3:3" x14ac:dyDescent="0.25">
      <c r="C2329" s="66"/>
    </row>
    <row r="2330" spans="3:3" x14ac:dyDescent="0.25">
      <c r="C2330" s="66"/>
    </row>
    <row r="2331" spans="3:3" x14ac:dyDescent="0.25">
      <c r="C2331" s="66"/>
    </row>
    <row r="2332" spans="3:3" x14ac:dyDescent="0.25">
      <c r="C2332" s="66"/>
    </row>
    <row r="2333" spans="3:3" x14ac:dyDescent="0.25">
      <c r="C2333" s="66"/>
    </row>
    <row r="2334" spans="3:3" x14ac:dyDescent="0.25">
      <c r="C2334" s="66"/>
    </row>
    <row r="2335" spans="3:3" x14ac:dyDescent="0.25">
      <c r="C2335" s="66"/>
    </row>
    <row r="2336" spans="3:3" x14ac:dyDescent="0.25">
      <c r="C2336" s="66"/>
    </row>
    <row r="2337" spans="3:3" x14ac:dyDescent="0.25">
      <c r="C2337" s="66"/>
    </row>
    <row r="2338" spans="3:3" x14ac:dyDescent="0.25">
      <c r="C2338" s="66"/>
    </row>
    <row r="2339" spans="3:3" x14ac:dyDescent="0.25">
      <c r="C2339" s="66"/>
    </row>
    <row r="2340" spans="3:3" x14ac:dyDescent="0.25">
      <c r="C2340" s="66"/>
    </row>
    <row r="2341" spans="3:3" x14ac:dyDescent="0.25">
      <c r="C2341" s="66"/>
    </row>
    <row r="2342" spans="3:3" x14ac:dyDescent="0.25">
      <c r="C2342" s="66"/>
    </row>
    <row r="2343" spans="3:3" x14ac:dyDescent="0.25">
      <c r="C2343" s="66"/>
    </row>
    <row r="2344" spans="3:3" x14ac:dyDescent="0.25">
      <c r="C2344" s="66"/>
    </row>
    <row r="2345" spans="3:3" x14ac:dyDescent="0.25">
      <c r="C2345" s="66"/>
    </row>
    <row r="2346" spans="3:3" x14ac:dyDescent="0.25">
      <c r="C2346" s="66"/>
    </row>
    <row r="2347" spans="3:3" x14ac:dyDescent="0.25">
      <c r="C2347" s="66"/>
    </row>
    <row r="2348" spans="3:3" x14ac:dyDescent="0.25">
      <c r="C2348" s="66"/>
    </row>
    <row r="2349" spans="3:3" x14ac:dyDescent="0.25">
      <c r="C2349" s="66"/>
    </row>
    <row r="2350" spans="3:3" x14ac:dyDescent="0.25">
      <c r="C2350" s="66"/>
    </row>
    <row r="2351" spans="3:3" x14ac:dyDescent="0.25">
      <c r="C2351" s="66"/>
    </row>
    <row r="2352" spans="3:3" x14ac:dyDescent="0.25">
      <c r="C2352" s="66"/>
    </row>
    <row r="2353" spans="3:3" x14ac:dyDescent="0.25">
      <c r="C2353" s="66"/>
    </row>
    <row r="2354" spans="3:3" x14ac:dyDescent="0.25">
      <c r="C2354" s="66"/>
    </row>
    <row r="2355" spans="3:3" x14ac:dyDescent="0.25">
      <c r="C2355" s="66"/>
    </row>
    <row r="2356" spans="3:3" x14ac:dyDescent="0.25">
      <c r="C2356" s="66"/>
    </row>
    <row r="2357" spans="3:3" x14ac:dyDescent="0.25">
      <c r="C2357" s="66"/>
    </row>
    <row r="2358" spans="3:3" x14ac:dyDescent="0.25">
      <c r="C2358" s="66"/>
    </row>
    <row r="2359" spans="3:3" x14ac:dyDescent="0.25">
      <c r="C2359" s="66"/>
    </row>
    <row r="2360" spans="3:3" x14ac:dyDescent="0.25">
      <c r="C2360" s="66"/>
    </row>
    <row r="2361" spans="3:3" x14ac:dyDescent="0.25">
      <c r="C2361" s="66"/>
    </row>
    <row r="2362" spans="3:3" x14ac:dyDescent="0.25">
      <c r="C2362" s="66"/>
    </row>
    <row r="2363" spans="3:3" x14ac:dyDescent="0.25">
      <c r="C2363" s="66"/>
    </row>
    <row r="2364" spans="3:3" x14ac:dyDescent="0.25">
      <c r="C2364" s="66"/>
    </row>
    <row r="2365" spans="3:3" x14ac:dyDescent="0.25">
      <c r="C2365" s="66"/>
    </row>
    <row r="2366" spans="3:3" x14ac:dyDescent="0.25">
      <c r="C2366" s="66"/>
    </row>
    <row r="2367" spans="3:3" x14ac:dyDescent="0.25">
      <c r="C2367" s="66"/>
    </row>
    <row r="2368" spans="3:3" x14ac:dyDescent="0.25">
      <c r="C2368" s="66"/>
    </row>
    <row r="2369" spans="3:3" x14ac:dyDescent="0.25">
      <c r="C2369" s="66"/>
    </row>
    <row r="2370" spans="3:3" x14ac:dyDescent="0.25">
      <c r="C2370" s="66"/>
    </row>
    <row r="2371" spans="3:3" x14ac:dyDescent="0.25">
      <c r="C2371" s="66"/>
    </row>
    <row r="2372" spans="3:3" x14ac:dyDescent="0.25">
      <c r="C2372" s="66"/>
    </row>
    <row r="2373" spans="3:3" x14ac:dyDescent="0.25">
      <c r="C2373" s="66"/>
    </row>
    <row r="2374" spans="3:3" x14ac:dyDescent="0.25">
      <c r="C2374" s="66"/>
    </row>
    <row r="2375" spans="3:3" x14ac:dyDescent="0.25">
      <c r="C2375" s="66"/>
    </row>
    <row r="2376" spans="3:3" x14ac:dyDescent="0.25">
      <c r="C2376" s="66"/>
    </row>
    <row r="2377" spans="3:3" x14ac:dyDescent="0.25">
      <c r="C2377" s="66"/>
    </row>
    <row r="2378" spans="3:3" x14ac:dyDescent="0.25">
      <c r="C2378" s="66"/>
    </row>
    <row r="2379" spans="3:3" x14ac:dyDescent="0.25">
      <c r="C2379" s="66"/>
    </row>
    <row r="2380" spans="3:3" x14ac:dyDescent="0.25">
      <c r="C2380" s="66"/>
    </row>
    <row r="2381" spans="3:3" x14ac:dyDescent="0.25">
      <c r="C2381" s="66"/>
    </row>
    <row r="2382" spans="3:3" x14ac:dyDescent="0.25">
      <c r="C2382" s="66"/>
    </row>
    <row r="2383" spans="3:3" x14ac:dyDescent="0.25">
      <c r="C2383" s="66"/>
    </row>
    <row r="2384" spans="3:3" x14ac:dyDescent="0.25">
      <c r="C2384" s="66"/>
    </row>
    <row r="2385" spans="3:3" x14ac:dyDescent="0.25">
      <c r="C2385" s="66"/>
    </row>
    <row r="2386" spans="3:3" x14ac:dyDescent="0.25">
      <c r="C2386" s="66"/>
    </row>
    <row r="2387" spans="3:3" x14ac:dyDescent="0.25">
      <c r="C2387" s="66"/>
    </row>
    <row r="2388" spans="3:3" x14ac:dyDescent="0.25">
      <c r="C2388" s="66"/>
    </row>
    <row r="2389" spans="3:3" x14ac:dyDescent="0.25">
      <c r="C2389" s="66"/>
    </row>
    <row r="2390" spans="3:3" x14ac:dyDescent="0.25">
      <c r="C2390" s="66"/>
    </row>
    <row r="2391" spans="3:3" x14ac:dyDescent="0.25">
      <c r="C2391" s="66"/>
    </row>
    <row r="2392" spans="3:3" x14ac:dyDescent="0.25">
      <c r="C2392" s="66"/>
    </row>
    <row r="2393" spans="3:3" x14ac:dyDescent="0.25">
      <c r="C2393" s="66"/>
    </row>
    <row r="2394" spans="3:3" x14ac:dyDescent="0.25">
      <c r="C2394" s="66"/>
    </row>
    <row r="2395" spans="3:3" x14ac:dyDescent="0.25">
      <c r="C2395" s="66"/>
    </row>
    <row r="2396" spans="3:3" x14ac:dyDescent="0.25">
      <c r="C2396" s="66"/>
    </row>
    <row r="2397" spans="3:3" x14ac:dyDescent="0.25">
      <c r="C2397" s="66"/>
    </row>
    <row r="2398" spans="3:3" x14ac:dyDescent="0.25">
      <c r="C2398" s="66"/>
    </row>
    <row r="2399" spans="3:3" x14ac:dyDescent="0.25">
      <c r="C2399" s="66"/>
    </row>
    <row r="2400" spans="3:3" x14ac:dyDescent="0.25">
      <c r="C2400" s="66"/>
    </row>
    <row r="2401" spans="3:3" x14ac:dyDescent="0.25">
      <c r="C2401" s="66"/>
    </row>
    <row r="2402" spans="3:3" x14ac:dyDescent="0.25">
      <c r="C2402" s="66"/>
    </row>
    <row r="2403" spans="3:3" x14ac:dyDescent="0.25">
      <c r="C2403" s="66"/>
    </row>
    <row r="2404" spans="3:3" x14ac:dyDescent="0.25">
      <c r="C2404" s="66"/>
    </row>
    <row r="2405" spans="3:3" x14ac:dyDescent="0.25">
      <c r="C2405" s="66"/>
    </row>
    <row r="2406" spans="3:3" x14ac:dyDescent="0.25">
      <c r="C2406" s="66"/>
    </row>
    <row r="2407" spans="3:3" x14ac:dyDescent="0.25">
      <c r="C2407" s="66"/>
    </row>
    <row r="2408" spans="3:3" x14ac:dyDescent="0.25">
      <c r="C2408" s="66"/>
    </row>
    <row r="2409" spans="3:3" x14ac:dyDescent="0.25">
      <c r="C2409" s="66"/>
    </row>
    <row r="2410" spans="3:3" x14ac:dyDescent="0.25">
      <c r="C2410" s="66"/>
    </row>
    <row r="2411" spans="3:3" x14ac:dyDescent="0.25">
      <c r="C2411" s="66"/>
    </row>
    <row r="2412" spans="3:3" x14ac:dyDescent="0.25">
      <c r="C2412" s="66"/>
    </row>
    <row r="2413" spans="3:3" x14ac:dyDescent="0.25">
      <c r="C2413" s="66"/>
    </row>
    <row r="2414" spans="3:3" x14ac:dyDescent="0.25">
      <c r="C2414" s="66"/>
    </row>
    <row r="2415" spans="3:3" x14ac:dyDescent="0.25">
      <c r="C2415" s="66"/>
    </row>
    <row r="2416" spans="3:3" x14ac:dyDescent="0.25">
      <c r="C2416" s="66"/>
    </row>
    <row r="2417" spans="3:3" x14ac:dyDescent="0.25">
      <c r="C2417" s="66"/>
    </row>
    <row r="2418" spans="3:3" x14ac:dyDescent="0.25">
      <c r="C2418" s="66"/>
    </row>
    <row r="2419" spans="3:3" x14ac:dyDescent="0.25">
      <c r="C2419" s="66"/>
    </row>
    <row r="2420" spans="3:3" x14ac:dyDescent="0.25">
      <c r="C2420" s="66"/>
    </row>
    <row r="2421" spans="3:3" x14ac:dyDescent="0.25">
      <c r="C2421" s="66"/>
    </row>
    <row r="2422" spans="3:3" x14ac:dyDescent="0.25">
      <c r="C2422" s="66"/>
    </row>
    <row r="2423" spans="3:3" x14ac:dyDescent="0.25">
      <c r="C2423" s="66"/>
    </row>
    <row r="2424" spans="3:3" x14ac:dyDescent="0.25">
      <c r="C2424" s="66"/>
    </row>
    <row r="2425" spans="3:3" x14ac:dyDescent="0.25">
      <c r="C2425" s="66"/>
    </row>
    <row r="2426" spans="3:3" x14ac:dyDescent="0.25">
      <c r="C2426" s="66"/>
    </row>
    <row r="2427" spans="3:3" x14ac:dyDescent="0.25">
      <c r="C2427" s="66"/>
    </row>
    <row r="2428" spans="3:3" x14ac:dyDescent="0.25">
      <c r="C2428" s="66"/>
    </row>
    <row r="2429" spans="3:3" x14ac:dyDescent="0.25">
      <c r="C2429" s="66"/>
    </row>
    <row r="2430" spans="3:3" x14ac:dyDescent="0.25">
      <c r="C2430" s="66"/>
    </row>
    <row r="2431" spans="3:3" x14ac:dyDescent="0.25">
      <c r="C2431" s="66"/>
    </row>
    <row r="2432" spans="3:3" x14ac:dyDescent="0.25">
      <c r="C2432" s="66"/>
    </row>
    <row r="2433" spans="3:3" x14ac:dyDescent="0.25">
      <c r="C2433" s="66"/>
    </row>
    <row r="2434" spans="3:3" x14ac:dyDescent="0.25">
      <c r="C2434" s="66"/>
    </row>
    <row r="2435" spans="3:3" x14ac:dyDescent="0.25">
      <c r="C2435" s="66"/>
    </row>
    <row r="2436" spans="3:3" x14ac:dyDescent="0.25">
      <c r="C2436" s="66"/>
    </row>
    <row r="2437" spans="3:3" x14ac:dyDescent="0.25">
      <c r="C2437" s="66"/>
    </row>
    <row r="2438" spans="3:3" x14ac:dyDescent="0.25">
      <c r="C2438" s="66"/>
    </row>
    <row r="2439" spans="3:3" x14ac:dyDescent="0.25">
      <c r="C2439" s="66"/>
    </row>
    <row r="2440" spans="3:3" x14ac:dyDescent="0.25">
      <c r="C2440" s="66"/>
    </row>
    <row r="2441" spans="3:3" x14ac:dyDescent="0.25">
      <c r="C2441" s="66"/>
    </row>
    <row r="2442" spans="3:3" x14ac:dyDescent="0.25">
      <c r="C2442" s="66"/>
    </row>
    <row r="2443" spans="3:3" x14ac:dyDescent="0.25">
      <c r="C2443" s="66"/>
    </row>
    <row r="2444" spans="3:3" x14ac:dyDescent="0.25">
      <c r="C2444" s="66"/>
    </row>
    <row r="2445" spans="3:3" x14ac:dyDescent="0.25">
      <c r="C2445" s="66"/>
    </row>
    <row r="2446" spans="3:3" x14ac:dyDescent="0.25">
      <c r="C2446" s="66"/>
    </row>
    <row r="2447" spans="3:3" x14ac:dyDescent="0.25">
      <c r="C2447" s="66"/>
    </row>
    <row r="2448" spans="3:3" x14ac:dyDescent="0.25">
      <c r="C2448" s="66"/>
    </row>
    <row r="2449" spans="3:3" x14ac:dyDescent="0.25">
      <c r="C2449" s="66"/>
    </row>
    <row r="2450" spans="3:3" x14ac:dyDescent="0.25">
      <c r="C2450" s="66"/>
    </row>
    <row r="2451" spans="3:3" x14ac:dyDescent="0.25">
      <c r="C2451" s="66"/>
    </row>
    <row r="2452" spans="3:3" x14ac:dyDescent="0.25">
      <c r="C2452" s="66"/>
    </row>
    <row r="2453" spans="3:3" x14ac:dyDescent="0.25">
      <c r="C2453" s="66"/>
    </row>
    <row r="2454" spans="3:3" x14ac:dyDescent="0.25">
      <c r="C2454" s="66"/>
    </row>
    <row r="2455" spans="3:3" x14ac:dyDescent="0.25">
      <c r="C2455" s="66"/>
    </row>
    <row r="2456" spans="3:3" x14ac:dyDescent="0.25">
      <c r="C2456" s="66"/>
    </row>
    <row r="2457" spans="3:3" x14ac:dyDescent="0.25">
      <c r="C2457" s="66"/>
    </row>
    <row r="2458" spans="3:3" x14ac:dyDescent="0.25">
      <c r="C2458" s="66"/>
    </row>
    <row r="2459" spans="3:3" x14ac:dyDescent="0.25">
      <c r="C2459" s="66"/>
    </row>
    <row r="2460" spans="3:3" x14ac:dyDescent="0.25">
      <c r="C2460" s="66"/>
    </row>
    <row r="2461" spans="3:3" x14ac:dyDescent="0.25">
      <c r="C2461" s="66"/>
    </row>
    <row r="2462" spans="3:3" x14ac:dyDescent="0.25">
      <c r="C2462" s="66"/>
    </row>
    <row r="2463" spans="3:3" x14ac:dyDescent="0.25">
      <c r="C2463" s="66"/>
    </row>
    <row r="2464" spans="3:3" x14ac:dyDescent="0.25">
      <c r="C2464" s="66"/>
    </row>
    <row r="2465" spans="3:3" x14ac:dyDescent="0.25">
      <c r="C2465" s="66"/>
    </row>
    <row r="2466" spans="3:3" x14ac:dyDescent="0.25">
      <c r="C2466" s="66"/>
    </row>
    <row r="2467" spans="3:3" x14ac:dyDescent="0.25">
      <c r="C2467" s="66"/>
    </row>
    <row r="2468" spans="3:3" x14ac:dyDescent="0.25">
      <c r="C2468" s="66"/>
    </row>
    <row r="2469" spans="3:3" x14ac:dyDescent="0.25">
      <c r="C2469" s="66"/>
    </row>
    <row r="2470" spans="3:3" x14ac:dyDescent="0.25">
      <c r="C2470" s="66"/>
    </row>
    <row r="2471" spans="3:3" x14ac:dyDescent="0.25">
      <c r="C2471" s="66"/>
    </row>
    <row r="2472" spans="3:3" x14ac:dyDescent="0.25">
      <c r="C2472" s="66"/>
    </row>
    <row r="2473" spans="3:3" x14ac:dyDescent="0.25">
      <c r="C2473" s="66"/>
    </row>
    <row r="2474" spans="3:3" x14ac:dyDescent="0.25">
      <c r="C2474" s="66"/>
    </row>
    <row r="2475" spans="3:3" x14ac:dyDescent="0.25">
      <c r="C2475" s="66"/>
    </row>
    <row r="2476" spans="3:3" x14ac:dyDescent="0.25">
      <c r="C2476" s="66"/>
    </row>
    <row r="2477" spans="3:3" x14ac:dyDescent="0.25">
      <c r="C2477" s="66"/>
    </row>
    <row r="2478" spans="3:3" x14ac:dyDescent="0.25">
      <c r="C2478" s="66"/>
    </row>
    <row r="2479" spans="3:3" x14ac:dyDescent="0.25">
      <c r="C2479" s="66"/>
    </row>
    <row r="2480" spans="3:3" x14ac:dyDescent="0.25">
      <c r="C2480" s="66"/>
    </row>
    <row r="2481" spans="3:3" x14ac:dyDescent="0.25">
      <c r="C2481" s="66"/>
    </row>
    <row r="2482" spans="3:3" x14ac:dyDescent="0.25">
      <c r="C2482" s="66"/>
    </row>
    <row r="2483" spans="3:3" x14ac:dyDescent="0.25">
      <c r="C2483" s="66"/>
    </row>
    <row r="2484" spans="3:3" x14ac:dyDescent="0.25">
      <c r="C2484" s="66"/>
    </row>
    <row r="2485" spans="3:3" x14ac:dyDescent="0.25">
      <c r="C2485" s="66"/>
    </row>
    <row r="2486" spans="3:3" x14ac:dyDescent="0.25">
      <c r="C2486" s="66"/>
    </row>
    <row r="2487" spans="3:3" x14ac:dyDescent="0.25">
      <c r="C2487" s="66"/>
    </row>
    <row r="2488" spans="3:3" x14ac:dyDescent="0.25">
      <c r="C2488" s="66"/>
    </row>
    <row r="2489" spans="3:3" x14ac:dyDescent="0.25">
      <c r="C2489" s="66"/>
    </row>
    <row r="2490" spans="3:3" x14ac:dyDescent="0.25">
      <c r="C2490" s="66"/>
    </row>
    <row r="2491" spans="3:3" x14ac:dyDescent="0.25">
      <c r="C2491" s="66"/>
    </row>
    <row r="2492" spans="3:3" x14ac:dyDescent="0.25">
      <c r="C2492" s="66"/>
    </row>
    <row r="2493" spans="3:3" x14ac:dyDescent="0.25">
      <c r="C2493" s="66"/>
    </row>
    <row r="2494" spans="3:3" x14ac:dyDescent="0.25">
      <c r="C2494" s="66"/>
    </row>
    <row r="2495" spans="3:3" x14ac:dyDescent="0.25">
      <c r="C2495" s="66"/>
    </row>
    <row r="2496" spans="3:3" x14ac:dyDescent="0.25">
      <c r="C2496" s="66"/>
    </row>
    <row r="2497" spans="3:3" x14ac:dyDescent="0.25">
      <c r="C2497" s="66"/>
    </row>
    <row r="2498" spans="3:3" x14ac:dyDescent="0.25">
      <c r="C2498" s="66"/>
    </row>
    <row r="2499" spans="3:3" x14ac:dyDescent="0.25">
      <c r="C2499" s="66"/>
    </row>
    <row r="2500" spans="3:3" x14ac:dyDescent="0.25">
      <c r="C2500" s="66"/>
    </row>
    <row r="2501" spans="3:3" x14ac:dyDescent="0.25">
      <c r="C2501" s="66"/>
    </row>
    <row r="2502" spans="3:3" x14ac:dyDescent="0.25">
      <c r="C2502" s="66"/>
    </row>
    <row r="2503" spans="3:3" x14ac:dyDescent="0.25">
      <c r="C2503" s="66"/>
    </row>
    <row r="2504" spans="3:3" x14ac:dyDescent="0.25">
      <c r="C2504" s="66"/>
    </row>
    <row r="2505" spans="3:3" x14ac:dyDescent="0.25">
      <c r="C2505" s="66"/>
    </row>
    <row r="2506" spans="3:3" x14ac:dyDescent="0.25">
      <c r="C2506" s="66"/>
    </row>
    <row r="2507" spans="3:3" x14ac:dyDescent="0.25">
      <c r="C2507" s="66"/>
    </row>
    <row r="2508" spans="3:3" x14ac:dyDescent="0.25">
      <c r="C2508" s="66"/>
    </row>
    <row r="2509" spans="3:3" x14ac:dyDescent="0.25">
      <c r="C2509" s="66"/>
    </row>
    <row r="2510" spans="3:3" x14ac:dyDescent="0.25">
      <c r="C2510" s="66"/>
    </row>
    <row r="2511" spans="3:3" x14ac:dyDescent="0.25">
      <c r="C2511" s="66"/>
    </row>
    <row r="2512" spans="3:3" x14ac:dyDescent="0.25">
      <c r="C2512" s="66"/>
    </row>
    <row r="2513" spans="3:3" x14ac:dyDescent="0.25">
      <c r="C2513" s="66"/>
    </row>
    <row r="2514" spans="3:3" x14ac:dyDescent="0.25">
      <c r="C2514" s="66"/>
    </row>
    <row r="2515" spans="3:3" x14ac:dyDescent="0.25">
      <c r="C2515" s="66"/>
    </row>
    <row r="2516" spans="3:3" x14ac:dyDescent="0.25">
      <c r="C2516" s="66"/>
    </row>
    <row r="2517" spans="3:3" x14ac:dyDescent="0.25">
      <c r="C2517" s="66"/>
    </row>
    <row r="2518" spans="3:3" x14ac:dyDescent="0.25">
      <c r="C2518" s="66"/>
    </row>
    <row r="2519" spans="3:3" x14ac:dyDescent="0.25">
      <c r="C2519" s="66"/>
    </row>
    <row r="2520" spans="3:3" x14ac:dyDescent="0.25">
      <c r="C2520" s="66"/>
    </row>
    <row r="2521" spans="3:3" x14ac:dyDescent="0.25">
      <c r="C2521" s="66"/>
    </row>
    <row r="2522" spans="3:3" x14ac:dyDescent="0.25">
      <c r="C2522" s="66"/>
    </row>
    <row r="2523" spans="3:3" x14ac:dyDescent="0.25">
      <c r="C2523" s="66"/>
    </row>
    <row r="2524" spans="3:3" x14ac:dyDescent="0.25">
      <c r="C2524" s="66"/>
    </row>
    <row r="2525" spans="3:3" x14ac:dyDescent="0.25">
      <c r="C2525" s="66"/>
    </row>
    <row r="2526" spans="3:3" x14ac:dyDescent="0.25">
      <c r="C2526" s="66"/>
    </row>
    <row r="2527" spans="3:3" x14ac:dyDescent="0.25">
      <c r="C2527" s="66"/>
    </row>
    <row r="2528" spans="3:3" x14ac:dyDescent="0.25">
      <c r="C2528" s="66"/>
    </row>
    <row r="2529" spans="3:3" x14ac:dyDescent="0.25">
      <c r="C2529" s="66"/>
    </row>
    <row r="2530" spans="3:3" x14ac:dyDescent="0.25">
      <c r="C2530" s="66"/>
    </row>
    <row r="2531" spans="3:3" x14ac:dyDescent="0.25">
      <c r="C2531" s="66"/>
    </row>
    <row r="2532" spans="3:3" x14ac:dyDescent="0.25">
      <c r="C2532" s="66"/>
    </row>
    <row r="2533" spans="3:3" x14ac:dyDescent="0.25">
      <c r="C2533" s="66"/>
    </row>
    <row r="2534" spans="3:3" x14ac:dyDescent="0.25">
      <c r="C2534" s="66"/>
    </row>
    <row r="2535" spans="3:3" x14ac:dyDescent="0.25">
      <c r="C2535" s="66"/>
    </row>
  </sheetData>
  <dataValidations count="2">
    <dataValidation type="list" showInputMessage="1" showErrorMessage="1" sqref="AD10" xr:uid="{2D6B617D-E16B-4B12-9120-96F902428466}">
      <formula1>StationList</formula1>
    </dataValidation>
    <dataValidation type="list" showInputMessage="1" showErrorMessage="1" sqref="AD11" xr:uid="{FABBBACA-0DBF-4705-A138-AE5D8E50E871}">
      <formula1>MemberList</formula1>
    </dataValidation>
  </dataValidation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7125-649B-4781-8F20-49FD0B8A5F9C}">
  <sheetPr codeName="Sheet59"/>
  <dimension ref="A1:AZ65"/>
  <sheetViews>
    <sheetView zoomScale="70" zoomScaleNormal="70" workbookViewId="0"/>
  </sheetViews>
  <sheetFormatPr defaultRowHeight="15" x14ac:dyDescent="0.25"/>
  <cols>
    <col min="1" max="1" width="10.28515625" customWidth="1"/>
    <col min="2" max="2" width="11.7109375" customWidth="1"/>
    <col min="3" max="3" width="13.42578125" bestFit="1" customWidth="1"/>
    <col min="4" max="4" width="8.85546875" customWidth="1"/>
    <col min="5" max="6" width="14.85546875" bestFit="1" customWidth="1"/>
    <col min="7" max="8" width="20.5703125" bestFit="1" customWidth="1"/>
    <col min="9" max="10" width="35.7109375" customWidth="1"/>
    <col min="11" max="11" width="17.28515625" bestFit="1" customWidth="1"/>
    <col min="12" max="13" width="15.85546875" bestFit="1" customWidth="1"/>
    <col min="14" max="15" width="19.140625" bestFit="1" customWidth="1"/>
    <col min="16" max="16" width="18.85546875" customWidth="1"/>
    <col min="17" max="17" width="15.85546875" customWidth="1"/>
    <col min="18" max="21" width="15.85546875" bestFit="1" customWidth="1"/>
    <col min="22" max="22" width="16.85546875" bestFit="1" customWidth="1"/>
    <col min="23" max="23" width="16.7109375" bestFit="1" customWidth="1"/>
    <col min="24" max="24" width="13" bestFit="1" customWidth="1"/>
    <col min="25" max="25" width="20.5703125" bestFit="1" customWidth="1"/>
    <col min="26" max="26" width="14.85546875" bestFit="1" customWidth="1"/>
    <col min="27" max="27" width="35.7109375" customWidth="1"/>
    <col min="28" max="29" width="15.85546875" bestFit="1" customWidth="1"/>
    <col min="30" max="30" width="16.85546875" bestFit="1" customWidth="1"/>
    <col min="31" max="31" width="16.85546875" customWidth="1"/>
    <col min="32" max="33" width="15.85546875" bestFit="1" customWidth="1"/>
    <col min="34" max="34" width="12.5703125" customWidth="1"/>
    <col min="35" max="36" width="14.42578125" customWidth="1"/>
    <col min="37" max="37" width="9.140625" customWidth="1"/>
  </cols>
  <sheetData>
    <row r="1" spans="1:38" x14ac:dyDescent="0.25">
      <c r="A1" s="26" t="str">
        <f>'MODEL INTRO'!M19</f>
        <v>S2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</row>
    <row r="2" spans="1:38" x14ac:dyDescent="0.25">
      <c r="A2" s="27" t="str">
        <f>'STR1 Forces'!A2</f>
        <v>Column Forces</v>
      </c>
      <c r="I2" s="103" t="s">
        <v>63</v>
      </c>
      <c r="J2" s="25">
        <f ca="1">MAX(J$65:INDIRECT("G"&amp;$C$61))</f>
        <v>0</v>
      </c>
      <c r="K2" s="25">
        <f ca="1">MAX(K$65:INDIRECT("H"&amp;$C$61))</f>
        <v>0</v>
      </c>
      <c r="L2" s="25">
        <f ca="1">MAX(L$65:INDIRECT("I"&amp;$C$61))</f>
        <v>0</v>
      </c>
      <c r="M2" s="25">
        <f ca="1">MAX(M$65:INDIRECT("J"&amp;$C$61))</f>
        <v>0</v>
      </c>
      <c r="N2" s="25">
        <f ca="1">MAX(N$65:INDIRECT("K"&amp;$C$61))</f>
        <v>0</v>
      </c>
      <c r="O2" s="25">
        <f ca="1">MAX(O$65:INDIRECT("L"&amp;$C$61))</f>
        <v>0</v>
      </c>
      <c r="Q2" s="103" t="s">
        <v>64</v>
      </c>
      <c r="R2" s="25" t="e">
        <f ca="1">LARGE(J$65:INDIRECT("G"&amp;$C$61),2)</f>
        <v>#NUM!</v>
      </c>
      <c r="S2" s="25" t="e">
        <f ca="1">LARGE(K$65:INDIRECT("H"&amp;$C$61),2)</f>
        <v>#NUM!</v>
      </c>
      <c r="T2" s="25" t="e">
        <f ca="1">LARGE(L$65:INDIRECT("I"&amp;$C$61),2)</f>
        <v>#NUM!</v>
      </c>
      <c r="U2" s="25" t="e">
        <f ca="1">LARGE(M$65:INDIRECT("J"&amp;$C$61),2)</f>
        <v>#NUM!</v>
      </c>
      <c r="V2" s="25" t="e">
        <f ca="1">LARGE(N$65:INDIRECT("K"&amp;$C$61),2)</f>
        <v>#NUM!</v>
      </c>
      <c r="W2" s="25" t="e">
        <f ca="1">LARGE(O$65:INDIRECT("L"&amp;$C$61),2)</f>
        <v>#NUM!</v>
      </c>
      <c r="Y2" s="103" t="s">
        <v>65</v>
      </c>
      <c r="Z2" s="25" t="e">
        <f ca="1">LARGE(J$65:INDIRECT("G"&amp;$C$61),3)</f>
        <v>#NUM!</v>
      </c>
      <c r="AA2" s="25" t="e">
        <f ca="1">LARGE(K$65:INDIRECT("H"&amp;$C$61),3)</f>
        <v>#NUM!</v>
      </c>
      <c r="AB2" s="25" t="e">
        <f ca="1">LARGE(L$65:INDIRECT("I"&amp;$C$61),3)</f>
        <v>#NUM!</v>
      </c>
      <c r="AC2" s="25" t="e">
        <f ca="1">LARGE(M$65:INDIRECT("J"&amp;$C$61),3)</f>
        <v>#NUM!</v>
      </c>
      <c r="AD2" s="25" t="e">
        <f ca="1">LARGE(N$65:INDIRECT("K"&amp;$C$61),3)</f>
        <v>#NUM!</v>
      </c>
      <c r="AE2" s="25" t="e">
        <f ca="1">LARGE(O$65:INDIRECT("L"&amp;$C$61),3)</f>
        <v>#NUM!</v>
      </c>
      <c r="AI2" s="24" t="s">
        <v>163</v>
      </c>
    </row>
    <row r="3" spans="1:38" x14ac:dyDescent="0.25">
      <c r="A3" s="27" t="s">
        <v>169</v>
      </c>
      <c r="I3" s="103" t="s">
        <v>30</v>
      </c>
      <c r="J3" s="56" t="e">
        <f ca="1">MATCH(MAX(Q$65:INDIRECT(AB14&amp;$C$61)),Q$65:INDIRECT(AB14&amp;$C$61),0)</f>
        <v>#N/A</v>
      </c>
      <c r="K3" s="56" t="e">
        <f ca="1">MATCH(MAX(R$65:INDIRECT(AC14&amp;$C$61)),R$65:INDIRECT(AC14&amp;$C$61),0)</f>
        <v>#N/A</v>
      </c>
      <c r="L3" s="56" t="e">
        <f ca="1">MATCH(MAX(S$65:INDIRECT(AD14&amp;$C$61)),S$65:INDIRECT(AD14&amp;$C$61),0)</f>
        <v>#N/A</v>
      </c>
      <c r="M3" s="56" t="e">
        <f ca="1">MATCH(MAX(T$65:INDIRECT(AE14&amp;$C$61)),T$65:INDIRECT(AE14&amp;$C$61),0)</f>
        <v>#N/A</v>
      </c>
      <c r="N3" s="56" t="e">
        <f ca="1">MATCH(MAX(U$65:INDIRECT(AF14&amp;$C$61)),U$65:INDIRECT(AF14&amp;$C$61),0)</f>
        <v>#N/A</v>
      </c>
      <c r="O3" s="56" t="e">
        <f ca="1">MATCH(MAX(V$65:INDIRECT(AG14&amp;$C$61)),V$65:INDIRECT(AG14&amp;$C$61),0)</f>
        <v>#N/A</v>
      </c>
      <c r="Q3" s="103" t="s">
        <v>30</v>
      </c>
      <c r="R3" s="56" t="e">
        <f ca="1">MATCH(LARGE(Q$65:INDIRECT(AB14&amp;$C$61),2),Q$65:INDIRECT(AB14&amp;$C$61),0)</f>
        <v>#NUM!</v>
      </c>
      <c r="S3" s="56" t="e">
        <f ca="1">MATCH(LARGE(R$65:INDIRECT(AC14&amp;$C$61),2),R$65:INDIRECT(AC14&amp;$C$61),0)</f>
        <v>#NUM!</v>
      </c>
      <c r="T3" s="56" t="e">
        <f ca="1">MATCH(LARGE(S$65:INDIRECT(AD14&amp;$C$61),2),S$65:INDIRECT(AD14&amp;$C$61),0)</f>
        <v>#NUM!</v>
      </c>
      <c r="U3" s="56" t="e">
        <f ca="1">MATCH(LARGE(T$65:INDIRECT(AE14&amp;$C$61),2),T$65:INDIRECT(AE14&amp;$C$61),0)</f>
        <v>#NUM!</v>
      </c>
      <c r="V3" s="56" t="e">
        <f ca="1">MATCH(LARGE(U$65:INDIRECT(AF14&amp;$C$61),2),U$65:INDIRECT(AF14&amp;$C$61),0)</f>
        <v>#NUM!</v>
      </c>
      <c r="W3" s="56" t="e">
        <f ca="1">MATCH(LARGE(V$65:INDIRECT(AG14&amp;$C$61),2),V$65:INDIRECT(AG14&amp;$C$61),0)</f>
        <v>#NUM!</v>
      </c>
      <c r="Y3" s="103" t="s">
        <v>30</v>
      </c>
      <c r="Z3" s="56" t="e">
        <f ca="1">MATCH(LARGE(Q$65:INDIRECT(AB14&amp;$C$61),3),Q$65:INDIRECT(AB14&amp;$C$61),0)</f>
        <v>#NUM!</v>
      </c>
      <c r="AA3" s="56" t="e">
        <f ca="1">MATCH(LARGE(R$65:INDIRECT(AC14&amp;$C$61),3),R$65:INDIRECT(AC14&amp;$C$61),0)</f>
        <v>#NUM!</v>
      </c>
      <c r="AB3" s="56" t="e">
        <f ca="1">MATCH(LARGE(S$65:INDIRECT(AD14&amp;$C$61),3),S$65:INDIRECT(AD14&amp;$C$61),0)</f>
        <v>#NUM!</v>
      </c>
      <c r="AC3" s="56" t="e">
        <f ca="1">MATCH(LARGE(T$65:INDIRECT(AE14&amp;$C$61),3),T$65:INDIRECT(AE14&amp;$C$61),0)</f>
        <v>#NUM!</v>
      </c>
      <c r="AD3" s="56" t="e">
        <f ca="1">MATCH(LARGE(U$65:INDIRECT(AF14&amp;$C$61),3),U$65:INDIRECT(AF14&amp;$C$61),0)</f>
        <v>#NUM!</v>
      </c>
      <c r="AE3" s="56" t="e">
        <f ca="1">MATCH(LARGE(V$65:INDIRECT(AG14&amp;$C$61),3),V$65:INDIRECT(AG14&amp;$C$61),0)</f>
        <v>#NUM!</v>
      </c>
      <c r="AI3" s="24" t="s">
        <v>164</v>
      </c>
      <c r="AJ3" s="71" t="s">
        <v>146</v>
      </c>
    </row>
    <row r="4" spans="1:38" x14ac:dyDescent="0.25">
      <c r="I4" s="103"/>
      <c r="J4" s="67"/>
      <c r="K4" s="67"/>
      <c r="L4" s="67"/>
      <c r="M4" s="67"/>
      <c r="N4" s="67"/>
      <c r="O4" s="67"/>
      <c r="Q4" s="103"/>
      <c r="R4" s="67"/>
      <c r="S4" s="67"/>
      <c r="T4" s="67"/>
      <c r="U4" s="67"/>
      <c r="V4" s="67"/>
      <c r="W4" s="67"/>
      <c r="Y4" s="103"/>
      <c r="Z4" s="67"/>
      <c r="AA4" s="67"/>
      <c r="AB4" s="67"/>
      <c r="AC4" s="67"/>
      <c r="AD4" s="67"/>
      <c r="AE4" s="67"/>
      <c r="AI4" s="24" t="s">
        <v>165</v>
      </c>
      <c r="AJ4" s="71" t="s">
        <v>147</v>
      </c>
    </row>
    <row r="5" spans="1:38" x14ac:dyDescent="0.25">
      <c r="I5" s="103" t="s">
        <v>66</v>
      </c>
      <c r="J5" s="25">
        <f ca="1">MIN(J$65:INDIRECT("G"&amp;$C$61))</f>
        <v>0</v>
      </c>
      <c r="K5" s="25">
        <f ca="1">MIN(K$65:INDIRECT("H"&amp;$C$61))</f>
        <v>0</v>
      </c>
      <c r="L5" s="25">
        <f ca="1">MIN(L$65:INDIRECT("I"&amp;$C$61))</f>
        <v>0</v>
      </c>
      <c r="M5" s="25">
        <f ca="1">MIN(M$65:INDIRECT("J"&amp;$C$61))</f>
        <v>0</v>
      </c>
      <c r="N5" s="25">
        <f ca="1">MIN(N$65:INDIRECT("K"&amp;$C$61))</f>
        <v>0</v>
      </c>
      <c r="O5" s="25">
        <f ca="1">MIN(O$65:INDIRECT("L"&amp;$C$61))</f>
        <v>0</v>
      </c>
      <c r="Q5" s="103" t="s">
        <v>67</v>
      </c>
      <c r="R5" s="25" t="e">
        <f ca="1">SMALL(J$65:INDIRECT("G"&amp;$C$61),2)</f>
        <v>#NUM!</v>
      </c>
      <c r="S5" s="25" t="e">
        <f ca="1">SMALL(K$65:INDIRECT("H"&amp;$C$61),2)</f>
        <v>#NUM!</v>
      </c>
      <c r="T5" s="25" t="e">
        <f ca="1">SMALL(L$65:INDIRECT("I"&amp;$C$61),2)</f>
        <v>#NUM!</v>
      </c>
      <c r="U5" s="25" t="e">
        <f ca="1">SMALL(M$65:INDIRECT("J"&amp;$C$61),2)</f>
        <v>#NUM!</v>
      </c>
      <c r="V5" s="25" t="e">
        <f ca="1">SMALL(N$65:INDIRECT("K"&amp;$C$61),2)</f>
        <v>#NUM!</v>
      </c>
      <c r="W5" s="25" t="e">
        <f ca="1">SMALL(O$65:INDIRECT("L"&amp;$C$61),2)</f>
        <v>#NUM!</v>
      </c>
      <c r="Y5" s="103" t="s">
        <v>68</v>
      </c>
      <c r="Z5" s="25" t="e">
        <f ca="1">SMALL(J$65:INDIRECT("G"&amp;$C$61),3)</f>
        <v>#NUM!</v>
      </c>
      <c r="AA5" s="25" t="e">
        <f ca="1">SMALL(K$65:INDIRECT("H"&amp;$C$61),3)</f>
        <v>#NUM!</v>
      </c>
      <c r="AB5" s="25" t="e">
        <f ca="1">SMALL(L$65:INDIRECT("I"&amp;$C$61),3)</f>
        <v>#NUM!</v>
      </c>
      <c r="AC5" s="25" t="e">
        <f ca="1">SMALL(M$65:INDIRECT("J"&amp;$C$61),3)</f>
        <v>#NUM!</v>
      </c>
      <c r="AD5" s="25" t="e">
        <f ca="1">SMALL(N$65:INDIRECT("K"&amp;$C$61),3)</f>
        <v>#NUM!</v>
      </c>
      <c r="AE5" s="25" t="e">
        <f ca="1">SMALL(O$65:INDIRECT("L"&amp;$C$61),3)</f>
        <v>#NUM!</v>
      </c>
      <c r="AI5" s="24" t="s">
        <v>166</v>
      </c>
      <c r="AJ5" s="70" t="s">
        <v>148</v>
      </c>
    </row>
    <row r="6" spans="1:38" x14ac:dyDescent="0.25">
      <c r="I6" s="103" t="s">
        <v>30</v>
      </c>
      <c r="J6" s="56" t="e">
        <f ca="1">MATCH(MIN(Q$65:INDIRECT(AB14&amp;$C$61)),Q$65:INDIRECT(AB14&amp;$C$61),0)</f>
        <v>#N/A</v>
      </c>
      <c r="K6" s="56" t="e">
        <f ca="1">MATCH(MIN(R$65:INDIRECT(AC14&amp;$C$61)),R$65:INDIRECT(AC14&amp;$C$61),0)</f>
        <v>#N/A</v>
      </c>
      <c r="L6" s="56" t="e">
        <f ca="1">MATCH(MIN(S$65:INDIRECT(AD14&amp;$C$61)),S$65:INDIRECT(AD14&amp;$C$61),0)</f>
        <v>#N/A</v>
      </c>
      <c r="M6" s="56" t="e">
        <f ca="1">MATCH(MIN(T$65:INDIRECT(AE14&amp;$C$61)),T$65:INDIRECT(AE14&amp;$C$61),0)</f>
        <v>#N/A</v>
      </c>
      <c r="N6" s="56" t="e">
        <f ca="1">MATCH(MIN(U$65:INDIRECT(AF14&amp;$C$61)),U$65:INDIRECT(AF14&amp;$C$61),0)</f>
        <v>#N/A</v>
      </c>
      <c r="O6" s="56" t="e">
        <f ca="1">MATCH(MIN(V$65:INDIRECT(AG14&amp;$C$61)),V$65:INDIRECT(AG14&amp;$C$61),0)</f>
        <v>#N/A</v>
      </c>
      <c r="Q6" s="103" t="s">
        <v>30</v>
      </c>
      <c r="R6" s="56" t="e">
        <f ca="1">MATCH(SMALL(Q$65:INDIRECT(AB14&amp;$C$61),2),Q$65:INDIRECT(AB14&amp;$C$61),0)</f>
        <v>#NUM!</v>
      </c>
      <c r="S6" s="56" t="e">
        <f ca="1">MATCH(SMALL(R$65:INDIRECT(AC14&amp;$C$61),2),R$65:INDIRECT(AC14&amp;$C$61),0)</f>
        <v>#NUM!</v>
      </c>
      <c r="T6" s="56" t="e">
        <f ca="1">MATCH(SMALL(S$65:INDIRECT(AD14&amp;$C$61),2),S$65:INDIRECT(AD14&amp;$C$61),0)</f>
        <v>#NUM!</v>
      </c>
      <c r="U6" s="56" t="e">
        <f ca="1">MATCH(SMALL(T$65:INDIRECT(AE14&amp;$C$61),2),T$65:INDIRECT(AE14&amp;$C$61),0)</f>
        <v>#NUM!</v>
      </c>
      <c r="V6" s="56" t="e">
        <f ca="1">MATCH(SMALL(U$65:INDIRECT(AF14&amp;$C$61),2),U$65:INDIRECT(AF14&amp;$C$61),0)</f>
        <v>#NUM!</v>
      </c>
      <c r="W6" s="56" t="e">
        <f ca="1">MATCH(SMALL(V$65:INDIRECT(AG14&amp;$C$61),2),V$65:INDIRECT(AG14&amp;$C$61),0)</f>
        <v>#NUM!</v>
      </c>
      <c r="Y6" s="103" t="s">
        <v>30</v>
      </c>
      <c r="Z6" s="56" t="e">
        <f ca="1">MATCH(SMALL(Q$65:INDIRECT(AB14&amp;$C$61),3),Q$65:INDIRECT(AB14&amp;$C$61),0)</f>
        <v>#NUM!</v>
      </c>
      <c r="AA6" s="56" t="e">
        <f ca="1">MATCH(SMALL(R$65:INDIRECT(AC14&amp;$C$61),3),R$65:INDIRECT(AC14&amp;$C$61),0)</f>
        <v>#NUM!</v>
      </c>
      <c r="AB6" s="56" t="e">
        <f ca="1">MATCH(SMALL(S$65:INDIRECT(AD14&amp;$C$61),3),S$65:INDIRECT(AD14&amp;$C$61),0)</f>
        <v>#NUM!</v>
      </c>
      <c r="AC6" s="56" t="e">
        <f ca="1">MATCH(SMALL(T$65:INDIRECT(AE14&amp;$C$61),3),T$65:INDIRECT(AE14&amp;$C$61),0)</f>
        <v>#NUM!</v>
      </c>
      <c r="AD6" s="56" t="e">
        <f ca="1">MATCH(SMALL(U$65:INDIRECT(AF14&amp;$C$61),3),U$65:INDIRECT(AF14&amp;$C$61),0)</f>
        <v>#NUM!</v>
      </c>
      <c r="AE6" s="56" t="e">
        <f ca="1">MATCH(SMALL(V$65:INDIRECT(AG14&amp;$C$61),3),V$65:INDIRECT(AG14&amp;$C$61),0)</f>
        <v>#NUM!</v>
      </c>
      <c r="AI6" s="24" t="s">
        <v>167</v>
      </c>
      <c r="AJ6" s="70" t="s">
        <v>159</v>
      </c>
    </row>
    <row r="7" spans="1:38" x14ac:dyDescent="0.25">
      <c r="Q7" s="104"/>
      <c r="AJ7" s="72" t="s">
        <v>160</v>
      </c>
    </row>
    <row r="8" spans="1:38" x14ac:dyDescent="0.25">
      <c r="Q8" s="104"/>
      <c r="AJ8" t="s">
        <v>161</v>
      </c>
    </row>
    <row r="9" spans="1:38" x14ac:dyDescent="0.25">
      <c r="Q9" s="104"/>
    </row>
    <row r="10" spans="1:38" x14ac:dyDescent="0.25">
      <c r="Q10" s="104"/>
      <c r="AC10" s="23"/>
      <c r="AD10" s="64" t="s">
        <v>176</v>
      </c>
      <c r="AE10" s="76">
        <v>0</v>
      </c>
      <c r="AF10" t="s">
        <v>183</v>
      </c>
    </row>
    <row r="11" spans="1:38" x14ac:dyDescent="0.25">
      <c r="Q11" s="104"/>
      <c r="AC11" s="23"/>
      <c r="AD11" s="64" t="s">
        <v>177</v>
      </c>
      <c r="AE11" s="76">
        <v>2984</v>
      </c>
    </row>
    <row r="12" spans="1:38" x14ac:dyDescent="0.25">
      <c r="D12" s="69" t="s">
        <v>0</v>
      </c>
      <c r="E12" s="69" t="s">
        <v>266</v>
      </c>
      <c r="F12" s="106" t="s">
        <v>191</v>
      </c>
      <c r="G12" s="106" t="s">
        <v>192</v>
      </c>
      <c r="H12" s="106" t="s">
        <v>193</v>
      </c>
      <c r="I12" s="106" t="s">
        <v>194</v>
      </c>
      <c r="J12" s="3" t="s">
        <v>129</v>
      </c>
      <c r="K12" s="3" t="s">
        <v>5</v>
      </c>
      <c r="L12" s="3" t="s">
        <v>6</v>
      </c>
      <c r="M12" s="3" t="s">
        <v>7</v>
      </c>
      <c r="N12" s="3" t="s">
        <v>8</v>
      </c>
      <c r="O12" s="3" t="s">
        <v>9</v>
      </c>
      <c r="P12" s="3" t="s">
        <v>10</v>
      </c>
      <c r="Q12" s="107"/>
      <c r="R12" s="3"/>
      <c r="S12" s="3"/>
      <c r="T12" s="69" t="s">
        <v>122</v>
      </c>
      <c r="U12" s="69" t="s">
        <v>0</v>
      </c>
      <c r="V12" s="69" t="s">
        <v>266</v>
      </c>
      <c r="W12" s="28" t="s">
        <v>191</v>
      </c>
      <c r="X12" s="28" t="s">
        <v>192</v>
      </c>
      <c r="Y12" s="28" t="s">
        <v>193</v>
      </c>
      <c r="Z12" s="28" t="s">
        <v>194</v>
      </c>
      <c r="AA12" s="69" t="s">
        <v>129</v>
      </c>
      <c r="AB12" s="69" t="s">
        <v>123</v>
      </c>
      <c r="AC12" s="69" t="s">
        <v>124</v>
      </c>
      <c r="AD12" s="69" t="s">
        <v>125</v>
      </c>
      <c r="AE12" s="69" t="s">
        <v>126</v>
      </c>
      <c r="AF12" s="69" t="s">
        <v>127</v>
      </c>
      <c r="AG12" s="69" t="s">
        <v>128</v>
      </c>
      <c r="AH12" s="69" t="s">
        <v>153</v>
      </c>
      <c r="AI12" s="69" t="s">
        <v>149</v>
      </c>
      <c r="AJ12" s="69" t="s">
        <v>162</v>
      </c>
      <c r="AL12" s="86"/>
    </row>
    <row r="13" spans="1:38" x14ac:dyDescent="0.25">
      <c r="Q13" s="104"/>
      <c r="T13" s="24"/>
      <c r="AB13" s="69" t="s">
        <v>150</v>
      </c>
      <c r="AC13" s="69" t="s">
        <v>151</v>
      </c>
      <c r="AD13" s="69" t="s">
        <v>152</v>
      </c>
      <c r="AE13" s="69" t="s">
        <v>198</v>
      </c>
      <c r="AF13" s="69" t="s">
        <v>154</v>
      </c>
      <c r="AG13" s="69" t="s">
        <v>155</v>
      </c>
      <c r="AH13" s="69"/>
      <c r="AI13" s="69"/>
      <c r="AJ13" s="69"/>
    </row>
    <row r="14" spans="1:38" x14ac:dyDescent="0.25">
      <c r="C14" s="24" t="s">
        <v>30</v>
      </c>
      <c r="E14" s="69"/>
      <c r="Q14" s="104"/>
      <c r="T14" s="24"/>
      <c r="V14" s="69"/>
      <c r="AB14" s="69" t="s">
        <v>156</v>
      </c>
      <c r="AC14" s="69" t="s">
        <v>157</v>
      </c>
      <c r="AD14" s="69" t="s">
        <v>158</v>
      </c>
      <c r="AE14" s="69" t="s">
        <v>195</v>
      </c>
      <c r="AF14" s="69" t="s">
        <v>196</v>
      </c>
      <c r="AG14" s="69" t="s">
        <v>197</v>
      </c>
      <c r="AH14" s="69"/>
      <c r="AI14" s="69"/>
      <c r="AJ14" s="69"/>
    </row>
    <row r="15" spans="1:38" x14ac:dyDescent="0.25">
      <c r="A15" s="73" t="s">
        <v>69</v>
      </c>
      <c r="B15" s="69" t="s">
        <v>31</v>
      </c>
      <c r="C15" s="73" t="e">
        <f ca="1">J3</f>
        <v>#N/A</v>
      </c>
      <c r="D15" s="69" t="e">
        <f ca="1">INDEX(D$65:INDIRECT("D"&amp;$C$61),$C15)</f>
        <v>#N/A</v>
      </c>
      <c r="E15" s="69" t="e">
        <f ca="1">INDEX(INDIRECT(("'MemberID'!$C$6:C"&amp;MemberID!$C$1)),MATCH(D15,INDIRECT(("'MemberID'!$G$6:G"&amp;MemberID!$C$1)),0))</f>
        <v>#N/A</v>
      </c>
      <c r="F15" s="69" t="e">
        <f ca="1">INDEX(E$65:INDIRECT("E"&amp;$C$61),$C15)</f>
        <v>#N/A</v>
      </c>
      <c r="G15" t="e">
        <f ca="1">INDEX(F$65:INDIRECT("F"&amp;$C$61),$C15)</f>
        <v>#N/A</v>
      </c>
      <c r="H15" t="e">
        <f ca="1">INDEX(G$65:INDIRECT("G"&amp;$C$61),$C15)</f>
        <v>#N/A</v>
      </c>
      <c r="I15" t="e">
        <f ca="1">INDEX(H$65:INDIRECT("H"&amp;$C$61),$C15)</f>
        <v>#N/A</v>
      </c>
      <c r="J15" t="e">
        <f ca="1">INDEX(I$65:INDIRECT("I"&amp;$C$61),$C15)</f>
        <v>#N/A</v>
      </c>
      <c r="K15" s="23" t="e">
        <f ca="1">INDEX(J$65:INDIRECT("J"&amp;$C$61),$C15)</f>
        <v>#N/A</v>
      </c>
      <c r="L15" t="e">
        <f ca="1">INDEX(K$65:INDIRECT("K"&amp;$C$61),$C15)</f>
        <v>#N/A</v>
      </c>
      <c r="M15" t="e">
        <f ca="1">INDEX(L$65:INDIRECT("L"&amp;$C$61),$C15)</f>
        <v>#N/A</v>
      </c>
      <c r="N15" t="e">
        <f ca="1">INDEX(M$65:INDIRECT("M"&amp;$C$61),$C15)</f>
        <v>#N/A</v>
      </c>
      <c r="O15" t="e">
        <f ca="1">INDEX(N$65:INDIRECT("N"&amp;$C$61),$C15)</f>
        <v>#N/A</v>
      </c>
      <c r="P15" t="e">
        <f ca="1">INDEX(O$65:INDIRECT("O"&amp;$C$61),$C15)</f>
        <v>#N/A</v>
      </c>
      <c r="Q15" s="104"/>
      <c r="R15" s="73" t="s">
        <v>69</v>
      </c>
      <c r="S15" s="69" t="s">
        <v>31</v>
      </c>
      <c r="T15" s="73" t="e">
        <f t="array" aca="1" ref="T15" ca="1">MATCH(IF(ISBLANK($AE$11),LARGE(IF($E$65:INDIRECT("E"&amp;$C$61)=$AE$10,INDIRECT(AJ15&amp;65):INDIRECT(AJ15&amp;$C$61)),$AH15),IF(ISBLANK($AE$10),LARGE(IF($D$65:INDIRECT("D"&amp;$C$61)=$AE$11,INDIRECT(AJ15&amp;65):INDIRECT(AJ15&amp;$C$61)),$AH15),LARGE(IF(($E$65:INDIRECT("E"&amp;$C$61)=$AE$10)*($D$65:INDIRECT("D"&amp;$C$61)=$AE$11),INDIRECT(AJ15&amp;65):INDIRECT(AJ15&amp;$C$61)),$AH15))),INDIRECT(AJ15&amp;65):INDIRECT(AJ15&amp;$C$61),0)</f>
        <v>#NUM!</v>
      </c>
      <c r="U15" s="69" t="e">
        <f ca="1">INDEX(D$65:INDIRECT("D"&amp;$C$61),$T15)</f>
        <v>#NUM!</v>
      </c>
      <c r="V15" s="69" t="e">
        <f ca="1">INDEX(INDIRECT(("'MemberID'!$C$6:C"&amp;MemberID!$C$1)),MATCH(U15,INDIRECT(("'MemberID'!$G$6:G"&amp;MemberID!$C$1)),0))</f>
        <v>#NUM!</v>
      </c>
      <c r="W15" s="69" t="e">
        <f ca="1">INDEX(E$65:INDIRECT("E"&amp;$C$61),$T15)</f>
        <v>#NUM!</v>
      </c>
      <c r="X15" t="e">
        <f ca="1">INDEX(F$65:INDIRECT("F"&amp;$C$61),$T15)</f>
        <v>#NUM!</v>
      </c>
      <c r="Y15" t="e">
        <f ca="1">INDEX(G$65:INDIRECT("G"&amp;$C$61),$T15)</f>
        <v>#NUM!</v>
      </c>
      <c r="Z15" t="e">
        <f ca="1">INDEX(H$65:INDIRECT("H"&amp;$C$61),$T15)</f>
        <v>#NUM!</v>
      </c>
      <c r="AA15" t="e">
        <f ca="1">INDEX(I$65:INDIRECT("I"&amp;$C$61),$T15)</f>
        <v>#NUM!</v>
      </c>
      <c r="AB15" s="23" t="e">
        <f t="array" aca="1" ref="AB15" ca="1">IF(ISBLANK($AE$11),LARGE(IF($E$65:INDIRECT("E"&amp;$C$61)=$AE$10,J$65:INDIRECT(AB$13&amp;$C$61)),$AH15),IF(ISBLANK($AE$10),LARGE(IF($D$65:INDIRECT("D"&amp;$C$61)=$AE$11,J$65:INDIRECT(AB$13&amp;$C$61)),$AH15),LARGE(IF(($E$65:INDIRECT("E"&amp;$C$61)=$AE$10)*($D$65:INDIRECT("D"&amp;$C$61)=$AE$11),J$65:INDIRECT(AB$13&amp;$C$61)),$AH15)))</f>
        <v>#NUM!</v>
      </c>
      <c r="AC15" t="e">
        <f ca="1">INDEX(K$65:INDIRECT("K"&amp;$C$61),$T15)</f>
        <v>#NUM!</v>
      </c>
      <c r="AD15" t="e">
        <f ca="1">INDEX(L$65:INDIRECT("L"&amp;$C$61),$T15)</f>
        <v>#NUM!</v>
      </c>
      <c r="AE15" t="e">
        <f ca="1">INDEX(M$65:INDIRECT("M"&amp;$C$61),$T15)</f>
        <v>#NUM!</v>
      </c>
      <c r="AF15" t="e">
        <f ca="1">INDEX(N$65:INDIRECT("N"&amp;$C$61),$T15)</f>
        <v>#NUM!</v>
      </c>
      <c r="AG15" t="e">
        <f ca="1">INDEX(O$65:INDIRECT("O"&amp;$C$61),$T15)</f>
        <v>#NUM!</v>
      </c>
      <c r="AH15" s="69">
        <v>1</v>
      </c>
      <c r="AI15" s="69" t="s">
        <v>150</v>
      </c>
      <c r="AJ15" s="69" t="s">
        <v>156</v>
      </c>
    </row>
    <row r="16" spans="1:38" x14ac:dyDescent="0.25">
      <c r="A16" s="73" t="s">
        <v>70</v>
      </c>
      <c r="B16" s="69" t="s">
        <v>31</v>
      </c>
      <c r="C16" s="73" t="e">
        <f ca="1">R3</f>
        <v>#NUM!</v>
      </c>
      <c r="D16" s="69" t="e">
        <f ca="1">INDEX(D$65:INDIRECT("D"&amp;$C$61),$C16)</f>
        <v>#NUM!</v>
      </c>
      <c r="E16" s="69" t="e">
        <f ca="1">INDEX(INDIRECT(("'MemberID'!$C$6:C"&amp;MemberID!$C$1)),MATCH(D16,INDIRECT(("'MemberID'!$G$6:G"&amp;MemberID!$C$1)),0))</f>
        <v>#NUM!</v>
      </c>
      <c r="F16" s="69" t="e">
        <f ca="1">INDEX(E$65:INDIRECT("E"&amp;$C$61),$C16)</f>
        <v>#NUM!</v>
      </c>
      <c r="G16" t="e">
        <f ca="1">INDEX(F$65:INDIRECT("F"&amp;$C$61),$C16)</f>
        <v>#NUM!</v>
      </c>
      <c r="H16" t="e">
        <f ca="1">INDEX(G$65:INDIRECT("G"&amp;$C$61),$C16)</f>
        <v>#NUM!</v>
      </c>
      <c r="I16" t="e">
        <f ca="1">INDEX(H$65:INDIRECT("H"&amp;$C$61),$C16)</f>
        <v>#NUM!</v>
      </c>
      <c r="J16" t="e">
        <f ca="1">INDEX(I$65:INDIRECT("I"&amp;$C$61),$C16)</f>
        <v>#NUM!</v>
      </c>
      <c r="K16" s="23" t="e">
        <f ca="1">INDEX(J$65:INDIRECT("J"&amp;$C$61),$C16)</f>
        <v>#NUM!</v>
      </c>
      <c r="L16" t="e">
        <f ca="1">INDEX(K$65:INDIRECT("K"&amp;$C$61),$C16)</f>
        <v>#NUM!</v>
      </c>
      <c r="M16" t="e">
        <f ca="1">INDEX(L$65:INDIRECT("L"&amp;$C$61),$C16)</f>
        <v>#NUM!</v>
      </c>
      <c r="N16" t="e">
        <f ca="1">INDEX(M$65:INDIRECT("M"&amp;$C$61),$C16)</f>
        <v>#NUM!</v>
      </c>
      <c r="O16" t="e">
        <f ca="1">INDEX(N$65:INDIRECT("N"&amp;$C$61),$C16)</f>
        <v>#NUM!</v>
      </c>
      <c r="P16" t="e">
        <f ca="1">INDEX(O$65:INDIRECT("O"&amp;$C$61),$C16)</f>
        <v>#NUM!</v>
      </c>
      <c r="Q16" s="104"/>
      <c r="R16" s="73" t="s">
        <v>70</v>
      </c>
      <c r="S16" s="69" t="s">
        <v>31</v>
      </c>
      <c r="T16" s="73" t="e">
        <f t="array" aca="1" ref="T16" ca="1">MATCH(IF(ISBLANK($AE$11),LARGE(IF($E$65:INDIRECT("E"&amp;$C$61)=$AE$10,INDIRECT(AJ16&amp;65):INDIRECT(AJ16&amp;$C$61)),$AH16),IF(ISBLANK($AE$10),LARGE(IF($D$65:INDIRECT("D"&amp;$C$61)=$AE$11,INDIRECT(AJ16&amp;65):INDIRECT(AJ16&amp;$C$61)),$AH16),LARGE(IF(($E$65:INDIRECT("E"&amp;$C$61)=$AE$10)*($D$65:INDIRECT("D"&amp;$C$61)=$AE$11),INDIRECT(AJ16&amp;65):INDIRECT(AJ16&amp;$C$61)),$AH16))),INDIRECT(AJ16&amp;65):INDIRECT(AJ16&amp;$C$61),0)</f>
        <v>#NUM!</v>
      </c>
      <c r="U16" s="69" t="e">
        <f ca="1">INDEX(D$65:INDIRECT("D"&amp;$C$61),$T16)</f>
        <v>#NUM!</v>
      </c>
      <c r="V16" s="69" t="e">
        <f ca="1">INDEX(INDIRECT(("'MemberID'!$C$6:C"&amp;MemberID!$C$1)),MATCH(U16,INDIRECT(("'MemberID'!$G$6:G"&amp;MemberID!$C$1)),0))</f>
        <v>#NUM!</v>
      </c>
      <c r="W16" s="69" t="e">
        <f ca="1">INDEX(E$65:INDIRECT("E"&amp;$C$61),$T16)</f>
        <v>#NUM!</v>
      </c>
      <c r="X16" t="e">
        <f ca="1">INDEX(F$65:INDIRECT("F"&amp;$C$61),$T16)</f>
        <v>#NUM!</v>
      </c>
      <c r="Y16" t="e">
        <f ca="1">INDEX(G$65:INDIRECT("G"&amp;$C$61),$T16)</f>
        <v>#NUM!</v>
      </c>
      <c r="Z16" t="e">
        <f ca="1">INDEX(H$65:INDIRECT("H"&amp;$C$61),$T16)</f>
        <v>#NUM!</v>
      </c>
      <c r="AA16" t="e">
        <f ca="1">INDEX(I$65:INDIRECT("I"&amp;$C$61),$T16)</f>
        <v>#NUM!</v>
      </c>
      <c r="AB16" s="23" t="e">
        <f t="array" aca="1" ref="AB16" ca="1">IF(ISBLANK($AE$11),LARGE(IF($E$65:INDIRECT("E"&amp;$C$61)=$AE$10,J$65:INDIRECT(AB$13&amp;$C$61)),$AH16),IF(ISBLANK($AE$10),LARGE(IF($D$65:INDIRECT("D"&amp;$C$61)=$AE$11,J$65:INDIRECT(AB$13&amp;$C$61)),$AH16),LARGE(IF(($E$65:INDIRECT("E"&amp;$C$61)=$AE$10)*($D$65:INDIRECT("D"&amp;$C$61)=$AE$11),J$65:INDIRECT(AB$13&amp;$C$61)),$AH16)))</f>
        <v>#NUM!</v>
      </c>
      <c r="AC16" t="e">
        <f ca="1">INDEX(K$65:INDIRECT("K"&amp;$C$61),$T16)</f>
        <v>#NUM!</v>
      </c>
      <c r="AD16" t="e">
        <f ca="1">INDEX(L$65:INDIRECT("L"&amp;$C$61),$T16)</f>
        <v>#NUM!</v>
      </c>
      <c r="AE16" t="e">
        <f ca="1">INDEX(M$65:INDIRECT("M"&amp;$C$61),$T16)</f>
        <v>#NUM!</v>
      </c>
      <c r="AF16" t="e">
        <f ca="1">INDEX(N$65:INDIRECT("N"&amp;$C$61),$T16)</f>
        <v>#NUM!</v>
      </c>
      <c r="AG16" t="e">
        <f ca="1">INDEX(O$65:INDIRECT("O"&amp;$C$61),$T16)</f>
        <v>#NUM!</v>
      </c>
      <c r="AH16" s="69">
        <v>2</v>
      </c>
      <c r="AI16" s="69" t="str">
        <f>AI15</f>
        <v>J</v>
      </c>
      <c r="AJ16" s="69" t="str">
        <f>AJ15</f>
        <v>Q</v>
      </c>
    </row>
    <row r="17" spans="1:36" x14ac:dyDescent="0.25">
      <c r="A17" s="73" t="s">
        <v>71</v>
      </c>
      <c r="B17" s="69" t="s">
        <v>31</v>
      </c>
      <c r="C17" s="73" t="e">
        <f ca="1">Z3</f>
        <v>#NUM!</v>
      </c>
      <c r="D17" s="69" t="e">
        <f ca="1">INDEX(D$65:INDIRECT("D"&amp;$C$61),$C17)</f>
        <v>#NUM!</v>
      </c>
      <c r="E17" s="69" t="e">
        <f ca="1">INDEX(INDIRECT(("'MemberID'!$C$6:C"&amp;MemberID!$C$1)),MATCH(D17,INDIRECT(("'MemberID'!$G$6:G"&amp;MemberID!$C$1)),0))</f>
        <v>#NUM!</v>
      </c>
      <c r="F17" s="69" t="e">
        <f ca="1">INDEX(E$65:INDIRECT("E"&amp;$C$61),$C17)</f>
        <v>#NUM!</v>
      </c>
      <c r="G17" t="e">
        <f ca="1">INDEX(F$65:INDIRECT("F"&amp;$C$61),$C17)</f>
        <v>#NUM!</v>
      </c>
      <c r="H17" t="e">
        <f ca="1">INDEX(G$65:INDIRECT("G"&amp;$C$61),$C17)</f>
        <v>#NUM!</v>
      </c>
      <c r="I17" t="e">
        <f ca="1">INDEX(H$65:INDIRECT("H"&amp;$C$61),$C17)</f>
        <v>#NUM!</v>
      </c>
      <c r="J17" t="e">
        <f ca="1">INDEX(I$65:INDIRECT("I"&amp;$C$61),$C17)</f>
        <v>#NUM!</v>
      </c>
      <c r="K17" s="23" t="e">
        <f ca="1">INDEX(J$65:INDIRECT("J"&amp;$C$61),$C17)</f>
        <v>#NUM!</v>
      </c>
      <c r="L17" t="e">
        <f ca="1">INDEX(K$65:INDIRECT("K"&amp;$C$61),$C17)</f>
        <v>#NUM!</v>
      </c>
      <c r="M17" t="e">
        <f ca="1">INDEX(L$65:INDIRECT("L"&amp;$C$61),$C17)</f>
        <v>#NUM!</v>
      </c>
      <c r="N17" t="e">
        <f ca="1">INDEX(M$65:INDIRECT("M"&amp;$C$61),$C17)</f>
        <v>#NUM!</v>
      </c>
      <c r="O17" t="e">
        <f ca="1">INDEX(N$65:INDIRECT("N"&amp;$C$61),$C17)</f>
        <v>#NUM!</v>
      </c>
      <c r="P17" t="e">
        <f ca="1">INDEX(O$65:INDIRECT("O"&amp;$C$61),$C17)</f>
        <v>#NUM!</v>
      </c>
      <c r="Q17" s="104"/>
      <c r="R17" s="73" t="s">
        <v>71</v>
      </c>
      <c r="S17" s="69" t="s">
        <v>31</v>
      </c>
      <c r="T17" s="73" t="e">
        <f t="array" aca="1" ref="T17" ca="1">MATCH(IF(ISBLANK($AE$11),LARGE(IF($E$65:INDIRECT("E"&amp;$C$61)=$AE$10,INDIRECT(AJ17&amp;65):INDIRECT(AJ17&amp;$C$61)),$AH17),IF(ISBLANK($AE$10),LARGE(IF($D$65:INDIRECT("D"&amp;$C$61)=$AE$11,INDIRECT(AJ17&amp;65):INDIRECT(AJ17&amp;$C$61)),$AH17),LARGE(IF(($E$65:INDIRECT("E"&amp;$C$61)=$AE$10)*($D$65:INDIRECT("D"&amp;$C$61)=$AE$11),INDIRECT(AJ17&amp;65):INDIRECT(AJ17&amp;$C$61)),$AH17))),INDIRECT(AJ17&amp;65):INDIRECT(AJ17&amp;$C$61),0)</f>
        <v>#NUM!</v>
      </c>
      <c r="U17" s="69" t="e">
        <f ca="1">INDEX(D$65:INDIRECT("D"&amp;$C$61),$T17)</f>
        <v>#NUM!</v>
      </c>
      <c r="V17" s="69" t="e">
        <f ca="1">INDEX(INDIRECT(("'MemberID'!$C$6:C"&amp;MemberID!$C$1)),MATCH(U17,INDIRECT(("'MemberID'!$G$6:G"&amp;MemberID!$C$1)),0))</f>
        <v>#NUM!</v>
      </c>
      <c r="W17" s="69" t="e">
        <f ca="1">INDEX(E$65:INDIRECT("E"&amp;$C$61),$T17)</f>
        <v>#NUM!</v>
      </c>
      <c r="X17" t="e">
        <f ca="1">INDEX(F$65:INDIRECT("F"&amp;$C$61),$T17)</f>
        <v>#NUM!</v>
      </c>
      <c r="Y17" t="e">
        <f ca="1">INDEX(G$65:INDIRECT("G"&amp;$C$61),$T17)</f>
        <v>#NUM!</v>
      </c>
      <c r="Z17" t="e">
        <f ca="1">INDEX(H$65:INDIRECT("H"&amp;$C$61),$T17)</f>
        <v>#NUM!</v>
      </c>
      <c r="AA17" t="e">
        <f ca="1">INDEX(I$65:INDIRECT("I"&amp;$C$61),$T17)</f>
        <v>#NUM!</v>
      </c>
      <c r="AB17" s="23" t="e">
        <f t="array" aca="1" ref="AB17" ca="1">IF(ISBLANK($AE$11),LARGE(IF($E$65:INDIRECT("E"&amp;$C$61)=$AE$10,J$65:INDIRECT(AB$13&amp;$C$61)),$AH17),IF(ISBLANK($AE$10),LARGE(IF($D$65:INDIRECT("D"&amp;$C$61)=$AE$11,J$65:INDIRECT(AB$13&amp;$C$61)),$AH17),LARGE(IF(($E$65:INDIRECT("E"&amp;$C$61)=$AE$10)*($D$65:INDIRECT("D"&amp;$C$61)=$AE$11),J$65:INDIRECT(AB$13&amp;$C$61)),$AH17)))</f>
        <v>#NUM!</v>
      </c>
      <c r="AC17" t="e">
        <f ca="1">INDEX(K$65:INDIRECT("K"&amp;$C$61),$T17)</f>
        <v>#NUM!</v>
      </c>
      <c r="AD17" t="e">
        <f ca="1">INDEX(L$65:INDIRECT("L"&amp;$C$61),$T17)</f>
        <v>#NUM!</v>
      </c>
      <c r="AE17" t="e">
        <f ca="1">INDEX(M$65:INDIRECT("M"&amp;$C$61),$T17)</f>
        <v>#NUM!</v>
      </c>
      <c r="AF17" t="e">
        <f ca="1">INDEX(N$65:INDIRECT("N"&amp;$C$61),$T17)</f>
        <v>#NUM!</v>
      </c>
      <c r="AG17" t="e">
        <f ca="1">INDEX(O$65:INDIRECT("O"&amp;$C$61),$T17)</f>
        <v>#NUM!</v>
      </c>
      <c r="AH17" s="69">
        <v>3</v>
      </c>
      <c r="AI17" s="69" t="str">
        <f t="shared" ref="AI17:AJ20" si="0">AI16</f>
        <v>J</v>
      </c>
      <c r="AJ17" s="69" t="str">
        <f t="shared" si="0"/>
        <v>Q</v>
      </c>
    </row>
    <row r="18" spans="1:36" x14ac:dyDescent="0.25">
      <c r="A18" s="74" t="s">
        <v>72</v>
      </c>
      <c r="B18" s="69" t="s">
        <v>31</v>
      </c>
      <c r="C18" s="74" t="e">
        <f ca="1">J6</f>
        <v>#N/A</v>
      </c>
      <c r="D18" s="69" t="e">
        <f ca="1">INDEX(D$65:INDIRECT("D"&amp;$C$61),$C18)</f>
        <v>#N/A</v>
      </c>
      <c r="E18" s="69" t="e">
        <f ca="1">INDEX(INDIRECT(("'MemberID'!$C$6:C"&amp;MemberID!$C$1)),MATCH(D18,INDIRECT(("'MemberID'!$G$6:G"&amp;MemberID!$C$1)),0))</f>
        <v>#N/A</v>
      </c>
      <c r="F18" s="69" t="e">
        <f ca="1">INDEX(E$65:INDIRECT("E"&amp;$C$61),$C18)</f>
        <v>#N/A</v>
      </c>
      <c r="G18" t="e">
        <f ca="1">INDEX(F$65:INDIRECT("F"&amp;$C$61),$C18)</f>
        <v>#N/A</v>
      </c>
      <c r="H18" t="e">
        <f ca="1">INDEX(G$65:INDIRECT("G"&amp;$C$61),$C18)</f>
        <v>#N/A</v>
      </c>
      <c r="I18" t="e">
        <f ca="1">INDEX(H$65:INDIRECT("H"&amp;$C$61),$C18)</f>
        <v>#N/A</v>
      </c>
      <c r="J18" t="e">
        <f ca="1">INDEX(I$65:INDIRECT("I"&amp;$C$61),$C18)</f>
        <v>#N/A</v>
      </c>
      <c r="K18" s="23" t="e">
        <f ca="1">INDEX(J$65:INDIRECT("J"&amp;$C$61),$C18)</f>
        <v>#N/A</v>
      </c>
      <c r="L18" t="e">
        <f ca="1">INDEX(K$65:INDIRECT("K"&amp;$C$61),$C18)</f>
        <v>#N/A</v>
      </c>
      <c r="M18" t="e">
        <f ca="1">INDEX(L$65:INDIRECT("L"&amp;$C$61),$C18)</f>
        <v>#N/A</v>
      </c>
      <c r="N18" t="e">
        <f ca="1">INDEX(M$65:INDIRECT("M"&amp;$C$61),$C18)</f>
        <v>#N/A</v>
      </c>
      <c r="O18" t="e">
        <f ca="1">INDEX(N$65:INDIRECT("N"&amp;$C$61),$C18)</f>
        <v>#N/A</v>
      </c>
      <c r="P18" t="e">
        <f ca="1">INDEX(O$65:INDIRECT("O"&amp;$C$61),$C18)</f>
        <v>#N/A</v>
      </c>
      <c r="Q18" s="104"/>
      <c r="R18" s="74" t="s">
        <v>72</v>
      </c>
      <c r="S18" s="69" t="s">
        <v>31</v>
      </c>
      <c r="T18" s="74" t="e">
        <f t="array" aca="1" ref="T18" ca="1">MATCH(IF(ISBLANK($AE$11),SMALL(IF($E$65:INDIRECT("E"&amp;$C$61)=$AE$10,INDIRECT(AJ18&amp;65):INDIRECT(AJ18&amp;$C$61)),$AH18),IF(ISBLANK($AE$10),SMALL(IF($D$65:INDIRECT("D"&amp;$C$61)=$AE$11,INDIRECT(AJ18&amp;65):INDIRECT(AJ18&amp;$C$61)),$AH18),SMALL(IF(($E$65:INDIRECT("E"&amp;$C$61)=$AE$10)*($D$65:INDIRECT("D"&amp;$C$61)=$AE$11),INDIRECT(AJ18&amp;65):INDIRECT(AJ18&amp;$C$61)),$AH18))),INDIRECT(AJ18&amp;65):INDIRECT(AJ18&amp;$C$61),0)</f>
        <v>#NUM!</v>
      </c>
      <c r="U18" s="69" t="e">
        <f ca="1">INDEX(D$65:INDIRECT("D"&amp;$C$61),$T18)</f>
        <v>#NUM!</v>
      </c>
      <c r="V18" s="69" t="e">
        <f ca="1">INDEX(INDIRECT(("'MemberID'!$C$6:C"&amp;MemberID!$C$1)),MATCH(U18,INDIRECT(("'MemberID'!$G$6:G"&amp;MemberID!$C$1)),0))</f>
        <v>#NUM!</v>
      </c>
      <c r="W18" s="69" t="e">
        <f ca="1">INDEX(E$65:INDIRECT("E"&amp;$C$61),$T18)</f>
        <v>#NUM!</v>
      </c>
      <c r="X18" t="e">
        <f ca="1">INDEX(F$65:INDIRECT("F"&amp;$C$61),$T18)</f>
        <v>#NUM!</v>
      </c>
      <c r="Y18" t="e">
        <f ca="1">INDEX(G$65:INDIRECT("G"&amp;$C$61),$T18)</f>
        <v>#NUM!</v>
      </c>
      <c r="Z18" t="e">
        <f ca="1">INDEX(H$65:INDIRECT("H"&amp;$C$61),$T18)</f>
        <v>#NUM!</v>
      </c>
      <c r="AA18" t="e">
        <f ca="1">INDEX(I$65:INDIRECT("I"&amp;$C$61),$T18)</f>
        <v>#NUM!</v>
      </c>
      <c r="AB18" s="23" t="e">
        <f t="array" aca="1" ref="AB18" ca="1">IF(ISBLANK($AE$11),SMALL(IF($E$65:INDIRECT("E"&amp;$C$61)=$AE$10,J$65:INDIRECT(AB$13&amp;$C$61)),$AH18),IF(ISBLANK($AE$10),SMALL(IF($D$65:INDIRECT("D"&amp;$C$61)=$AE$11,J$65:INDIRECT(AB$13&amp;$C$61)),$AH18),SMALL(IF(($E$65:INDIRECT("E"&amp;$C$61)=$AE$10)*($D$65:INDIRECT("D"&amp;$C$61)=$AE$11),J$65:INDIRECT(AB$13&amp;$C$61)),$AH18)))</f>
        <v>#NUM!</v>
      </c>
      <c r="AC18" t="e">
        <f ca="1">INDEX(K$65:INDIRECT("K"&amp;$C$61),$T18)</f>
        <v>#NUM!</v>
      </c>
      <c r="AD18" t="e">
        <f ca="1">INDEX(L$65:INDIRECT("L"&amp;$C$61),$T18)</f>
        <v>#NUM!</v>
      </c>
      <c r="AE18" t="e">
        <f ca="1">INDEX(M$65:INDIRECT("M"&amp;$C$61),$T18)</f>
        <v>#NUM!</v>
      </c>
      <c r="AF18" t="e">
        <f ca="1">INDEX(N$65:INDIRECT("N"&amp;$C$61),$T18)</f>
        <v>#NUM!</v>
      </c>
      <c r="AG18" t="e">
        <f ca="1">INDEX(O$65:INDIRECT("O"&amp;$C$61),$T18)</f>
        <v>#NUM!</v>
      </c>
      <c r="AH18" s="69">
        <v>1</v>
      </c>
      <c r="AI18" s="69" t="str">
        <f t="shared" si="0"/>
        <v>J</v>
      </c>
      <c r="AJ18" s="69" t="str">
        <f t="shared" si="0"/>
        <v>Q</v>
      </c>
    </row>
    <row r="19" spans="1:36" x14ac:dyDescent="0.25">
      <c r="A19" s="74" t="s">
        <v>73</v>
      </c>
      <c r="B19" s="69" t="s">
        <v>31</v>
      </c>
      <c r="C19" s="74" t="e">
        <f ca="1">R6</f>
        <v>#NUM!</v>
      </c>
      <c r="D19" s="69" t="e">
        <f ca="1">INDEX(D$65:INDIRECT("D"&amp;$C$61),$C19)</f>
        <v>#NUM!</v>
      </c>
      <c r="E19" s="69" t="e">
        <f ca="1">INDEX(INDIRECT(("'MemberID'!$C$6:C"&amp;MemberID!$C$1)),MATCH(D19,INDIRECT(("'MemberID'!$G$6:G"&amp;MemberID!$C$1)),0))</f>
        <v>#NUM!</v>
      </c>
      <c r="F19" s="69" t="e">
        <f ca="1">INDEX(E$65:INDIRECT("E"&amp;$C$61),$C19)</f>
        <v>#NUM!</v>
      </c>
      <c r="G19" t="e">
        <f ca="1">INDEX(F$65:INDIRECT("F"&amp;$C$61),$C19)</f>
        <v>#NUM!</v>
      </c>
      <c r="H19" t="e">
        <f ca="1">INDEX(G$65:INDIRECT("G"&amp;$C$61),$C19)</f>
        <v>#NUM!</v>
      </c>
      <c r="I19" t="e">
        <f ca="1">INDEX(H$65:INDIRECT("H"&amp;$C$61),$C19)</f>
        <v>#NUM!</v>
      </c>
      <c r="J19" t="e">
        <f ca="1">INDEX(I$65:INDIRECT("I"&amp;$C$61),$C19)</f>
        <v>#NUM!</v>
      </c>
      <c r="K19" s="23" t="e">
        <f ca="1">INDEX(J$65:INDIRECT("J"&amp;$C$61),$C19)</f>
        <v>#NUM!</v>
      </c>
      <c r="L19" t="e">
        <f ca="1">INDEX(K$65:INDIRECT("K"&amp;$C$61),$C19)</f>
        <v>#NUM!</v>
      </c>
      <c r="M19" t="e">
        <f ca="1">INDEX(L$65:INDIRECT("L"&amp;$C$61),$C19)</f>
        <v>#NUM!</v>
      </c>
      <c r="N19" t="e">
        <f ca="1">INDEX(M$65:INDIRECT("M"&amp;$C$61),$C19)</f>
        <v>#NUM!</v>
      </c>
      <c r="O19" t="e">
        <f ca="1">INDEX(N$65:INDIRECT("N"&amp;$C$61),$C19)</f>
        <v>#NUM!</v>
      </c>
      <c r="P19" t="e">
        <f ca="1">INDEX(O$65:INDIRECT("O"&amp;$C$61),$C19)</f>
        <v>#NUM!</v>
      </c>
      <c r="Q19" s="104"/>
      <c r="R19" s="74" t="s">
        <v>73</v>
      </c>
      <c r="S19" s="69" t="s">
        <v>31</v>
      </c>
      <c r="T19" s="74" t="e">
        <f t="array" aca="1" ref="T19" ca="1">MATCH(IF(ISBLANK($AE$11),SMALL(IF($E$65:INDIRECT("E"&amp;$C$61)=$AE$10,INDIRECT(AJ19&amp;65):INDIRECT(AJ19&amp;$C$61)),$AH19),IF(ISBLANK($AE$10),SMALL(IF($D$65:INDIRECT("D"&amp;$C$61)=$AE$11,INDIRECT(AJ19&amp;65):INDIRECT(AJ19&amp;$C$61)),$AH19),SMALL(IF(($E$65:INDIRECT("E"&amp;$C$61)=$AE$10)*($D$65:INDIRECT("D"&amp;$C$61)=$AE$11),INDIRECT(AJ19&amp;65):INDIRECT(AJ19&amp;$C$61)),$AH19))),INDIRECT(AJ19&amp;65):INDIRECT(AJ19&amp;$C$61),0)</f>
        <v>#NUM!</v>
      </c>
      <c r="U19" s="69" t="e">
        <f ca="1">INDEX(D$65:INDIRECT("D"&amp;$C$61),$T19)</f>
        <v>#NUM!</v>
      </c>
      <c r="V19" s="69" t="e">
        <f ca="1">INDEX(INDIRECT(("'MemberID'!$C$6:C"&amp;MemberID!$C$1)),MATCH(U19,INDIRECT(("'MemberID'!$G$6:G"&amp;MemberID!$C$1)),0))</f>
        <v>#NUM!</v>
      </c>
      <c r="W19" s="69" t="e">
        <f ca="1">INDEX(E$65:INDIRECT("E"&amp;$C$61),$T19)</f>
        <v>#NUM!</v>
      </c>
      <c r="X19" t="e">
        <f ca="1">INDEX(F$65:INDIRECT("F"&amp;$C$61),$T19)</f>
        <v>#NUM!</v>
      </c>
      <c r="Y19" t="e">
        <f ca="1">INDEX(G$65:INDIRECT("G"&amp;$C$61),$T19)</f>
        <v>#NUM!</v>
      </c>
      <c r="Z19" t="e">
        <f ca="1">INDEX(H$65:INDIRECT("H"&amp;$C$61),$T19)</f>
        <v>#NUM!</v>
      </c>
      <c r="AA19" t="e">
        <f ca="1">INDEX(I$65:INDIRECT("I"&amp;$C$61),$T19)</f>
        <v>#NUM!</v>
      </c>
      <c r="AB19" s="23" t="e">
        <f t="array" aca="1" ref="AB19" ca="1">IF(ISBLANK($AE$11),SMALL(IF($E$65:INDIRECT("E"&amp;$C$61)=$AE$10,J$65:INDIRECT(AB$13&amp;$C$61)),$AH19),IF(ISBLANK($AE$10),SMALL(IF($D$65:INDIRECT("D"&amp;$C$61)=$AE$11,J$65:INDIRECT(AB$13&amp;$C$61)),$AH19),SMALL(IF(($E$65:INDIRECT("E"&amp;$C$61)=$AE$10)*($D$65:INDIRECT("D"&amp;$C$61)=$AE$11),J$65:INDIRECT(AB$13&amp;$C$61)),$AH19)))</f>
        <v>#NUM!</v>
      </c>
      <c r="AC19" t="e">
        <f ca="1">INDEX(K$65:INDIRECT("K"&amp;$C$61),$T19)</f>
        <v>#NUM!</v>
      </c>
      <c r="AD19" t="e">
        <f ca="1">INDEX(L$65:INDIRECT("L"&amp;$C$61),$T19)</f>
        <v>#NUM!</v>
      </c>
      <c r="AE19" t="e">
        <f ca="1">INDEX(M$65:INDIRECT("M"&amp;$C$61),$T19)</f>
        <v>#NUM!</v>
      </c>
      <c r="AF19" t="e">
        <f ca="1">INDEX(N$65:INDIRECT("N"&amp;$C$61),$T19)</f>
        <v>#NUM!</v>
      </c>
      <c r="AG19" t="e">
        <f ca="1">INDEX(O$65:INDIRECT("O"&amp;$C$61),$T19)</f>
        <v>#NUM!</v>
      </c>
      <c r="AH19" s="69">
        <v>2</v>
      </c>
      <c r="AI19" s="69" t="str">
        <f t="shared" si="0"/>
        <v>J</v>
      </c>
      <c r="AJ19" s="69" t="str">
        <f t="shared" si="0"/>
        <v>Q</v>
      </c>
    </row>
    <row r="20" spans="1:36" x14ac:dyDescent="0.25">
      <c r="A20" s="74" t="s">
        <v>74</v>
      </c>
      <c r="B20" s="69" t="s">
        <v>31</v>
      </c>
      <c r="C20" s="74" t="e">
        <f ca="1">Z6</f>
        <v>#NUM!</v>
      </c>
      <c r="D20" s="69" t="e">
        <f ca="1">INDEX(D$65:INDIRECT("D"&amp;$C$61),$C20)</f>
        <v>#NUM!</v>
      </c>
      <c r="E20" s="69" t="e">
        <f ca="1">INDEX(INDIRECT(("'MemberID'!$C$6:C"&amp;MemberID!$C$1)),MATCH(D20,INDIRECT(("'MemberID'!$G$6:G"&amp;MemberID!$C$1)),0))</f>
        <v>#NUM!</v>
      </c>
      <c r="F20" s="69" t="e">
        <f ca="1">INDEX(E$65:INDIRECT("E"&amp;$C$61),$C20)</f>
        <v>#NUM!</v>
      </c>
      <c r="G20" t="e">
        <f ca="1">INDEX(F$65:INDIRECT("F"&amp;$C$61),$C20)</f>
        <v>#NUM!</v>
      </c>
      <c r="H20" t="e">
        <f ca="1">INDEX(G$65:INDIRECT("G"&amp;$C$61),$C20)</f>
        <v>#NUM!</v>
      </c>
      <c r="I20" t="e">
        <f ca="1">INDEX(H$65:INDIRECT("H"&amp;$C$61),$C20)</f>
        <v>#NUM!</v>
      </c>
      <c r="J20" t="e">
        <f ca="1">INDEX(I$65:INDIRECT("I"&amp;$C$61),$C20)</f>
        <v>#NUM!</v>
      </c>
      <c r="K20" s="23" t="e">
        <f ca="1">INDEX(J$65:INDIRECT("J"&amp;$C$61),$C20)</f>
        <v>#NUM!</v>
      </c>
      <c r="L20" t="e">
        <f ca="1">INDEX(K$65:INDIRECT("K"&amp;$C$61),$C20)</f>
        <v>#NUM!</v>
      </c>
      <c r="M20" t="e">
        <f ca="1">INDEX(L$65:INDIRECT("L"&amp;$C$61),$C20)</f>
        <v>#NUM!</v>
      </c>
      <c r="N20" t="e">
        <f ca="1">INDEX(M$65:INDIRECT("M"&amp;$C$61),$C20)</f>
        <v>#NUM!</v>
      </c>
      <c r="O20" t="e">
        <f ca="1">INDEX(N$65:INDIRECT("N"&amp;$C$61),$C20)</f>
        <v>#NUM!</v>
      </c>
      <c r="P20" t="e">
        <f ca="1">INDEX(O$65:INDIRECT("O"&amp;$C$61),$C20)</f>
        <v>#NUM!</v>
      </c>
      <c r="Q20" s="104"/>
      <c r="R20" s="74" t="s">
        <v>74</v>
      </c>
      <c r="S20" s="69" t="s">
        <v>31</v>
      </c>
      <c r="T20" s="74" t="e">
        <f t="array" aca="1" ref="T20" ca="1">MATCH(IF(ISBLANK($AE$11),SMALL(IF($E$65:INDIRECT("E"&amp;$C$61)=$AE$10,INDIRECT(AJ20&amp;65):INDIRECT(AJ20&amp;$C$61)),$AH20),IF(ISBLANK($AE$10),SMALL(IF($D$65:INDIRECT("D"&amp;$C$61)=$AE$11,INDIRECT(AJ20&amp;65):INDIRECT(AJ20&amp;$C$61)),$AH20),SMALL(IF(($E$65:INDIRECT("E"&amp;$C$61)=$AE$10)*($D$65:INDIRECT("D"&amp;$C$61)=$AE$11),INDIRECT(AJ20&amp;65):INDIRECT(AJ20&amp;$C$61)),$AH20))),INDIRECT(AJ20&amp;65):INDIRECT(AJ20&amp;$C$61),0)</f>
        <v>#NUM!</v>
      </c>
      <c r="U20" s="69" t="e">
        <f ca="1">INDEX(D$65:INDIRECT("D"&amp;$C$61),$T20)</f>
        <v>#NUM!</v>
      </c>
      <c r="V20" s="69" t="e">
        <f ca="1">INDEX(INDIRECT(("'MemberID'!$C$6:C"&amp;MemberID!$C$1)),MATCH(U20,INDIRECT(("'MemberID'!$G$6:G"&amp;MemberID!$C$1)),0))</f>
        <v>#NUM!</v>
      </c>
      <c r="W20" s="69" t="e">
        <f ca="1">INDEX(E$65:INDIRECT("E"&amp;$C$61),$T20)</f>
        <v>#NUM!</v>
      </c>
      <c r="X20" t="e">
        <f ca="1">INDEX(F$65:INDIRECT("F"&amp;$C$61),$T20)</f>
        <v>#NUM!</v>
      </c>
      <c r="Y20" t="e">
        <f ca="1">INDEX(G$65:INDIRECT("G"&amp;$C$61),$T20)</f>
        <v>#NUM!</v>
      </c>
      <c r="Z20" t="e">
        <f ca="1">INDEX(H$65:INDIRECT("H"&amp;$C$61),$T20)</f>
        <v>#NUM!</v>
      </c>
      <c r="AA20" t="e">
        <f ca="1">INDEX(I$65:INDIRECT("I"&amp;$C$61),$T20)</f>
        <v>#NUM!</v>
      </c>
      <c r="AB20" s="23" t="e">
        <f t="array" aca="1" ref="AB20" ca="1">IF(ISBLANK($AE$11),SMALL(IF($E$65:INDIRECT("E"&amp;$C$61)=$AE$10,J$65:INDIRECT(AB$13&amp;$C$61)),$AH20),IF(ISBLANK($AE$10),SMALL(IF($D$65:INDIRECT("D"&amp;$C$61)=$AE$11,J$65:INDIRECT(AB$13&amp;$C$61)),$AH20),SMALL(IF(($E$65:INDIRECT("E"&amp;$C$61)=$AE$10)*($D$65:INDIRECT("D"&amp;$C$61)=$AE$11),J$65:INDIRECT(AB$13&amp;$C$61)),$AH20)))</f>
        <v>#NUM!</v>
      </c>
      <c r="AC20" t="e">
        <f ca="1">INDEX(K$65:INDIRECT("K"&amp;$C$61),$T20)</f>
        <v>#NUM!</v>
      </c>
      <c r="AD20" t="e">
        <f ca="1">INDEX(L$65:INDIRECT("L"&amp;$C$61),$T20)</f>
        <v>#NUM!</v>
      </c>
      <c r="AE20" t="e">
        <f ca="1">INDEX(M$65:INDIRECT("M"&amp;$C$61),$T20)</f>
        <v>#NUM!</v>
      </c>
      <c r="AF20" t="e">
        <f ca="1">INDEX(N$65:INDIRECT("N"&amp;$C$61),$T20)</f>
        <v>#NUM!</v>
      </c>
      <c r="AG20" t="e">
        <f ca="1">INDEX(O$65:INDIRECT("O"&amp;$C$61),$T20)</f>
        <v>#NUM!</v>
      </c>
      <c r="AH20" s="69">
        <v>3</v>
      </c>
      <c r="AI20" s="69" t="str">
        <f t="shared" si="0"/>
        <v>J</v>
      </c>
      <c r="AJ20" s="69" t="str">
        <f t="shared" si="0"/>
        <v>Q</v>
      </c>
    </row>
    <row r="21" spans="1:36" x14ac:dyDescent="0.25">
      <c r="A21" s="5"/>
      <c r="B21" s="69"/>
      <c r="C21" s="69"/>
      <c r="D21" s="69"/>
      <c r="E21" s="69"/>
      <c r="F21" s="69"/>
      <c r="J21" s="7"/>
      <c r="K21" s="7"/>
      <c r="L21" s="7"/>
      <c r="Q21" s="104"/>
      <c r="R21" s="5"/>
      <c r="S21" s="69"/>
      <c r="T21" s="69"/>
      <c r="V21" s="69"/>
      <c r="W21" s="69"/>
      <c r="AH21" s="69"/>
      <c r="AI21" s="69"/>
      <c r="AJ21" s="69"/>
    </row>
    <row r="22" spans="1:36" x14ac:dyDescent="0.25">
      <c r="A22" s="73" t="s">
        <v>69</v>
      </c>
      <c r="B22" s="69" t="s">
        <v>32</v>
      </c>
      <c r="C22" s="73" t="e">
        <f ca="1">K3</f>
        <v>#N/A</v>
      </c>
      <c r="D22" s="69" t="e">
        <f ca="1">INDEX(D$65:INDIRECT("D"&amp;$C$61),$C22)</f>
        <v>#N/A</v>
      </c>
      <c r="E22" s="69" t="e">
        <f ca="1">INDEX(INDIRECT(("'MemberID'!$C$6:C"&amp;MemberID!$C$1)),MATCH(D22,INDIRECT(("'MemberID'!$G$6:G"&amp;MemberID!$C$1)),0))</f>
        <v>#N/A</v>
      </c>
      <c r="F22" s="69" t="e">
        <f ca="1">INDEX(E$65:INDIRECT("E"&amp;$C$61),$C22)</f>
        <v>#N/A</v>
      </c>
      <c r="G22" t="e">
        <f ca="1">INDEX(F$65:INDIRECT("F"&amp;$C$61),$C22)</f>
        <v>#N/A</v>
      </c>
      <c r="H22" t="e">
        <f ca="1">INDEX(G$65:INDIRECT("G"&amp;$C$61),$C22)</f>
        <v>#N/A</v>
      </c>
      <c r="I22" t="e">
        <f ca="1">INDEX(H$65:INDIRECT("H"&amp;$C$61),$C22)</f>
        <v>#N/A</v>
      </c>
      <c r="J22" t="e">
        <f ca="1">INDEX(I$65:INDIRECT("I"&amp;$C$61),$C22)</f>
        <v>#N/A</v>
      </c>
      <c r="K22" s="7" t="e">
        <f ca="1">INDEX(J$65:INDIRECT("J"&amp;$C$61),$C22)</f>
        <v>#N/A</v>
      </c>
      <c r="L22" s="23" t="e">
        <f ca="1">INDEX(K$65:INDIRECT("K"&amp;$C$61),$C22)</f>
        <v>#N/A</v>
      </c>
      <c r="M22" t="e">
        <f ca="1">INDEX(L$65:INDIRECT("L"&amp;$C$61),$C22)</f>
        <v>#N/A</v>
      </c>
      <c r="N22" t="e">
        <f ca="1">INDEX(M$65:INDIRECT("M"&amp;$C$61),$C22)</f>
        <v>#N/A</v>
      </c>
      <c r="O22" t="e">
        <f ca="1">INDEX(N$65:INDIRECT("N"&amp;$C$61),$C22)</f>
        <v>#N/A</v>
      </c>
      <c r="P22" t="e">
        <f ca="1">INDEX(O$65:INDIRECT("O"&amp;$C$61),$C22)</f>
        <v>#N/A</v>
      </c>
      <c r="Q22" s="104"/>
      <c r="R22" s="73" t="s">
        <v>69</v>
      </c>
      <c r="S22" s="69" t="s">
        <v>32</v>
      </c>
      <c r="T22" s="73" t="e">
        <f t="array" aca="1" ref="T22" ca="1">MATCH(IF(ISBLANK($AE$11),LARGE(IF($E$65:INDIRECT("E"&amp;$C$61)=$AE$10,INDIRECT(AJ22&amp;65):INDIRECT(AJ22&amp;$C$61)),$AH22),IF(ISBLANK($AE$10),LARGE(IF($D$65:INDIRECT("D"&amp;$C$61)=$AE$11,INDIRECT(AJ22&amp;65):INDIRECT(AJ22&amp;$C$61)),$AH22),LARGE(IF(($E$65:INDIRECT("E"&amp;$C$61)=$AE$10)*($D$65:INDIRECT("D"&amp;$C$61)=$AE$11),INDIRECT(AJ22&amp;65):INDIRECT(AJ22&amp;$C$61)),$AH22))),INDIRECT(AJ22&amp;65):INDIRECT(AJ22&amp;$C$61),0)</f>
        <v>#NUM!</v>
      </c>
      <c r="U22" s="69" t="e">
        <f ca="1">INDEX(D$65:INDIRECT("D"&amp;$C$61),$T22)</f>
        <v>#NUM!</v>
      </c>
      <c r="V22" s="69" t="e">
        <f ca="1">INDEX(INDIRECT(("'MemberID'!$C$6:C"&amp;MemberID!$C$1)),MATCH(U22,INDIRECT(("'MemberID'!$G$6:G"&amp;MemberID!$C$1)),0))</f>
        <v>#NUM!</v>
      </c>
      <c r="W22" s="69" t="e">
        <f ca="1">INDEX(E$65:INDIRECT("E"&amp;$C$61),$T22)</f>
        <v>#NUM!</v>
      </c>
      <c r="X22" t="e">
        <f ca="1">INDEX(F$65:INDIRECT("F"&amp;$C$61),$T22)</f>
        <v>#NUM!</v>
      </c>
      <c r="Y22" t="e">
        <f ca="1">INDEX(G$65:INDIRECT("G"&amp;$C$61),$T22)</f>
        <v>#NUM!</v>
      </c>
      <c r="Z22" t="e">
        <f ca="1">INDEX(H$65:INDIRECT("H"&amp;$C$61),$T22)</f>
        <v>#NUM!</v>
      </c>
      <c r="AA22" t="e">
        <f ca="1">INDEX(I$65:INDIRECT("I"&amp;$C$61),$T22)</f>
        <v>#NUM!</v>
      </c>
      <c r="AB22" t="e">
        <f ca="1">INDEX(J$65:INDIRECT("J"&amp;$C$61),$T22)</f>
        <v>#NUM!</v>
      </c>
      <c r="AC22" s="23" t="e">
        <f t="array" aca="1" ref="AC22" ca="1">IF(ISBLANK($AE$11),LARGE(IF($E$65:INDIRECT("E"&amp;$C$61)=$AE$10,K$65:INDIRECT(AC$13&amp;$C$61)),$AH22),IF(ISBLANK($AE$10),LARGE(IF($D$65:INDIRECT("D"&amp;$C$61)=$AE$11,K$65:INDIRECT(AC$13&amp;$C$61)),$AH22),LARGE(IF(($E$65:INDIRECT("E"&amp;$C$61)=$AE$10)*($D$65:INDIRECT("D"&amp;$C$61)=$AE$11),K$65:INDIRECT(AC$13&amp;$C$61)),$AH22)))</f>
        <v>#NUM!</v>
      </c>
      <c r="AD22" t="e">
        <f ca="1">INDEX(L$65:INDIRECT("L"&amp;$C$61),$T22)</f>
        <v>#NUM!</v>
      </c>
      <c r="AE22" t="e">
        <f ca="1">INDEX(M$65:INDIRECT("M"&amp;$C$61),$T22)</f>
        <v>#NUM!</v>
      </c>
      <c r="AF22" t="e">
        <f ca="1">INDEX(N$65:INDIRECT("N"&amp;$C$61),$T22)</f>
        <v>#NUM!</v>
      </c>
      <c r="AG22" t="e">
        <f ca="1">INDEX(O$65:INDIRECT("O"&amp;$C$61),$T22)</f>
        <v>#NUM!</v>
      </c>
      <c r="AH22" s="69">
        <v>1</v>
      </c>
      <c r="AI22" s="69" t="s">
        <v>151</v>
      </c>
      <c r="AJ22" s="69" t="s">
        <v>157</v>
      </c>
    </row>
    <row r="23" spans="1:36" x14ac:dyDescent="0.25">
      <c r="A23" s="73" t="s">
        <v>70</v>
      </c>
      <c r="B23" s="69" t="s">
        <v>32</v>
      </c>
      <c r="C23" s="73" t="e">
        <f ca="1">S3</f>
        <v>#NUM!</v>
      </c>
      <c r="D23" s="69" t="e">
        <f ca="1">INDEX(D$65:INDIRECT("D"&amp;$C$61),$C23)</f>
        <v>#NUM!</v>
      </c>
      <c r="E23" s="69" t="e">
        <f ca="1">INDEX(INDIRECT(("'MemberID'!$C$6:C"&amp;MemberID!$C$1)),MATCH(D23,INDIRECT(("'MemberID'!$G$6:G"&amp;MemberID!$C$1)),0))</f>
        <v>#NUM!</v>
      </c>
      <c r="F23" s="69" t="e">
        <f ca="1">INDEX(E$65:INDIRECT("E"&amp;$C$61),$C23)</f>
        <v>#NUM!</v>
      </c>
      <c r="G23" t="e">
        <f ca="1">INDEX(F$65:INDIRECT("F"&amp;$C$61),$C23)</f>
        <v>#NUM!</v>
      </c>
      <c r="H23" t="e">
        <f ca="1">INDEX(G$65:INDIRECT("G"&amp;$C$61),$C23)</f>
        <v>#NUM!</v>
      </c>
      <c r="I23" t="e">
        <f ca="1">INDEX(H$65:INDIRECT("H"&amp;$C$61),$C23)</f>
        <v>#NUM!</v>
      </c>
      <c r="J23" t="e">
        <f ca="1">INDEX(I$65:INDIRECT("I"&amp;$C$61),$C23)</f>
        <v>#NUM!</v>
      </c>
      <c r="K23" s="7" t="e">
        <f ca="1">INDEX(J$65:INDIRECT("J"&amp;$C$61),$C23)</f>
        <v>#NUM!</v>
      </c>
      <c r="L23" s="23" t="e">
        <f ca="1">INDEX(K$65:INDIRECT("K"&amp;$C$61),$C23)</f>
        <v>#NUM!</v>
      </c>
      <c r="M23" t="e">
        <f ca="1">INDEX(L$65:INDIRECT("L"&amp;$C$61),$C23)</f>
        <v>#NUM!</v>
      </c>
      <c r="N23" t="e">
        <f ca="1">INDEX(M$65:INDIRECT("M"&amp;$C$61),$C23)</f>
        <v>#NUM!</v>
      </c>
      <c r="O23" t="e">
        <f ca="1">INDEX(N$65:INDIRECT("N"&amp;$C$61),$C23)</f>
        <v>#NUM!</v>
      </c>
      <c r="P23" t="e">
        <f ca="1">INDEX(O$65:INDIRECT("O"&amp;$C$61),$C23)</f>
        <v>#NUM!</v>
      </c>
      <c r="Q23" s="104"/>
      <c r="R23" s="73" t="s">
        <v>70</v>
      </c>
      <c r="S23" s="69" t="s">
        <v>32</v>
      </c>
      <c r="T23" s="73" t="e">
        <f t="array" aca="1" ref="T23" ca="1">MATCH(IF(ISBLANK($AE$11),LARGE(IF($E$65:INDIRECT("E"&amp;$C$61)=$AE$10,INDIRECT(AJ23&amp;65):INDIRECT(AJ23&amp;$C$61)),$AH23),IF(ISBLANK($AE$10),LARGE(IF($D$65:INDIRECT("D"&amp;$C$61)=$AE$11,INDIRECT(AJ23&amp;65):INDIRECT(AJ23&amp;$C$61)),$AH23),LARGE(IF(($E$65:INDIRECT("E"&amp;$C$61)=$AE$10)*($D$65:INDIRECT("D"&amp;$C$61)=$AE$11),INDIRECT(AJ23&amp;65):INDIRECT(AJ23&amp;$C$61)),$AH23))),INDIRECT(AJ23&amp;65):INDIRECT(AJ23&amp;$C$61),0)</f>
        <v>#NUM!</v>
      </c>
      <c r="U23" s="69" t="e">
        <f ca="1">INDEX(D$65:INDIRECT("D"&amp;$C$61),$T23)</f>
        <v>#NUM!</v>
      </c>
      <c r="V23" s="69" t="e">
        <f ca="1">INDEX(INDIRECT(("'MemberID'!$C$6:C"&amp;MemberID!$C$1)),MATCH(U23,INDIRECT(("'MemberID'!$G$6:G"&amp;MemberID!$C$1)),0))</f>
        <v>#NUM!</v>
      </c>
      <c r="W23" s="69" t="e">
        <f ca="1">INDEX(E$65:INDIRECT("E"&amp;$C$61),$T23)</f>
        <v>#NUM!</v>
      </c>
      <c r="X23" t="e">
        <f ca="1">INDEX(F$65:INDIRECT("F"&amp;$C$61),$T23)</f>
        <v>#NUM!</v>
      </c>
      <c r="Y23" t="e">
        <f ca="1">INDEX(G$65:INDIRECT("G"&amp;$C$61),$T23)</f>
        <v>#NUM!</v>
      </c>
      <c r="Z23" t="e">
        <f ca="1">INDEX(H$65:INDIRECT("H"&amp;$C$61),$T23)</f>
        <v>#NUM!</v>
      </c>
      <c r="AA23" t="e">
        <f ca="1">INDEX(I$65:INDIRECT("I"&amp;$C$61),$T23)</f>
        <v>#NUM!</v>
      </c>
      <c r="AB23" t="e">
        <f ca="1">INDEX(J$65:INDIRECT("J"&amp;$C$61),$T23)</f>
        <v>#NUM!</v>
      </c>
      <c r="AC23" s="23" t="e">
        <f t="array" aca="1" ref="AC23" ca="1">IF(ISBLANK($AE$11),LARGE(IF($E$65:INDIRECT("E"&amp;$C$61)=$AE$10,K$65:INDIRECT(AC$13&amp;$C$61)),$AH23),IF(ISBLANK($AE$10),LARGE(IF($D$65:INDIRECT("D"&amp;$C$61)=$AE$11,K$65:INDIRECT(AC$13&amp;$C$61)),$AH23),LARGE(IF(($E$65:INDIRECT("E"&amp;$C$61)=$AE$10)*($D$65:INDIRECT("D"&amp;$C$61)=$AE$11),K$65:INDIRECT(AC$13&amp;$C$61)),$AH23)))</f>
        <v>#NUM!</v>
      </c>
      <c r="AD23" t="e">
        <f ca="1">INDEX(L$65:INDIRECT("L"&amp;$C$61),$T23)</f>
        <v>#NUM!</v>
      </c>
      <c r="AE23" t="e">
        <f ca="1">INDEX(M$65:INDIRECT("M"&amp;$C$61),$T23)</f>
        <v>#NUM!</v>
      </c>
      <c r="AF23" t="e">
        <f ca="1">INDEX(N$65:INDIRECT("N"&amp;$C$61),$T23)</f>
        <v>#NUM!</v>
      </c>
      <c r="AG23" t="e">
        <f ca="1">INDEX(O$65:INDIRECT("O"&amp;$C$61),$T23)</f>
        <v>#NUM!</v>
      </c>
      <c r="AH23" s="69">
        <v>2</v>
      </c>
      <c r="AI23" s="69" t="str">
        <f>AI22</f>
        <v>K</v>
      </c>
      <c r="AJ23" s="69" t="str">
        <f>AJ22</f>
        <v>R</v>
      </c>
    </row>
    <row r="24" spans="1:36" x14ac:dyDescent="0.25">
      <c r="A24" s="73" t="s">
        <v>71</v>
      </c>
      <c r="B24" s="69" t="s">
        <v>32</v>
      </c>
      <c r="C24" s="73" t="e">
        <f ca="1">AA3</f>
        <v>#NUM!</v>
      </c>
      <c r="D24" s="69" t="e">
        <f ca="1">INDEX(D$65:INDIRECT("D"&amp;$C$61),$C24)</f>
        <v>#NUM!</v>
      </c>
      <c r="E24" s="69" t="e">
        <f ca="1">INDEX(INDIRECT(("'MemberID'!$C$6:C"&amp;MemberID!$C$1)),MATCH(D24,INDIRECT(("'MemberID'!$G$6:G"&amp;MemberID!$C$1)),0))</f>
        <v>#NUM!</v>
      </c>
      <c r="F24" s="69" t="e">
        <f ca="1">INDEX(E$65:INDIRECT("E"&amp;$C$61),$C24)</f>
        <v>#NUM!</v>
      </c>
      <c r="G24" t="e">
        <f ca="1">INDEX(F$65:INDIRECT("F"&amp;$C$61),$C24)</f>
        <v>#NUM!</v>
      </c>
      <c r="H24" t="e">
        <f ca="1">INDEX(G$65:INDIRECT("G"&amp;$C$61),$C24)</f>
        <v>#NUM!</v>
      </c>
      <c r="I24" t="e">
        <f ca="1">INDEX(H$65:INDIRECT("H"&amp;$C$61),$C24)</f>
        <v>#NUM!</v>
      </c>
      <c r="J24" t="e">
        <f ca="1">INDEX(I$65:INDIRECT("I"&amp;$C$61),$C24)</f>
        <v>#NUM!</v>
      </c>
      <c r="K24" s="7" t="e">
        <f ca="1">INDEX(J$65:INDIRECT("J"&amp;$C$61),$C24)</f>
        <v>#NUM!</v>
      </c>
      <c r="L24" s="23" t="e">
        <f ca="1">INDEX(K$65:INDIRECT("K"&amp;$C$61),$C24)</f>
        <v>#NUM!</v>
      </c>
      <c r="M24" t="e">
        <f ca="1">INDEX(L$65:INDIRECT("L"&amp;$C$61),$C24)</f>
        <v>#NUM!</v>
      </c>
      <c r="N24" t="e">
        <f ca="1">INDEX(M$65:INDIRECT("M"&amp;$C$61),$C24)</f>
        <v>#NUM!</v>
      </c>
      <c r="O24" t="e">
        <f ca="1">INDEX(N$65:INDIRECT("N"&amp;$C$61),$C24)</f>
        <v>#NUM!</v>
      </c>
      <c r="P24" t="e">
        <f ca="1">INDEX(O$65:INDIRECT("O"&amp;$C$61),$C24)</f>
        <v>#NUM!</v>
      </c>
      <c r="Q24" s="104"/>
      <c r="R24" s="73" t="s">
        <v>71</v>
      </c>
      <c r="S24" s="69" t="s">
        <v>32</v>
      </c>
      <c r="T24" s="73" t="e">
        <f t="array" aca="1" ref="T24" ca="1">MATCH(IF(ISBLANK($AE$11),LARGE(IF($E$65:INDIRECT("E"&amp;$C$61)=$AE$10,INDIRECT(AJ24&amp;65):INDIRECT(AJ24&amp;$C$61)),$AH24),IF(ISBLANK($AE$10),LARGE(IF($D$65:INDIRECT("D"&amp;$C$61)=$AE$11,INDIRECT(AJ24&amp;65):INDIRECT(AJ24&amp;$C$61)),$AH24),LARGE(IF(($E$65:INDIRECT("E"&amp;$C$61)=$AE$10)*($D$65:INDIRECT("D"&amp;$C$61)=$AE$11),INDIRECT(AJ24&amp;65):INDIRECT(AJ24&amp;$C$61)),$AH24))),INDIRECT(AJ24&amp;65):INDIRECT(AJ24&amp;$C$61),0)</f>
        <v>#NUM!</v>
      </c>
      <c r="U24" s="69" t="e">
        <f ca="1">INDEX(D$65:INDIRECT("D"&amp;$C$61),$T24)</f>
        <v>#NUM!</v>
      </c>
      <c r="V24" s="69" t="e">
        <f ca="1">INDEX(INDIRECT(("'MemberID'!$C$6:C"&amp;MemberID!$C$1)),MATCH(U24,INDIRECT(("'MemberID'!$G$6:G"&amp;MemberID!$C$1)),0))</f>
        <v>#NUM!</v>
      </c>
      <c r="W24" s="69" t="e">
        <f ca="1">INDEX(E$65:INDIRECT("E"&amp;$C$61),$T24)</f>
        <v>#NUM!</v>
      </c>
      <c r="X24" t="e">
        <f ca="1">INDEX(F$65:INDIRECT("F"&amp;$C$61),$T24)</f>
        <v>#NUM!</v>
      </c>
      <c r="Y24" t="e">
        <f ca="1">INDEX(G$65:INDIRECT("G"&amp;$C$61),$T24)</f>
        <v>#NUM!</v>
      </c>
      <c r="Z24" t="e">
        <f ca="1">INDEX(H$65:INDIRECT("H"&amp;$C$61),$T24)</f>
        <v>#NUM!</v>
      </c>
      <c r="AA24" t="e">
        <f ca="1">INDEX(I$65:INDIRECT("I"&amp;$C$61),$T24)</f>
        <v>#NUM!</v>
      </c>
      <c r="AB24" t="e">
        <f ca="1">INDEX(J$65:INDIRECT("J"&amp;$C$61),$T24)</f>
        <v>#NUM!</v>
      </c>
      <c r="AC24" s="23" t="e">
        <f t="array" aca="1" ref="AC24" ca="1">IF(ISBLANK($AE$11),LARGE(IF($E$65:INDIRECT("E"&amp;$C$61)=$AE$10,K$65:INDIRECT(AC$13&amp;$C$61)),$AH24),IF(ISBLANK($AE$10),LARGE(IF($D$65:INDIRECT("D"&amp;$C$61)=$AE$11,K$65:INDIRECT(AC$13&amp;$C$61)),$AH24),LARGE(IF(($E$65:INDIRECT("E"&amp;$C$61)=$AE$10)*($D$65:INDIRECT("D"&amp;$C$61)=$AE$11),K$65:INDIRECT(AC$13&amp;$C$61)),$AH24)))</f>
        <v>#NUM!</v>
      </c>
      <c r="AD24" t="e">
        <f ca="1">INDEX(L$65:INDIRECT("L"&amp;$C$61),$T24)</f>
        <v>#NUM!</v>
      </c>
      <c r="AE24" t="e">
        <f ca="1">INDEX(M$65:INDIRECT("M"&amp;$C$61),$T24)</f>
        <v>#NUM!</v>
      </c>
      <c r="AF24" t="e">
        <f ca="1">INDEX(N$65:INDIRECT("N"&amp;$C$61),$T24)</f>
        <v>#NUM!</v>
      </c>
      <c r="AG24" t="e">
        <f ca="1">INDEX(O$65:INDIRECT("O"&amp;$C$61),$T24)</f>
        <v>#NUM!</v>
      </c>
      <c r="AH24" s="69">
        <v>3</v>
      </c>
      <c r="AI24" s="69" t="str">
        <f t="shared" ref="AI24:AJ27" si="1">AI23</f>
        <v>K</v>
      </c>
      <c r="AJ24" s="69" t="str">
        <f t="shared" si="1"/>
        <v>R</v>
      </c>
    </row>
    <row r="25" spans="1:36" x14ac:dyDescent="0.25">
      <c r="A25" s="74" t="s">
        <v>72</v>
      </c>
      <c r="B25" s="69" t="s">
        <v>32</v>
      </c>
      <c r="C25" s="74" t="e">
        <f ca="1">K6</f>
        <v>#N/A</v>
      </c>
      <c r="D25" s="69" t="e">
        <f ca="1">INDEX(D$65:INDIRECT("D"&amp;$C$61),$C25)</f>
        <v>#N/A</v>
      </c>
      <c r="E25" s="69" t="e">
        <f ca="1">INDEX(INDIRECT(("'MemberID'!$C$6:C"&amp;MemberID!$C$1)),MATCH(D25,INDIRECT(("'MemberID'!$G$6:G"&amp;MemberID!$C$1)),0))</f>
        <v>#N/A</v>
      </c>
      <c r="F25" s="69" t="e">
        <f ca="1">INDEX(E$65:INDIRECT("E"&amp;$C$61),$C25)</f>
        <v>#N/A</v>
      </c>
      <c r="G25" t="e">
        <f ca="1">INDEX(F$65:INDIRECT("F"&amp;$C$61),$C25)</f>
        <v>#N/A</v>
      </c>
      <c r="H25" t="e">
        <f ca="1">INDEX(G$65:INDIRECT("G"&amp;$C$61),$C25)</f>
        <v>#N/A</v>
      </c>
      <c r="I25" t="e">
        <f ca="1">INDEX(H$65:INDIRECT("H"&amp;$C$61),$C25)</f>
        <v>#N/A</v>
      </c>
      <c r="J25" t="e">
        <f ca="1">INDEX(I$65:INDIRECT("I"&amp;$C$61),$C25)</f>
        <v>#N/A</v>
      </c>
      <c r="K25" s="7" t="e">
        <f ca="1">INDEX(J$65:INDIRECT("J"&amp;$C$61),$C25)</f>
        <v>#N/A</v>
      </c>
      <c r="L25" s="23" t="e">
        <f ca="1">INDEX(K$65:INDIRECT("K"&amp;$C$61),$C25)</f>
        <v>#N/A</v>
      </c>
      <c r="M25" t="e">
        <f ca="1">INDEX(L$65:INDIRECT("L"&amp;$C$61),$C25)</f>
        <v>#N/A</v>
      </c>
      <c r="N25" t="e">
        <f ca="1">INDEX(M$65:INDIRECT("M"&amp;$C$61),$C25)</f>
        <v>#N/A</v>
      </c>
      <c r="O25" t="e">
        <f ca="1">INDEX(N$65:INDIRECT("N"&amp;$C$61),$C25)</f>
        <v>#N/A</v>
      </c>
      <c r="P25" t="e">
        <f ca="1">INDEX(O$65:INDIRECT("O"&amp;$C$61),$C25)</f>
        <v>#N/A</v>
      </c>
      <c r="Q25" s="104"/>
      <c r="R25" s="74" t="s">
        <v>72</v>
      </c>
      <c r="S25" s="69" t="s">
        <v>32</v>
      </c>
      <c r="T25" s="74" t="e">
        <f t="array" aca="1" ref="T25" ca="1">MATCH(IF(ISBLANK($AE$11),SMALL(IF($E$65:INDIRECT("E"&amp;$C$61)=$AE$10,INDIRECT(AJ25&amp;65):INDIRECT(AJ25&amp;$C$61)),$AH25),IF(ISBLANK($AE$10),SMALL(IF($D$65:INDIRECT("D"&amp;$C$61)=$AE$11,INDIRECT(AJ25&amp;65):INDIRECT(AJ25&amp;$C$61)),$AH25),SMALL(IF(($E$65:INDIRECT("E"&amp;$C$61)=$AE$10)*($D$65:INDIRECT("D"&amp;$C$61)=$AE$11),INDIRECT(AJ25&amp;65):INDIRECT(AJ25&amp;$C$61)),$AH25))),INDIRECT(AJ25&amp;65):INDIRECT(AJ25&amp;$C$61),0)</f>
        <v>#NUM!</v>
      </c>
      <c r="U25" s="69" t="e">
        <f ca="1">INDEX(D$65:INDIRECT("D"&amp;$C$61),$T25)</f>
        <v>#NUM!</v>
      </c>
      <c r="V25" s="69" t="e">
        <f ca="1">INDEX(INDIRECT(("'MemberID'!$C$6:C"&amp;MemberID!$C$1)),MATCH(U25,INDIRECT(("'MemberID'!$G$6:G"&amp;MemberID!$C$1)),0))</f>
        <v>#NUM!</v>
      </c>
      <c r="W25" s="69" t="e">
        <f ca="1">INDEX(E$65:INDIRECT("E"&amp;$C$61),$T25)</f>
        <v>#NUM!</v>
      </c>
      <c r="X25" t="e">
        <f ca="1">INDEX(F$65:INDIRECT("F"&amp;$C$61),$T25)</f>
        <v>#NUM!</v>
      </c>
      <c r="Y25" t="e">
        <f ca="1">INDEX(G$65:INDIRECT("G"&amp;$C$61),$T25)</f>
        <v>#NUM!</v>
      </c>
      <c r="Z25" t="e">
        <f ca="1">INDEX(H$65:INDIRECT("H"&amp;$C$61),$T25)</f>
        <v>#NUM!</v>
      </c>
      <c r="AA25" t="e">
        <f ca="1">INDEX(I$65:INDIRECT("I"&amp;$C$61),$T25)</f>
        <v>#NUM!</v>
      </c>
      <c r="AB25" t="e">
        <f ca="1">INDEX(J$65:INDIRECT("J"&amp;$C$61),$T25)</f>
        <v>#NUM!</v>
      </c>
      <c r="AC25" s="23" t="e">
        <f t="array" aca="1" ref="AC25" ca="1">IF(ISBLANK($AE$11),SMALL(IF($E$65:INDIRECT("E"&amp;$C$61)=$AE$10,K$65:INDIRECT(AC$13&amp;$C$61)),$AH25),IF(ISBLANK($AE$10),SMALL(IF($D$65:INDIRECT("D"&amp;$C$61)=$AE$11,K$65:INDIRECT(AC$13&amp;$C$61)),$AH25),SMALL(IF(($E$65:INDIRECT("E"&amp;$C$61)=$AE$10)*($D$65:INDIRECT("D"&amp;$C$61)=$AE$11),K$65:INDIRECT(AC$13&amp;$C$61)),$AH25)))</f>
        <v>#NUM!</v>
      </c>
      <c r="AD25" t="e">
        <f ca="1">INDEX(L$65:INDIRECT("L"&amp;$C$61),$T25)</f>
        <v>#NUM!</v>
      </c>
      <c r="AE25" t="e">
        <f ca="1">INDEX(M$65:INDIRECT("M"&amp;$C$61),$T25)</f>
        <v>#NUM!</v>
      </c>
      <c r="AF25" t="e">
        <f ca="1">INDEX(N$65:INDIRECT("N"&amp;$C$61),$T25)</f>
        <v>#NUM!</v>
      </c>
      <c r="AG25" t="e">
        <f ca="1">INDEX(O$65:INDIRECT("O"&amp;$C$61),$T25)</f>
        <v>#NUM!</v>
      </c>
      <c r="AH25" s="69">
        <v>1</v>
      </c>
      <c r="AI25" s="69" t="str">
        <f t="shared" si="1"/>
        <v>K</v>
      </c>
      <c r="AJ25" s="69" t="str">
        <f t="shared" si="1"/>
        <v>R</v>
      </c>
    </row>
    <row r="26" spans="1:36" x14ac:dyDescent="0.25">
      <c r="A26" s="74" t="s">
        <v>73</v>
      </c>
      <c r="B26" s="69" t="s">
        <v>32</v>
      </c>
      <c r="C26" s="74" t="e">
        <f ca="1">S6</f>
        <v>#NUM!</v>
      </c>
      <c r="D26" s="69" t="e">
        <f ca="1">INDEX(D$65:INDIRECT("D"&amp;$C$61),$C26)</f>
        <v>#NUM!</v>
      </c>
      <c r="E26" s="69" t="e">
        <f ca="1">INDEX(INDIRECT(("'MemberID'!$C$6:C"&amp;MemberID!$C$1)),MATCH(D26,INDIRECT(("'MemberID'!$G$6:G"&amp;MemberID!$C$1)),0))</f>
        <v>#NUM!</v>
      </c>
      <c r="F26" s="69" t="e">
        <f ca="1">INDEX(E$65:INDIRECT("E"&amp;$C$61),$C26)</f>
        <v>#NUM!</v>
      </c>
      <c r="G26" t="e">
        <f ca="1">INDEX(F$65:INDIRECT("F"&amp;$C$61),$C26)</f>
        <v>#NUM!</v>
      </c>
      <c r="H26" t="e">
        <f ca="1">INDEX(G$65:INDIRECT("G"&amp;$C$61),$C26)</f>
        <v>#NUM!</v>
      </c>
      <c r="I26" t="e">
        <f ca="1">INDEX(H$65:INDIRECT("H"&amp;$C$61),$C26)</f>
        <v>#NUM!</v>
      </c>
      <c r="J26" t="e">
        <f ca="1">INDEX(I$65:INDIRECT("I"&amp;$C$61),$C26)</f>
        <v>#NUM!</v>
      </c>
      <c r="K26" s="7" t="e">
        <f ca="1">INDEX(J$65:INDIRECT("J"&amp;$C$61),$C26)</f>
        <v>#NUM!</v>
      </c>
      <c r="L26" s="23" t="e">
        <f ca="1">INDEX(K$65:INDIRECT("K"&amp;$C$61),$C26)</f>
        <v>#NUM!</v>
      </c>
      <c r="M26" t="e">
        <f ca="1">INDEX(L$65:INDIRECT("L"&amp;$C$61),$C26)</f>
        <v>#NUM!</v>
      </c>
      <c r="N26" t="e">
        <f ca="1">INDEX(M$65:INDIRECT("M"&amp;$C$61),$C26)</f>
        <v>#NUM!</v>
      </c>
      <c r="O26" t="e">
        <f ca="1">INDEX(N$65:INDIRECT("N"&amp;$C$61),$C26)</f>
        <v>#NUM!</v>
      </c>
      <c r="P26" t="e">
        <f ca="1">INDEX(O$65:INDIRECT("O"&amp;$C$61),$C26)</f>
        <v>#NUM!</v>
      </c>
      <c r="Q26" s="104"/>
      <c r="R26" s="74" t="s">
        <v>73</v>
      </c>
      <c r="S26" s="69" t="s">
        <v>32</v>
      </c>
      <c r="T26" s="74" t="e">
        <f t="array" aca="1" ref="T26" ca="1">MATCH(IF(ISBLANK($AE$11),SMALL(IF($E$65:INDIRECT("E"&amp;$C$61)=$AE$10,INDIRECT(AJ26&amp;65):INDIRECT(AJ26&amp;$C$61)),$AH26),IF(ISBLANK($AE$10),SMALL(IF($D$65:INDIRECT("D"&amp;$C$61)=$AE$11,INDIRECT(AJ26&amp;65):INDIRECT(AJ26&amp;$C$61)),$AH26),SMALL(IF(($E$65:INDIRECT("E"&amp;$C$61)=$AE$10)*($D$65:INDIRECT("D"&amp;$C$61)=$AE$11),INDIRECT(AJ26&amp;65):INDIRECT(AJ26&amp;$C$61)),$AH26))),INDIRECT(AJ26&amp;65):INDIRECT(AJ26&amp;$C$61),0)</f>
        <v>#NUM!</v>
      </c>
      <c r="U26" s="69" t="e">
        <f ca="1">INDEX(D$65:INDIRECT("D"&amp;$C$61),$T26)</f>
        <v>#NUM!</v>
      </c>
      <c r="V26" s="69" t="e">
        <f ca="1">INDEX(INDIRECT(("'MemberID'!$C$6:C"&amp;MemberID!$C$1)),MATCH(U26,INDIRECT(("'MemberID'!$G$6:G"&amp;MemberID!$C$1)),0))</f>
        <v>#NUM!</v>
      </c>
      <c r="W26" s="69" t="e">
        <f ca="1">INDEX(E$65:INDIRECT("E"&amp;$C$61),$T26)</f>
        <v>#NUM!</v>
      </c>
      <c r="X26" t="e">
        <f ca="1">INDEX(F$65:INDIRECT("F"&amp;$C$61),$T26)</f>
        <v>#NUM!</v>
      </c>
      <c r="Y26" t="e">
        <f ca="1">INDEX(G$65:INDIRECT("G"&amp;$C$61),$T26)</f>
        <v>#NUM!</v>
      </c>
      <c r="Z26" t="e">
        <f ca="1">INDEX(H$65:INDIRECT("H"&amp;$C$61),$T26)</f>
        <v>#NUM!</v>
      </c>
      <c r="AA26" t="e">
        <f ca="1">INDEX(I$65:INDIRECT("I"&amp;$C$61),$T26)</f>
        <v>#NUM!</v>
      </c>
      <c r="AB26" t="e">
        <f ca="1">INDEX(J$65:INDIRECT("J"&amp;$C$61),$T26)</f>
        <v>#NUM!</v>
      </c>
      <c r="AC26" s="23" t="e">
        <f t="array" aca="1" ref="AC26" ca="1">IF(ISBLANK($AE$11),SMALL(IF($E$65:INDIRECT("E"&amp;$C$61)=$AE$10,K$65:INDIRECT(AC$13&amp;$C$61)),$AH26),IF(ISBLANK($AE$10),SMALL(IF($D$65:INDIRECT("D"&amp;$C$61)=$AE$11,K$65:INDIRECT(AC$13&amp;$C$61)),$AH26),SMALL(IF(($E$65:INDIRECT("E"&amp;$C$61)=$AE$10)*($D$65:INDIRECT("D"&amp;$C$61)=$AE$11),K$65:INDIRECT(AC$13&amp;$C$61)),$AH26)))</f>
        <v>#NUM!</v>
      </c>
      <c r="AD26" t="e">
        <f ca="1">INDEX(L$65:INDIRECT("L"&amp;$C$61),$T26)</f>
        <v>#NUM!</v>
      </c>
      <c r="AE26" t="e">
        <f ca="1">INDEX(M$65:INDIRECT("M"&amp;$C$61),$T26)</f>
        <v>#NUM!</v>
      </c>
      <c r="AF26" t="e">
        <f ca="1">INDEX(N$65:INDIRECT("N"&amp;$C$61),$T26)</f>
        <v>#NUM!</v>
      </c>
      <c r="AG26" t="e">
        <f ca="1">INDEX(O$65:INDIRECT("O"&amp;$C$61),$T26)</f>
        <v>#NUM!</v>
      </c>
      <c r="AH26" s="69">
        <v>2</v>
      </c>
      <c r="AI26" s="69" t="str">
        <f t="shared" si="1"/>
        <v>K</v>
      </c>
      <c r="AJ26" s="69" t="str">
        <f t="shared" si="1"/>
        <v>R</v>
      </c>
    </row>
    <row r="27" spans="1:36" x14ac:dyDescent="0.25">
      <c r="A27" s="74" t="s">
        <v>74</v>
      </c>
      <c r="B27" s="69" t="s">
        <v>32</v>
      </c>
      <c r="C27" s="74" t="e">
        <f ca="1">AA6</f>
        <v>#NUM!</v>
      </c>
      <c r="D27" s="69" t="e">
        <f ca="1">INDEX(D$65:INDIRECT("D"&amp;$C$61),$C27)</f>
        <v>#NUM!</v>
      </c>
      <c r="E27" s="69" t="e">
        <f ca="1">INDEX(INDIRECT(("'MemberID'!$C$6:C"&amp;MemberID!$C$1)),MATCH(D27,INDIRECT(("'MemberID'!$G$6:G"&amp;MemberID!$C$1)),0))</f>
        <v>#NUM!</v>
      </c>
      <c r="F27" s="69" t="e">
        <f ca="1">INDEX(E$65:INDIRECT("E"&amp;$C$61),$C27)</f>
        <v>#NUM!</v>
      </c>
      <c r="G27" t="e">
        <f ca="1">INDEX(F$65:INDIRECT("F"&amp;$C$61),$C27)</f>
        <v>#NUM!</v>
      </c>
      <c r="H27" t="e">
        <f ca="1">INDEX(G$65:INDIRECT("G"&amp;$C$61),$C27)</f>
        <v>#NUM!</v>
      </c>
      <c r="I27" t="e">
        <f ca="1">INDEX(H$65:INDIRECT("H"&amp;$C$61),$C27)</f>
        <v>#NUM!</v>
      </c>
      <c r="J27" t="e">
        <f ca="1">INDEX(I$65:INDIRECT("I"&amp;$C$61),$C27)</f>
        <v>#NUM!</v>
      </c>
      <c r="K27" s="7" t="e">
        <f ca="1">INDEX(J$65:INDIRECT("J"&amp;$C$61),$C27)</f>
        <v>#NUM!</v>
      </c>
      <c r="L27" s="23" t="e">
        <f ca="1">INDEX(K$65:INDIRECT("K"&amp;$C$61),$C27)</f>
        <v>#NUM!</v>
      </c>
      <c r="M27" t="e">
        <f ca="1">INDEX(L$65:INDIRECT("L"&amp;$C$61),$C27)</f>
        <v>#NUM!</v>
      </c>
      <c r="N27" t="e">
        <f ca="1">INDEX(M$65:INDIRECT("M"&amp;$C$61),$C27)</f>
        <v>#NUM!</v>
      </c>
      <c r="O27" t="e">
        <f ca="1">INDEX(N$65:INDIRECT("N"&amp;$C$61),$C27)</f>
        <v>#NUM!</v>
      </c>
      <c r="P27" t="e">
        <f ca="1">INDEX(O$65:INDIRECT("O"&amp;$C$61),$C27)</f>
        <v>#NUM!</v>
      </c>
      <c r="Q27" s="104"/>
      <c r="R27" s="74" t="s">
        <v>74</v>
      </c>
      <c r="S27" s="69" t="s">
        <v>32</v>
      </c>
      <c r="T27" s="74" t="e">
        <f t="array" aca="1" ref="T27" ca="1">MATCH(IF(ISBLANK($AE$11),SMALL(IF($E$65:INDIRECT("E"&amp;$C$61)=$AE$10,INDIRECT(AJ27&amp;65):INDIRECT(AJ27&amp;$C$61)),$AH27),IF(ISBLANK($AE$10),SMALL(IF($D$65:INDIRECT("D"&amp;$C$61)=$AE$11,INDIRECT(AJ27&amp;65):INDIRECT(AJ27&amp;$C$61)),$AH27),SMALL(IF(($E$65:INDIRECT("E"&amp;$C$61)=$AE$10)*($D$65:INDIRECT("D"&amp;$C$61)=$AE$11),INDIRECT(AJ27&amp;65):INDIRECT(AJ27&amp;$C$61)),$AH27))),INDIRECT(AJ27&amp;65):INDIRECT(AJ27&amp;$C$61),0)</f>
        <v>#NUM!</v>
      </c>
      <c r="U27" s="69" t="e">
        <f ca="1">INDEX(D$65:INDIRECT("D"&amp;$C$61),$T27)</f>
        <v>#NUM!</v>
      </c>
      <c r="V27" s="69" t="e">
        <f ca="1">INDEX(INDIRECT(("'MemberID'!$C$6:C"&amp;MemberID!$C$1)),MATCH(U27,INDIRECT(("'MemberID'!$G$6:G"&amp;MemberID!$C$1)),0))</f>
        <v>#NUM!</v>
      </c>
      <c r="W27" s="69" t="e">
        <f ca="1">INDEX(E$65:INDIRECT("E"&amp;$C$61),$T27)</f>
        <v>#NUM!</v>
      </c>
      <c r="X27" t="e">
        <f ca="1">INDEX(F$65:INDIRECT("F"&amp;$C$61),$T27)</f>
        <v>#NUM!</v>
      </c>
      <c r="Y27" t="e">
        <f ca="1">INDEX(G$65:INDIRECT("G"&amp;$C$61),$T27)</f>
        <v>#NUM!</v>
      </c>
      <c r="Z27" t="e">
        <f ca="1">INDEX(H$65:INDIRECT("H"&amp;$C$61),$T27)</f>
        <v>#NUM!</v>
      </c>
      <c r="AA27" t="e">
        <f ca="1">INDEX(I$65:INDIRECT("I"&amp;$C$61),$T27)</f>
        <v>#NUM!</v>
      </c>
      <c r="AB27" t="e">
        <f ca="1">INDEX(J$65:INDIRECT("J"&amp;$C$61),$T27)</f>
        <v>#NUM!</v>
      </c>
      <c r="AC27" s="23" t="e">
        <f t="array" aca="1" ref="AC27" ca="1">IF(ISBLANK($AE$11),SMALL(IF($E$65:INDIRECT("E"&amp;$C$61)=$AE$10,K$65:INDIRECT(AC$13&amp;$C$61)),$AH27),IF(ISBLANK($AE$10),SMALL(IF($D$65:INDIRECT("D"&amp;$C$61)=$AE$11,K$65:INDIRECT(AC$13&amp;$C$61)),$AH27),SMALL(IF(($E$65:INDIRECT("E"&amp;$C$61)=$AE$10)*($D$65:INDIRECT("D"&amp;$C$61)=$AE$11),K$65:INDIRECT(AC$13&amp;$C$61)),$AH27)))</f>
        <v>#NUM!</v>
      </c>
      <c r="AD27" t="e">
        <f ca="1">INDEX(L$65:INDIRECT("L"&amp;$C$61),$T27)</f>
        <v>#NUM!</v>
      </c>
      <c r="AE27" t="e">
        <f ca="1">INDEX(M$65:INDIRECT("M"&amp;$C$61),$T27)</f>
        <v>#NUM!</v>
      </c>
      <c r="AF27" t="e">
        <f ca="1">INDEX(N$65:INDIRECT("N"&amp;$C$61),$T27)</f>
        <v>#NUM!</v>
      </c>
      <c r="AG27" t="e">
        <f ca="1">INDEX(O$65:INDIRECT("O"&amp;$C$61),$T27)</f>
        <v>#NUM!</v>
      </c>
      <c r="AH27" s="69">
        <v>3</v>
      </c>
      <c r="AI27" s="69" t="str">
        <f t="shared" si="1"/>
        <v>K</v>
      </c>
      <c r="AJ27" s="69" t="str">
        <f t="shared" si="1"/>
        <v>R</v>
      </c>
    </row>
    <row r="28" spans="1:36" x14ac:dyDescent="0.25">
      <c r="A28" s="5"/>
      <c r="B28" s="69"/>
      <c r="C28" s="69"/>
      <c r="D28" s="69"/>
      <c r="E28" s="69"/>
      <c r="F28" s="69"/>
      <c r="J28" s="7"/>
      <c r="K28" s="7"/>
      <c r="L28" s="7"/>
      <c r="M28" s="7"/>
      <c r="N28" s="7"/>
      <c r="O28" s="7"/>
      <c r="P28" s="7"/>
      <c r="Q28" s="104"/>
      <c r="R28" s="5"/>
      <c r="S28" s="69"/>
      <c r="T28" s="69"/>
      <c r="V28" s="69"/>
      <c r="W28" s="69"/>
      <c r="AH28" s="69"/>
      <c r="AI28" s="69"/>
      <c r="AJ28" s="69"/>
    </row>
    <row r="29" spans="1:36" x14ac:dyDescent="0.25">
      <c r="A29" s="73" t="s">
        <v>69</v>
      </c>
      <c r="B29" s="69" t="s">
        <v>33</v>
      </c>
      <c r="C29" s="73" t="e">
        <f ca="1">L3</f>
        <v>#N/A</v>
      </c>
      <c r="D29" s="69" t="e">
        <f ca="1">INDEX(D$65:INDIRECT("D"&amp;$C$61),$C29)</f>
        <v>#N/A</v>
      </c>
      <c r="E29" s="69" t="e">
        <f ca="1">INDEX(INDIRECT(("'MemberID'!$C$6:C"&amp;MemberID!$C$1)),MATCH(D29,INDIRECT(("'MemberID'!$G$6:G"&amp;MemberID!$C$1)),0))</f>
        <v>#N/A</v>
      </c>
      <c r="F29" s="69" t="e">
        <f ca="1">INDEX(E$65:INDIRECT("E"&amp;$C$61),$C29)</f>
        <v>#N/A</v>
      </c>
      <c r="G29" t="e">
        <f ca="1">INDEX(F$65:INDIRECT("F"&amp;$C$61),$C29)</f>
        <v>#N/A</v>
      </c>
      <c r="H29" t="e">
        <f ca="1">INDEX(G$65:INDIRECT("G"&amp;$C$61),$C29)</f>
        <v>#N/A</v>
      </c>
      <c r="I29" t="e">
        <f ca="1">INDEX(H$65:INDIRECT("H"&amp;$C$61),$C29)</f>
        <v>#N/A</v>
      </c>
      <c r="J29" t="e">
        <f ca="1">INDEX(I$65:INDIRECT("I"&amp;$C$61),$C29)</f>
        <v>#N/A</v>
      </c>
      <c r="K29" s="7" t="e">
        <f ca="1">INDEX(J$65:INDIRECT("J"&amp;$C$61),$C29)</f>
        <v>#N/A</v>
      </c>
      <c r="L29" t="e">
        <f ca="1">INDEX(K$65:INDIRECT("K"&amp;$C$61),$C29)</f>
        <v>#N/A</v>
      </c>
      <c r="M29" s="23" t="e">
        <f ca="1">INDEX(L$65:INDIRECT("L"&amp;$C$61),$C29)</f>
        <v>#N/A</v>
      </c>
      <c r="N29" t="e">
        <f ca="1">INDEX(M$65:INDIRECT("M"&amp;$C$61),$C29)</f>
        <v>#N/A</v>
      </c>
      <c r="O29" t="e">
        <f ca="1">INDEX(N$65:INDIRECT("N"&amp;$C$61),$C29)</f>
        <v>#N/A</v>
      </c>
      <c r="P29" t="e">
        <f ca="1">INDEX(O$65:INDIRECT("O"&amp;$C$61),$C29)</f>
        <v>#N/A</v>
      </c>
      <c r="Q29" s="104"/>
      <c r="R29" s="73" t="s">
        <v>69</v>
      </c>
      <c r="S29" s="69" t="s">
        <v>33</v>
      </c>
      <c r="T29" s="73" t="e">
        <f t="array" aca="1" ref="T29" ca="1">MATCH(IF(ISBLANK($AE$11),LARGE(IF($E$65:INDIRECT("E"&amp;$C$61)=$AE$10,INDIRECT(AJ29&amp;65):INDIRECT(AJ29&amp;$C$61)),$AH29),IF(ISBLANK($AE$10),LARGE(IF($D$65:INDIRECT("D"&amp;$C$61)=$AE$11,INDIRECT(AJ29&amp;65):INDIRECT(AJ29&amp;$C$61)),$AH29),LARGE(IF(($E$65:INDIRECT("E"&amp;$C$61)=$AE$10)*($D$65:INDIRECT("D"&amp;$C$61)=$AE$11),INDIRECT(AJ29&amp;65):INDIRECT(AJ29&amp;$C$61)),$AH29))),INDIRECT(AJ29&amp;65):INDIRECT(AJ29&amp;$C$61),0)</f>
        <v>#NUM!</v>
      </c>
      <c r="U29" s="69" t="e">
        <f ca="1">INDEX(D$65:INDIRECT("D"&amp;$C$61),$T29)</f>
        <v>#NUM!</v>
      </c>
      <c r="V29" s="69" t="e">
        <f ca="1">INDEX(INDIRECT(("'MemberID'!$C$6:C"&amp;MemberID!$C$1)),MATCH(U29,INDIRECT(("'MemberID'!$G$6:G"&amp;MemberID!$C$1)),0))</f>
        <v>#NUM!</v>
      </c>
      <c r="W29" s="69" t="e">
        <f ca="1">INDEX(E$65:INDIRECT("E"&amp;$C$61),$T29)</f>
        <v>#NUM!</v>
      </c>
      <c r="X29" t="e">
        <f ca="1">INDEX(F$65:INDIRECT("F"&amp;$C$61),$T29)</f>
        <v>#NUM!</v>
      </c>
      <c r="Y29" t="e">
        <f ca="1">INDEX(G$65:INDIRECT("G"&amp;$C$61),$T29)</f>
        <v>#NUM!</v>
      </c>
      <c r="Z29" t="e">
        <f ca="1">INDEX(H$65:INDIRECT("H"&amp;$C$61),$T29)</f>
        <v>#NUM!</v>
      </c>
      <c r="AA29" t="e">
        <f ca="1">INDEX(I$65:INDIRECT("I"&amp;$C$61),$T29)</f>
        <v>#NUM!</v>
      </c>
      <c r="AB29" t="e">
        <f ca="1">INDEX(J$65:INDIRECT("J"&amp;$C$61),$T29)</f>
        <v>#NUM!</v>
      </c>
      <c r="AC29" t="e">
        <f ca="1">INDEX(K$65:INDIRECT("K"&amp;$C$61),$T29)</f>
        <v>#NUM!</v>
      </c>
      <c r="AD29" s="23" t="e">
        <f t="array" aca="1" ref="AD29" ca="1">IF(ISBLANK($AE$11),LARGE(IF($E$65:INDIRECT("E"&amp;$C$61)=$AE$10,L$65:INDIRECT(AD$13&amp;$C$61)),$AH29),IF(ISBLANK($AE$10),LARGE(IF($D$65:INDIRECT("D"&amp;$C$61)=$AE$11,L$65:INDIRECT(AD$13&amp;$C$61)),$AH29),LARGE(IF(($E$65:INDIRECT("E"&amp;$C$61)=$AE$10)*($D$65:INDIRECT("D"&amp;$C$61)=$AE$11),L$65:INDIRECT(AD$13&amp;$C$61)),$AH29)))</f>
        <v>#NUM!</v>
      </c>
      <c r="AE29" t="e">
        <f ca="1">INDEX(M$65:INDIRECT("M"&amp;$C$61),$T29)</f>
        <v>#NUM!</v>
      </c>
      <c r="AF29" t="e">
        <f ca="1">INDEX(N$65:INDIRECT("N"&amp;$C$61),$T29)</f>
        <v>#NUM!</v>
      </c>
      <c r="AG29" t="e">
        <f ca="1">INDEX(O$65:INDIRECT("O"&amp;$C$61),$T29)</f>
        <v>#NUM!</v>
      </c>
      <c r="AH29" s="69">
        <v>1</v>
      </c>
      <c r="AI29" s="69" t="s">
        <v>152</v>
      </c>
      <c r="AJ29" s="69" t="s">
        <v>158</v>
      </c>
    </row>
    <row r="30" spans="1:36" x14ac:dyDescent="0.25">
      <c r="A30" s="73" t="s">
        <v>70</v>
      </c>
      <c r="B30" s="69" t="s">
        <v>33</v>
      </c>
      <c r="C30" s="73" t="e">
        <f ca="1">T3</f>
        <v>#NUM!</v>
      </c>
      <c r="D30" s="69" t="e">
        <f ca="1">INDEX(D$65:INDIRECT("D"&amp;$C$61),$C30)</f>
        <v>#NUM!</v>
      </c>
      <c r="E30" s="69" t="e">
        <f ca="1">INDEX(INDIRECT(("'MemberID'!$C$6:C"&amp;MemberID!$C$1)),MATCH(D30,INDIRECT(("'MemberID'!$G$6:G"&amp;MemberID!$C$1)),0))</f>
        <v>#NUM!</v>
      </c>
      <c r="F30" s="69" t="e">
        <f ca="1">INDEX(E$65:INDIRECT("E"&amp;$C$61),$C30)</f>
        <v>#NUM!</v>
      </c>
      <c r="G30" t="e">
        <f ca="1">INDEX(F$65:INDIRECT("F"&amp;$C$61),$C30)</f>
        <v>#NUM!</v>
      </c>
      <c r="H30" t="e">
        <f ca="1">INDEX(G$65:INDIRECT("G"&amp;$C$61),$C30)</f>
        <v>#NUM!</v>
      </c>
      <c r="I30" t="e">
        <f ca="1">INDEX(H$65:INDIRECT("H"&amp;$C$61),$C30)</f>
        <v>#NUM!</v>
      </c>
      <c r="J30" t="e">
        <f ca="1">INDEX(I$65:INDIRECT("I"&amp;$C$61),$C30)</f>
        <v>#NUM!</v>
      </c>
      <c r="K30" s="7" t="e">
        <f ca="1">INDEX(J$65:INDIRECT("J"&amp;$C$61),$C30)</f>
        <v>#NUM!</v>
      </c>
      <c r="L30" t="e">
        <f ca="1">INDEX(K$65:INDIRECT("K"&amp;$C$61),$C30)</f>
        <v>#NUM!</v>
      </c>
      <c r="M30" s="23" t="e">
        <f ca="1">INDEX(L$65:INDIRECT("L"&amp;$C$61),$C30)</f>
        <v>#NUM!</v>
      </c>
      <c r="N30" t="e">
        <f ca="1">INDEX(M$65:INDIRECT("M"&amp;$C$61),$C30)</f>
        <v>#NUM!</v>
      </c>
      <c r="O30" t="e">
        <f ca="1">INDEX(N$65:INDIRECT("N"&amp;$C$61),$C30)</f>
        <v>#NUM!</v>
      </c>
      <c r="P30" t="e">
        <f ca="1">INDEX(O$65:INDIRECT("O"&amp;$C$61),$C30)</f>
        <v>#NUM!</v>
      </c>
      <c r="Q30" s="104"/>
      <c r="R30" s="73" t="s">
        <v>70</v>
      </c>
      <c r="S30" s="69" t="s">
        <v>33</v>
      </c>
      <c r="T30" s="73" t="e">
        <f t="array" aca="1" ref="T30" ca="1">MATCH(IF(ISBLANK($AE$11),LARGE(IF($E$65:INDIRECT("E"&amp;$C$61)=$AE$10,INDIRECT(AJ30&amp;65):INDIRECT(AJ30&amp;$C$61)),$AH30),IF(ISBLANK($AE$10),LARGE(IF($D$65:INDIRECT("D"&amp;$C$61)=$AE$11,INDIRECT(AJ30&amp;65):INDIRECT(AJ30&amp;$C$61)),$AH30),LARGE(IF(($E$65:INDIRECT("E"&amp;$C$61)=$AE$10)*($D$65:INDIRECT("D"&amp;$C$61)=$AE$11),INDIRECT(AJ30&amp;65):INDIRECT(AJ30&amp;$C$61)),$AH30))),INDIRECT(AJ30&amp;65):INDIRECT(AJ30&amp;$C$61),0)</f>
        <v>#NUM!</v>
      </c>
      <c r="U30" s="69" t="e">
        <f ca="1">INDEX(D$65:INDIRECT("D"&amp;$C$61),$T30)</f>
        <v>#NUM!</v>
      </c>
      <c r="V30" s="69" t="e">
        <f ca="1">INDEX(INDIRECT(("'MemberID'!$C$6:C"&amp;MemberID!$C$1)),MATCH(U30,INDIRECT(("'MemberID'!$G$6:G"&amp;MemberID!$C$1)),0))</f>
        <v>#NUM!</v>
      </c>
      <c r="W30" s="69" t="e">
        <f ca="1">INDEX(E$65:INDIRECT("E"&amp;$C$61),$T30)</f>
        <v>#NUM!</v>
      </c>
      <c r="X30" t="e">
        <f ca="1">INDEX(F$65:INDIRECT("F"&amp;$C$61),$T30)</f>
        <v>#NUM!</v>
      </c>
      <c r="Y30" t="e">
        <f ca="1">INDEX(G$65:INDIRECT("G"&amp;$C$61),$T30)</f>
        <v>#NUM!</v>
      </c>
      <c r="Z30" t="e">
        <f ca="1">INDEX(H$65:INDIRECT("H"&amp;$C$61),$T30)</f>
        <v>#NUM!</v>
      </c>
      <c r="AA30" t="e">
        <f ca="1">INDEX(I$65:INDIRECT("I"&amp;$C$61),$T30)</f>
        <v>#NUM!</v>
      </c>
      <c r="AB30" t="e">
        <f ca="1">INDEX(J$65:INDIRECT("J"&amp;$C$61),$T30)</f>
        <v>#NUM!</v>
      </c>
      <c r="AC30" t="e">
        <f ca="1">INDEX(K$65:INDIRECT("K"&amp;$C$61),$T30)</f>
        <v>#NUM!</v>
      </c>
      <c r="AD30" s="23" t="e">
        <f t="array" aca="1" ref="AD30" ca="1">IF(ISBLANK($AE$11),LARGE(IF($E$65:INDIRECT("E"&amp;$C$61)=$AE$10,L$65:INDIRECT(AD$13&amp;$C$61)),$AH30),IF(ISBLANK($AE$10),LARGE(IF($D$65:INDIRECT("D"&amp;$C$61)=$AE$11,L$65:INDIRECT(AD$13&amp;$C$61)),$AH30),LARGE(IF(($E$65:INDIRECT("E"&amp;$C$61)=$AE$10)*($D$65:INDIRECT("D"&amp;$C$61)=$AE$11),L$65:INDIRECT(AD$13&amp;$C$61)),$AH30)))</f>
        <v>#NUM!</v>
      </c>
      <c r="AE30" t="e">
        <f ca="1">INDEX(M$65:INDIRECT("M"&amp;$C$61),$T30)</f>
        <v>#NUM!</v>
      </c>
      <c r="AF30" t="e">
        <f ca="1">INDEX(N$65:INDIRECT("N"&amp;$C$61),$T30)</f>
        <v>#NUM!</v>
      </c>
      <c r="AG30" t="e">
        <f ca="1">INDEX(O$65:INDIRECT("O"&amp;$C$61),$T30)</f>
        <v>#NUM!</v>
      </c>
      <c r="AH30" s="69">
        <v>2</v>
      </c>
      <c r="AI30" s="69" t="str">
        <f>AI29</f>
        <v>L</v>
      </c>
      <c r="AJ30" s="69" t="str">
        <f>AJ29</f>
        <v>S</v>
      </c>
    </row>
    <row r="31" spans="1:36" x14ac:dyDescent="0.25">
      <c r="A31" s="73" t="s">
        <v>71</v>
      </c>
      <c r="B31" s="69" t="s">
        <v>33</v>
      </c>
      <c r="C31" s="73" t="e">
        <f ca="1">AB3</f>
        <v>#NUM!</v>
      </c>
      <c r="D31" s="69" t="e">
        <f ca="1">INDEX(D$65:INDIRECT("D"&amp;$C$61),$C31)</f>
        <v>#NUM!</v>
      </c>
      <c r="E31" s="69" t="e">
        <f ca="1">INDEX(INDIRECT(("'MemberID'!$C$6:C"&amp;MemberID!$C$1)),MATCH(D31,INDIRECT(("'MemberID'!$G$6:G"&amp;MemberID!$C$1)),0))</f>
        <v>#NUM!</v>
      </c>
      <c r="F31" s="69" t="e">
        <f ca="1">INDEX(E$65:INDIRECT("E"&amp;$C$61),$C31)</f>
        <v>#NUM!</v>
      </c>
      <c r="G31" t="e">
        <f ca="1">INDEX(F$65:INDIRECT("F"&amp;$C$61),$C31)</f>
        <v>#NUM!</v>
      </c>
      <c r="H31" t="e">
        <f ca="1">INDEX(G$65:INDIRECT("G"&amp;$C$61),$C31)</f>
        <v>#NUM!</v>
      </c>
      <c r="I31" t="e">
        <f ca="1">INDEX(H$65:INDIRECT("H"&amp;$C$61),$C31)</f>
        <v>#NUM!</v>
      </c>
      <c r="J31" t="e">
        <f ca="1">INDEX(I$65:INDIRECT("I"&amp;$C$61),$C31)</f>
        <v>#NUM!</v>
      </c>
      <c r="K31" s="7" t="e">
        <f ca="1">INDEX(J$65:INDIRECT("J"&amp;$C$61),$C31)</f>
        <v>#NUM!</v>
      </c>
      <c r="L31" t="e">
        <f ca="1">INDEX(K$65:INDIRECT("K"&amp;$C$61),$C31)</f>
        <v>#NUM!</v>
      </c>
      <c r="M31" s="23" t="e">
        <f ca="1">INDEX(L$65:INDIRECT("L"&amp;$C$61),$C31)</f>
        <v>#NUM!</v>
      </c>
      <c r="N31" t="e">
        <f ca="1">INDEX(M$65:INDIRECT("M"&amp;$C$61),$C31)</f>
        <v>#NUM!</v>
      </c>
      <c r="O31" t="e">
        <f ca="1">INDEX(N$65:INDIRECT("N"&amp;$C$61),$C31)</f>
        <v>#NUM!</v>
      </c>
      <c r="P31" t="e">
        <f ca="1">INDEX(O$65:INDIRECT("O"&amp;$C$61),$C31)</f>
        <v>#NUM!</v>
      </c>
      <c r="Q31" s="104"/>
      <c r="R31" s="73" t="s">
        <v>71</v>
      </c>
      <c r="S31" s="69" t="s">
        <v>33</v>
      </c>
      <c r="T31" s="73" t="e">
        <f t="array" aca="1" ref="T31" ca="1">MATCH(IF(ISBLANK($AE$11),LARGE(IF($E$65:INDIRECT("E"&amp;$C$61)=$AE$10,INDIRECT(AJ31&amp;65):INDIRECT(AJ31&amp;$C$61)),$AH31),IF(ISBLANK($AE$10),LARGE(IF($D$65:INDIRECT("D"&amp;$C$61)=$AE$11,INDIRECT(AJ31&amp;65):INDIRECT(AJ31&amp;$C$61)),$AH31),LARGE(IF(($E$65:INDIRECT("E"&amp;$C$61)=$AE$10)*($D$65:INDIRECT("D"&amp;$C$61)=$AE$11),INDIRECT(AJ31&amp;65):INDIRECT(AJ31&amp;$C$61)),$AH31))),INDIRECT(AJ31&amp;65):INDIRECT(AJ31&amp;$C$61),0)</f>
        <v>#NUM!</v>
      </c>
      <c r="U31" s="69" t="e">
        <f ca="1">INDEX(D$65:INDIRECT("D"&amp;$C$61),$T31)</f>
        <v>#NUM!</v>
      </c>
      <c r="V31" s="69" t="e">
        <f ca="1">INDEX(INDIRECT(("'MemberID'!$C$6:C"&amp;MemberID!$C$1)),MATCH(U31,INDIRECT(("'MemberID'!$G$6:G"&amp;MemberID!$C$1)),0))</f>
        <v>#NUM!</v>
      </c>
      <c r="W31" s="69" t="e">
        <f ca="1">INDEX(E$65:INDIRECT("E"&amp;$C$61),$T31)</f>
        <v>#NUM!</v>
      </c>
      <c r="X31" t="e">
        <f ca="1">INDEX(F$65:INDIRECT("F"&amp;$C$61),$T31)</f>
        <v>#NUM!</v>
      </c>
      <c r="Y31" t="e">
        <f ca="1">INDEX(G$65:INDIRECT("G"&amp;$C$61),$T31)</f>
        <v>#NUM!</v>
      </c>
      <c r="Z31" t="e">
        <f ca="1">INDEX(H$65:INDIRECT("H"&amp;$C$61),$T31)</f>
        <v>#NUM!</v>
      </c>
      <c r="AA31" t="e">
        <f ca="1">INDEX(I$65:INDIRECT("I"&amp;$C$61),$T31)</f>
        <v>#NUM!</v>
      </c>
      <c r="AB31" t="e">
        <f ca="1">INDEX(J$65:INDIRECT("J"&amp;$C$61),$T31)</f>
        <v>#NUM!</v>
      </c>
      <c r="AC31" t="e">
        <f ca="1">INDEX(K$65:INDIRECT("K"&amp;$C$61),$T31)</f>
        <v>#NUM!</v>
      </c>
      <c r="AD31" s="23" t="e">
        <f t="array" aca="1" ref="AD31" ca="1">IF(ISBLANK($AE$11),LARGE(IF($E$65:INDIRECT("E"&amp;$C$61)=$AE$10,L$65:INDIRECT(AD$13&amp;$C$61)),$AH31),IF(ISBLANK($AE$10),LARGE(IF($D$65:INDIRECT("D"&amp;$C$61)=$AE$11,L$65:INDIRECT(AD$13&amp;$C$61)),$AH31),LARGE(IF(($E$65:INDIRECT("E"&amp;$C$61)=$AE$10)*($D$65:INDIRECT("D"&amp;$C$61)=$AE$11),L$65:INDIRECT(AD$13&amp;$C$61)),$AH31)))</f>
        <v>#NUM!</v>
      </c>
      <c r="AE31" t="e">
        <f ca="1">INDEX(M$65:INDIRECT("M"&amp;$C$61),$T31)</f>
        <v>#NUM!</v>
      </c>
      <c r="AF31" t="e">
        <f ca="1">INDEX(N$65:INDIRECT("N"&amp;$C$61),$T31)</f>
        <v>#NUM!</v>
      </c>
      <c r="AG31" t="e">
        <f ca="1">INDEX(O$65:INDIRECT("O"&amp;$C$61),$T31)</f>
        <v>#NUM!</v>
      </c>
      <c r="AH31" s="69">
        <v>3</v>
      </c>
      <c r="AI31" s="69" t="str">
        <f t="shared" ref="AI31:AJ34" si="2">AI30</f>
        <v>L</v>
      </c>
      <c r="AJ31" s="69" t="str">
        <f t="shared" si="2"/>
        <v>S</v>
      </c>
    </row>
    <row r="32" spans="1:36" x14ac:dyDescent="0.25">
      <c r="A32" s="74" t="s">
        <v>72</v>
      </c>
      <c r="B32" s="69" t="s">
        <v>33</v>
      </c>
      <c r="C32" s="74" t="e">
        <f ca="1">L6</f>
        <v>#N/A</v>
      </c>
      <c r="D32" s="69" t="e">
        <f ca="1">INDEX(D$65:INDIRECT("D"&amp;$C$61),$C32)</f>
        <v>#N/A</v>
      </c>
      <c r="E32" s="69" t="e">
        <f ca="1">INDEX(INDIRECT(("'MemberID'!$C$6:C"&amp;MemberID!$C$1)),MATCH(D32,INDIRECT(("'MemberID'!$G$6:G"&amp;MemberID!$C$1)),0))</f>
        <v>#N/A</v>
      </c>
      <c r="F32" s="69" t="e">
        <f ca="1">INDEX(E$65:INDIRECT("E"&amp;$C$61),$C32)</f>
        <v>#N/A</v>
      </c>
      <c r="G32" t="e">
        <f ca="1">INDEX(F$65:INDIRECT("F"&amp;$C$61),$C32)</f>
        <v>#N/A</v>
      </c>
      <c r="H32" t="e">
        <f ca="1">INDEX(G$65:INDIRECT("G"&amp;$C$61),$C32)</f>
        <v>#N/A</v>
      </c>
      <c r="I32" t="e">
        <f ca="1">INDEX(H$65:INDIRECT("H"&amp;$C$61),$C32)</f>
        <v>#N/A</v>
      </c>
      <c r="J32" t="e">
        <f ca="1">INDEX(I$65:INDIRECT("I"&amp;$C$61),$C32)</f>
        <v>#N/A</v>
      </c>
      <c r="K32" s="7" t="e">
        <f ca="1">INDEX(J$65:INDIRECT("J"&amp;$C$61),$C32)</f>
        <v>#N/A</v>
      </c>
      <c r="L32" t="e">
        <f ca="1">INDEX(K$65:INDIRECT("K"&amp;$C$61),$C32)</f>
        <v>#N/A</v>
      </c>
      <c r="M32" s="23" t="e">
        <f ca="1">INDEX(L$65:INDIRECT("L"&amp;$C$61),$C32)</f>
        <v>#N/A</v>
      </c>
      <c r="N32" t="e">
        <f ca="1">INDEX(M$65:INDIRECT("M"&amp;$C$61),$C32)</f>
        <v>#N/A</v>
      </c>
      <c r="O32" t="e">
        <f ca="1">INDEX(N$65:INDIRECT("N"&amp;$C$61),$C32)</f>
        <v>#N/A</v>
      </c>
      <c r="P32" t="e">
        <f ca="1">INDEX(O$65:INDIRECT("O"&amp;$C$61),$C32)</f>
        <v>#N/A</v>
      </c>
      <c r="Q32" s="104"/>
      <c r="R32" s="74" t="s">
        <v>72</v>
      </c>
      <c r="S32" s="69" t="s">
        <v>33</v>
      </c>
      <c r="T32" s="74" t="e">
        <f t="array" aca="1" ref="T32" ca="1">MATCH(IF(ISBLANK($AE$11),SMALL(IF($E$65:INDIRECT("E"&amp;$C$61)=$AE$10,INDIRECT(AJ32&amp;65):INDIRECT(AJ32&amp;$C$61)),$AH32),IF(ISBLANK($AE$10),SMALL(IF($D$65:INDIRECT("D"&amp;$C$61)=$AE$11,INDIRECT(AJ32&amp;65):INDIRECT(AJ32&amp;$C$61)),$AH32),SMALL(IF(($E$65:INDIRECT("E"&amp;$C$61)=$AE$10)*($D$65:INDIRECT("D"&amp;$C$61)=$AE$11),INDIRECT(AJ32&amp;65):INDIRECT(AJ32&amp;$C$61)),$AH32))),INDIRECT(AJ32&amp;65):INDIRECT(AJ32&amp;$C$61),0)</f>
        <v>#NUM!</v>
      </c>
      <c r="U32" s="69" t="e">
        <f ca="1">INDEX(D$65:INDIRECT("D"&amp;$C$61),$T32)</f>
        <v>#NUM!</v>
      </c>
      <c r="V32" s="69" t="e">
        <f ca="1">INDEX(INDIRECT(("'MemberID'!$C$6:C"&amp;MemberID!$C$1)),MATCH(U32,INDIRECT(("'MemberID'!$G$6:G"&amp;MemberID!$C$1)),0))</f>
        <v>#NUM!</v>
      </c>
      <c r="W32" s="69" t="e">
        <f ca="1">INDEX(E$65:INDIRECT("E"&amp;$C$61),$T32)</f>
        <v>#NUM!</v>
      </c>
      <c r="X32" t="e">
        <f ca="1">INDEX(F$65:INDIRECT("F"&amp;$C$61),$T32)</f>
        <v>#NUM!</v>
      </c>
      <c r="Y32" t="e">
        <f ca="1">INDEX(G$65:INDIRECT("G"&amp;$C$61),$T32)</f>
        <v>#NUM!</v>
      </c>
      <c r="Z32" t="e">
        <f ca="1">INDEX(H$65:INDIRECT("H"&amp;$C$61),$T32)</f>
        <v>#NUM!</v>
      </c>
      <c r="AA32" t="e">
        <f ca="1">INDEX(I$65:INDIRECT("I"&amp;$C$61),$T32)</f>
        <v>#NUM!</v>
      </c>
      <c r="AB32" t="e">
        <f ca="1">INDEX(J$65:INDIRECT("J"&amp;$C$61),$T32)</f>
        <v>#NUM!</v>
      </c>
      <c r="AC32" t="e">
        <f ca="1">INDEX(K$65:INDIRECT("K"&amp;$C$61),$T32)</f>
        <v>#NUM!</v>
      </c>
      <c r="AD32" s="23" t="e">
        <f t="array" aca="1" ref="AD32" ca="1">IF(ISBLANK($AE$11),SMALL(IF($E$65:INDIRECT("E"&amp;$C$61)=$AE$10,L$65:INDIRECT(AD$13&amp;$C$61)),$AH32),IF(ISBLANK($AE$10),SMALL(IF($D$65:INDIRECT("D"&amp;$C$61)=$AE$11,L$65:INDIRECT(AD$13&amp;$C$61)),$AH32),SMALL(IF(($E$65:INDIRECT("E"&amp;$C$61)=$AE$10)*($D$65:INDIRECT("D"&amp;$C$61)=$AE$11),L$65:INDIRECT(AD$13&amp;$C$61)),$AH32)))</f>
        <v>#NUM!</v>
      </c>
      <c r="AE32" t="e">
        <f ca="1">INDEX(M$65:INDIRECT("M"&amp;$C$61),$T32)</f>
        <v>#NUM!</v>
      </c>
      <c r="AF32" t="e">
        <f ca="1">INDEX(N$65:INDIRECT("N"&amp;$C$61),$T32)</f>
        <v>#NUM!</v>
      </c>
      <c r="AG32" t="e">
        <f ca="1">INDEX(O$65:INDIRECT("O"&amp;$C$61),$T32)</f>
        <v>#NUM!</v>
      </c>
      <c r="AH32" s="69">
        <v>1</v>
      </c>
      <c r="AI32" s="69" t="str">
        <f t="shared" si="2"/>
        <v>L</v>
      </c>
      <c r="AJ32" s="69" t="str">
        <f t="shared" si="2"/>
        <v>S</v>
      </c>
    </row>
    <row r="33" spans="1:52" x14ac:dyDescent="0.25">
      <c r="A33" s="74" t="s">
        <v>73</v>
      </c>
      <c r="B33" s="69" t="s">
        <v>33</v>
      </c>
      <c r="C33" s="74" t="e">
        <f ca="1">T6</f>
        <v>#NUM!</v>
      </c>
      <c r="D33" s="69" t="e">
        <f ca="1">INDEX(D$65:INDIRECT("D"&amp;$C$61),$C33)</f>
        <v>#NUM!</v>
      </c>
      <c r="E33" s="69" t="e">
        <f ca="1">INDEX(INDIRECT(("'MemberID'!$C$6:C"&amp;MemberID!$C$1)),MATCH(D33,INDIRECT(("'MemberID'!$G$6:G"&amp;MemberID!$C$1)),0))</f>
        <v>#NUM!</v>
      </c>
      <c r="F33" s="69" t="e">
        <f ca="1">INDEX(E$65:INDIRECT("E"&amp;$C$61),$C33)</f>
        <v>#NUM!</v>
      </c>
      <c r="G33" t="e">
        <f ca="1">INDEX(F$65:INDIRECT("F"&amp;$C$61),$C33)</f>
        <v>#NUM!</v>
      </c>
      <c r="H33" t="e">
        <f ca="1">INDEX(G$65:INDIRECT("G"&amp;$C$61),$C33)</f>
        <v>#NUM!</v>
      </c>
      <c r="I33" t="e">
        <f ca="1">INDEX(H$65:INDIRECT("H"&amp;$C$61),$C33)</f>
        <v>#NUM!</v>
      </c>
      <c r="J33" t="e">
        <f ca="1">INDEX(I$65:INDIRECT("I"&amp;$C$61),$C33)</f>
        <v>#NUM!</v>
      </c>
      <c r="K33" s="7" t="e">
        <f ca="1">INDEX(J$65:INDIRECT("J"&amp;$C$61),$C33)</f>
        <v>#NUM!</v>
      </c>
      <c r="L33" t="e">
        <f ca="1">INDEX(K$65:INDIRECT("K"&amp;$C$61),$C33)</f>
        <v>#NUM!</v>
      </c>
      <c r="M33" s="23" t="e">
        <f ca="1">INDEX(L$65:INDIRECT("L"&amp;$C$61),$C33)</f>
        <v>#NUM!</v>
      </c>
      <c r="N33" t="e">
        <f ca="1">INDEX(M$65:INDIRECT("M"&amp;$C$61),$C33)</f>
        <v>#NUM!</v>
      </c>
      <c r="O33" t="e">
        <f ca="1">INDEX(N$65:INDIRECT("N"&amp;$C$61),$C33)</f>
        <v>#NUM!</v>
      </c>
      <c r="P33" t="e">
        <f ca="1">INDEX(O$65:INDIRECT("O"&amp;$C$61),$C33)</f>
        <v>#NUM!</v>
      </c>
      <c r="Q33" s="104"/>
      <c r="R33" s="74" t="s">
        <v>73</v>
      </c>
      <c r="S33" s="69" t="s">
        <v>33</v>
      </c>
      <c r="T33" s="74" t="e">
        <f t="array" aca="1" ref="T33" ca="1">MATCH(IF(ISBLANK($AE$11),SMALL(IF($E$65:INDIRECT("E"&amp;$C$61)=$AE$10,INDIRECT(AJ33&amp;65):INDIRECT(AJ33&amp;$C$61)),$AH33),IF(ISBLANK($AE$10),SMALL(IF($D$65:INDIRECT("D"&amp;$C$61)=$AE$11,INDIRECT(AJ33&amp;65):INDIRECT(AJ33&amp;$C$61)),$AH33),SMALL(IF(($E$65:INDIRECT("E"&amp;$C$61)=$AE$10)*($D$65:INDIRECT("D"&amp;$C$61)=$AE$11),INDIRECT(AJ33&amp;65):INDIRECT(AJ33&amp;$C$61)),$AH33))),INDIRECT(AJ33&amp;65):INDIRECT(AJ33&amp;$C$61),0)</f>
        <v>#NUM!</v>
      </c>
      <c r="U33" s="69" t="e">
        <f ca="1">INDEX(D$65:INDIRECT("D"&amp;$C$61),$T33)</f>
        <v>#NUM!</v>
      </c>
      <c r="V33" s="69" t="e">
        <f ca="1">INDEX(INDIRECT(("'MemberID'!$C$6:C"&amp;MemberID!$C$1)),MATCH(U33,INDIRECT(("'MemberID'!$G$6:G"&amp;MemberID!$C$1)),0))</f>
        <v>#NUM!</v>
      </c>
      <c r="W33" s="69" t="e">
        <f ca="1">INDEX(E$65:INDIRECT("E"&amp;$C$61),$T33)</f>
        <v>#NUM!</v>
      </c>
      <c r="X33" t="e">
        <f ca="1">INDEX(F$65:INDIRECT("F"&amp;$C$61),$T33)</f>
        <v>#NUM!</v>
      </c>
      <c r="Y33" t="e">
        <f ca="1">INDEX(G$65:INDIRECT("G"&amp;$C$61),$T33)</f>
        <v>#NUM!</v>
      </c>
      <c r="Z33" t="e">
        <f ca="1">INDEX(H$65:INDIRECT("H"&amp;$C$61),$T33)</f>
        <v>#NUM!</v>
      </c>
      <c r="AA33" t="e">
        <f ca="1">INDEX(I$65:INDIRECT("I"&amp;$C$61),$T33)</f>
        <v>#NUM!</v>
      </c>
      <c r="AB33" t="e">
        <f ca="1">INDEX(J$65:INDIRECT("J"&amp;$C$61),$T33)</f>
        <v>#NUM!</v>
      </c>
      <c r="AC33" t="e">
        <f ca="1">INDEX(K$65:INDIRECT("K"&amp;$C$61),$T33)</f>
        <v>#NUM!</v>
      </c>
      <c r="AD33" s="23" t="e">
        <f t="array" aca="1" ref="AD33" ca="1">IF(ISBLANK($AE$11),SMALL(IF($E$65:INDIRECT("E"&amp;$C$61)=$AE$10,L$65:INDIRECT(AD$13&amp;$C$61)),$AH33),IF(ISBLANK($AE$10),SMALL(IF($D$65:INDIRECT("D"&amp;$C$61)=$AE$11,L$65:INDIRECT(AD$13&amp;$C$61)),$AH33),SMALL(IF(($E$65:INDIRECT("E"&amp;$C$61)=$AE$10)*($D$65:INDIRECT("D"&amp;$C$61)=$AE$11),L$65:INDIRECT(AD$13&amp;$C$61)),$AH33)))</f>
        <v>#NUM!</v>
      </c>
      <c r="AE33" t="e">
        <f ca="1">INDEX(M$65:INDIRECT("M"&amp;$C$61),$T33)</f>
        <v>#NUM!</v>
      </c>
      <c r="AF33" t="e">
        <f ca="1">INDEX(N$65:INDIRECT("N"&amp;$C$61),$T33)</f>
        <v>#NUM!</v>
      </c>
      <c r="AG33" t="e">
        <f ca="1">INDEX(O$65:INDIRECT("O"&amp;$C$61),$T33)</f>
        <v>#NUM!</v>
      </c>
      <c r="AH33" s="69">
        <v>2</v>
      </c>
      <c r="AI33" s="69" t="str">
        <f t="shared" si="2"/>
        <v>L</v>
      </c>
      <c r="AJ33" s="69" t="str">
        <f t="shared" si="2"/>
        <v>S</v>
      </c>
    </row>
    <row r="34" spans="1:52" x14ac:dyDescent="0.25">
      <c r="A34" s="74" t="s">
        <v>74</v>
      </c>
      <c r="B34" s="69" t="s">
        <v>33</v>
      </c>
      <c r="C34" s="74" t="e">
        <f ca="1">AB6</f>
        <v>#NUM!</v>
      </c>
      <c r="D34" s="69" t="e">
        <f ca="1">INDEX(D$65:INDIRECT("D"&amp;$C$61),$C34)</f>
        <v>#NUM!</v>
      </c>
      <c r="E34" s="69" t="e">
        <f ca="1">INDEX(INDIRECT(("'MemberID'!$C$6:C"&amp;MemberID!$C$1)),MATCH(D34,INDIRECT(("'MemberID'!$G$6:G"&amp;MemberID!$C$1)),0))</f>
        <v>#NUM!</v>
      </c>
      <c r="F34" s="69" t="e">
        <f ca="1">INDEX(E$65:INDIRECT("E"&amp;$C$61),$C34)</f>
        <v>#NUM!</v>
      </c>
      <c r="G34" t="e">
        <f ca="1">INDEX(F$65:INDIRECT("F"&amp;$C$61),$C34)</f>
        <v>#NUM!</v>
      </c>
      <c r="H34" t="e">
        <f ca="1">INDEX(G$65:INDIRECT("G"&amp;$C$61),$C34)</f>
        <v>#NUM!</v>
      </c>
      <c r="I34" t="e">
        <f ca="1">INDEX(H$65:INDIRECT("H"&amp;$C$61),$C34)</f>
        <v>#NUM!</v>
      </c>
      <c r="J34" t="e">
        <f ca="1">INDEX(I$65:INDIRECT("I"&amp;$C$61),$C34)</f>
        <v>#NUM!</v>
      </c>
      <c r="K34" s="7" t="e">
        <f ca="1">INDEX(J$65:INDIRECT("J"&amp;$C$61),$C34)</f>
        <v>#NUM!</v>
      </c>
      <c r="L34" t="e">
        <f ca="1">INDEX(K$65:INDIRECT("K"&amp;$C$61),$C34)</f>
        <v>#NUM!</v>
      </c>
      <c r="M34" s="23" t="e">
        <f ca="1">INDEX(L$65:INDIRECT("L"&amp;$C$61),$C34)</f>
        <v>#NUM!</v>
      </c>
      <c r="N34" t="e">
        <f ca="1">INDEX(M$65:INDIRECT("M"&amp;$C$61),$C34)</f>
        <v>#NUM!</v>
      </c>
      <c r="O34" t="e">
        <f ca="1">INDEX(N$65:INDIRECT("N"&amp;$C$61),$C34)</f>
        <v>#NUM!</v>
      </c>
      <c r="P34" t="e">
        <f ca="1">INDEX(O$65:INDIRECT("O"&amp;$C$61),$C34)</f>
        <v>#NUM!</v>
      </c>
      <c r="Q34" s="104"/>
      <c r="R34" s="74" t="s">
        <v>74</v>
      </c>
      <c r="S34" s="69" t="s">
        <v>33</v>
      </c>
      <c r="T34" s="74" t="e">
        <f t="array" aca="1" ref="T34" ca="1">MATCH(IF(ISBLANK($AE$11),SMALL(IF($E$65:INDIRECT("E"&amp;$C$61)=$AE$10,INDIRECT(AJ34&amp;65):INDIRECT(AJ34&amp;$C$61)),$AH34),IF(ISBLANK($AE$10),SMALL(IF($D$65:INDIRECT("D"&amp;$C$61)=$AE$11,INDIRECT(AJ34&amp;65):INDIRECT(AJ34&amp;$C$61)),$AH34),SMALL(IF(($E$65:INDIRECT("E"&amp;$C$61)=$AE$10)*($D$65:INDIRECT("D"&amp;$C$61)=$AE$11),INDIRECT(AJ34&amp;65):INDIRECT(AJ34&amp;$C$61)),$AH34))),INDIRECT(AJ34&amp;65):INDIRECT(AJ34&amp;$C$61),0)</f>
        <v>#NUM!</v>
      </c>
      <c r="U34" s="69" t="e">
        <f ca="1">INDEX(D$65:INDIRECT("D"&amp;$C$61),$T34)</f>
        <v>#NUM!</v>
      </c>
      <c r="V34" s="69" t="e">
        <f ca="1">INDEX(INDIRECT(("'MemberID'!$C$6:C"&amp;MemberID!$C$1)),MATCH(U34,INDIRECT(("'MemberID'!$G$6:G"&amp;MemberID!$C$1)),0))</f>
        <v>#NUM!</v>
      </c>
      <c r="W34" s="69" t="e">
        <f ca="1">INDEX(E$65:INDIRECT("E"&amp;$C$61),$T34)</f>
        <v>#NUM!</v>
      </c>
      <c r="X34" t="e">
        <f ca="1">INDEX(F$65:INDIRECT("F"&amp;$C$61),$T34)</f>
        <v>#NUM!</v>
      </c>
      <c r="Y34" t="e">
        <f ca="1">INDEX(G$65:INDIRECT("G"&amp;$C$61),$T34)</f>
        <v>#NUM!</v>
      </c>
      <c r="Z34" t="e">
        <f ca="1">INDEX(H$65:INDIRECT("H"&amp;$C$61),$T34)</f>
        <v>#NUM!</v>
      </c>
      <c r="AA34" t="e">
        <f ca="1">INDEX(I$65:INDIRECT("I"&amp;$C$61),$T34)</f>
        <v>#NUM!</v>
      </c>
      <c r="AB34" t="e">
        <f ca="1">INDEX(J$65:INDIRECT("J"&amp;$C$61),$T34)</f>
        <v>#NUM!</v>
      </c>
      <c r="AC34" t="e">
        <f ca="1">INDEX(K$65:INDIRECT("K"&amp;$C$61),$T34)</f>
        <v>#NUM!</v>
      </c>
      <c r="AD34" s="23" t="e">
        <f t="array" aca="1" ref="AD34" ca="1">IF(ISBLANK($AE$11),SMALL(IF($E$65:INDIRECT("E"&amp;$C$61)=$AE$10,L$65:INDIRECT(AD$13&amp;$C$61)),$AH34),IF(ISBLANK($AE$10),SMALL(IF($D$65:INDIRECT("D"&amp;$C$61)=$AE$11,L$65:INDIRECT(AD$13&amp;$C$61)),$AH34),SMALL(IF(($E$65:INDIRECT("E"&amp;$C$61)=$AE$10)*($D$65:INDIRECT("D"&amp;$C$61)=$AE$11),L$65:INDIRECT(AD$13&amp;$C$61)),$AH34)))</f>
        <v>#NUM!</v>
      </c>
      <c r="AE34" t="e">
        <f ca="1">INDEX(M$65:INDIRECT("M"&amp;$C$61),$T34)</f>
        <v>#NUM!</v>
      </c>
      <c r="AF34" t="e">
        <f ca="1">INDEX(N$65:INDIRECT("N"&amp;$C$61),$T34)</f>
        <v>#NUM!</v>
      </c>
      <c r="AG34" t="e">
        <f ca="1">INDEX(O$65:INDIRECT("O"&amp;$C$61),$T34)</f>
        <v>#NUM!</v>
      </c>
      <c r="AH34" s="69">
        <v>3</v>
      </c>
      <c r="AI34" s="69" t="str">
        <f t="shared" si="2"/>
        <v>L</v>
      </c>
      <c r="AJ34" s="69" t="str">
        <f t="shared" si="2"/>
        <v>S</v>
      </c>
    </row>
    <row r="35" spans="1:52" x14ac:dyDescent="0.25">
      <c r="A35" s="5"/>
      <c r="B35" s="69"/>
      <c r="C35" s="69"/>
      <c r="D35" s="69"/>
      <c r="E35" s="69"/>
      <c r="F35" s="69"/>
      <c r="K35" s="7"/>
      <c r="Q35" s="104"/>
      <c r="R35" s="5"/>
      <c r="S35" s="69"/>
      <c r="T35" s="69"/>
      <c r="V35" s="69"/>
      <c r="W35" s="69"/>
      <c r="AH35" s="69"/>
      <c r="AI35" s="69"/>
      <c r="AJ35" s="69"/>
    </row>
    <row r="36" spans="1:52" x14ac:dyDescent="0.25">
      <c r="A36" s="73" t="s">
        <v>69</v>
      </c>
      <c r="B36" s="69" t="s">
        <v>34</v>
      </c>
      <c r="C36" s="73" t="e">
        <f ca="1">M3</f>
        <v>#N/A</v>
      </c>
      <c r="D36" s="69" t="e">
        <f ca="1">INDEX(D$65:INDIRECT("D"&amp;$C$61),$C36)</f>
        <v>#N/A</v>
      </c>
      <c r="E36" s="69" t="e">
        <f ca="1">INDEX(INDIRECT(("'MemberID'!$C$6:C"&amp;MemberID!$C$1)),MATCH(D36,INDIRECT(("'MemberID'!$G$6:G"&amp;MemberID!$C$1)),0))</f>
        <v>#N/A</v>
      </c>
      <c r="F36" s="69" t="e">
        <f ca="1">INDEX(E$65:INDIRECT("E"&amp;$C$61),$C36)</f>
        <v>#N/A</v>
      </c>
      <c r="G36" t="e">
        <f ca="1">INDEX(F$65:INDIRECT("F"&amp;$C$61),$C36)</f>
        <v>#N/A</v>
      </c>
      <c r="H36" t="e">
        <f ca="1">INDEX(G$65:INDIRECT("G"&amp;$C$61),$C36)</f>
        <v>#N/A</v>
      </c>
      <c r="I36" t="e">
        <f ca="1">INDEX(H$65:INDIRECT("H"&amp;$C$61),$C36)</f>
        <v>#N/A</v>
      </c>
      <c r="J36" t="e">
        <f ca="1">INDEX(I$65:INDIRECT("I"&amp;$C$61),$C36)</f>
        <v>#N/A</v>
      </c>
      <c r="K36" s="7" t="e">
        <f ca="1">INDEX(J$65:INDIRECT("J"&amp;$C$61),$C36)</f>
        <v>#N/A</v>
      </c>
      <c r="L36" t="e">
        <f ca="1">INDEX(K$65:INDIRECT("K"&amp;$C$61),$C36)</f>
        <v>#N/A</v>
      </c>
      <c r="M36" t="e">
        <f ca="1">INDEX(L$65:INDIRECT("L"&amp;$C$61),$C36)</f>
        <v>#N/A</v>
      </c>
      <c r="N36" s="23" t="e">
        <f ca="1">INDEX(M$65:INDIRECT("M"&amp;$C$61),$C36)</f>
        <v>#N/A</v>
      </c>
      <c r="O36" t="e">
        <f ca="1">INDEX(N$65:INDIRECT("N"&amp;$C$61),$C36)</f>
        <v>#N/A</v>
      </c>
      <c r="P36" t="e">
        <f ca="1">INDEX(O$65:INDIRECT("O"&amp;$C$61),$C36)</f>
        <v>#N/A</v>
      </c>
      <c r="Q36" s="104"/>
      <c r="R36" s="73" t="s">
        <v>69</v>
      </c>
      <c r="S36" s="69" t="s">
        <v>34</v>
      </c>
      <c r="T36" s="73" t="e">
        <f t="array" aca="1" ref="T36" ca="1">MATCH(IF(ISBLANK($AE$11),LARGE(IF($E$65:INDIRECT("E"&amp;$C$61)=$AE$10,INDIRECT(AJ36&amp;65):INDIRECT(AJ36&amp;$C$61)),$AH36),IF(ISBLANK($AE$10),LARGE(IF($D$65:INDIRECT("D"&amp;$C$61)=$AE$11,INDIRECT(AJ36&amp;65):INDIRECT(AJ36&amp;$C$61)),$AH36),LARGE(IF(($E$65:INDIRECT("E"&amp;$C$61)=$AE$10)*($D$65:INDIRECT("D"&amp;$C$61)=$AE$11),INDIRECT(AJ36&amp;65):INDIRECT(AJ36&amp;$C$61)),$AH36))),INDIRECT(AJ36&amp;65):INDIRECT(AJ36&amp;$C$61),0)</f>
        <v>#NUM!</v>
      </c>
      <c r="U36" s="69" t="e">
        <f ca="1">INDEX(D$65:INDIRECT("D"&amp;$C$61),$T36)</f>
        <v>#NUM!</v>
      </c>
      <c r="V36" s="69" t="e">
        <f ca="1">INDEX(INDIRECT(("'MemberID'!$C$6:C"&amp;MemberID!$C$1)),MATCH(U36,INDIRECT(("'MemberID'!$G$6:G"&amp;MemberID!$C$1)),0))</f>
        <v>#NUM!</v>
      </c>
      <c r="W36" s="69" t="e">
        <f ca="1">INDEX(E$65:INDIRECT("E"&amp;$C$61),$T36)</f>
        <v>#NUM!</v>
      </c>
      <c r="X36" t="e">
        <f ca="1">INDEX(F$65:INDIRECT("F"&amp;$C$61),$T36)</f>
        <v>#NUM!</v>
      </c>
      <c r="Y36" t="e">
        <f ca="1">INDEX(G$65:INDIRECT("G"&amp;$C$61),$T36)</f>
        <v>#NUM!</v>
      </c>
      <c r="Z36" t="e">
        <f ca="1">INDEX(H$65:INDIRECT("H"&amp;$C$61),$T36)</f>
        <v>#NUM!</v>
      </c>
      <c r="AA36" t="e">
        <f ca="1">INDEX(I$65:INDIRECT("I"&amp;$C$61),$T36)</f>
        <v>#NUM!</v>
      </c>
      <c r="AB36" t="e">
        <f ca="1">INDEX(J$65:INDIRECT("J"&amp;$C$61),$T36)</f>
        <v>#NUM!</v>
      </c>
      <c r="AC36" t="e">
        <f ca="1">INDEX(K$65:INDIRECT("K"&amp;$C$61),$T36)</f>
        <v>#NUM!</v>
      </c>
      <c r="AD36" t="e">
        <f ca="1">INDEX(L$65:INDIRECT("L"&amp;$C$61),$T36)</f>
        <v>#NUM!</v>
      </c>
      <c r="AE36" s="23" t="e">
        <f t="array" aca="1" ref="AE36" ca="1">IF(ISBLANK($AE$11),LARGE(IF($E$65:INDIRECT("E"&amp;$C$61)=$AE$10,M$65:INDIRECT(AE$13&amp;$C$61)),$AH36),IF(ISBLANK($AE$10),LARGE(IF($D$65:INDIRECT("D"&amp;$C$61)=$AE$11,M$65:INDIRECT(AE$13&amp;$C$61)),$AH36),LARGE(IF(($E$65:INDIRECT("E"&amp;$C$61)=$AE$10)*($D$65:INDIRECT("D"&amp;$C$61)=$AE$11),M$65:INDIRECT(AE$13&amp;$C$61)),$AH36)))</f>
        <v>#NUM!</v>
      </c>
      <c r="AF36" t="e">
        <f ca="1">INDEX(N$65:INDIRECT("N"&amp;$C$61),$T36)</f>
        <v>#NUM!</v>
      </c>
      <c r="AG36" t="e">
        <f ca="1">INDEX(O$65:INDIRECT("O"&amp;$C$61),$T36)</f>
        <v>#NUM!</v>
      </c>
      <c r="AH36" s="69">
        <v>1</v>
      </c>
      <c r="AI36" s="69" t="s">
        <v>198</v>
      </c>
      <c r="AJ36" s="69" t="s">
        <v>195</v>
      </c>
    </row>
    <row r="37" spans="1:52" x14ac:dyDescent="0.25">
      <c r="A37" s="73" t="s">
        <v>70</v>
      </c>
      <c r="B37" s="69" t="s">
        <v>34</v>
      </c>
      <c r="C37" s="73" t="e">
        <f ca="1">U3</f>
        <v>#NUM!</v>
      </c>
      <c r="D37" s="69" t="e">
        <f ca="1">INDEX(D$65:INDIRECT("D"&amp;$C$61),$C37)</f>
        <v>#NUM!</v>
      </c>
      <c r="E37" s="69" t="e">
        <f ca="1">INDEX(INDIRECT(("'MemberID'!$C$6:C"&amp;MemberID!$C$1)),MATCH(D37,INDIRECT(("'MemberID'!$G$6:G"&amp;MemberID!$C$1)),0))</f>
        <v>#NUM!</v>
      </c>
      <c r="F37" s="69" t="e">
        <f ca="1">INDEX(E$65:INDIRECT("E"&amp;$C$61),$C37)</f>
        <v>#NUM!</v>
      </c>
      <c r="G37" t="e">
        <f ca="1">INDEX(F$65:INDIRECT("F"&amp;$C$61),$C37)</f>
        <v>#NUM!</v>
      </c>
      <c r="H37" t="e">
        <f ca="1">INDEX(G$65:INDIRECT("G"&amp;$C$61),$C37)</f>
        <v>#NUM!</v>
      </c>
      <c r="I37" t="e">
        <f ca="1">INDEX(H$65:INDIRECT("H"&amp;$C$61),$C37)</f>
        <v>#NUM!</v>
      </c>
      <c r="J37" t="e">
        <f ca="1">INDEX(I$65:INDIRECT("I"&amp;$C$61),$C37)</f>
        <v>#NUM!</v>
      </c>
      <c r="K37" s="7" t="e">
        <f ca="1">INDEX(J$65:INDIRECT("J"&amp;$C$61),$C37)</f>
        <v>#NUM!</v>
      </c>
      <c r="L37" t="e">
        <f ca="1">INDEX(K$65:INDIRECT("K"&amp;$C$61),$C37)</f>
        <v>#NUM!</v>
      </c>
      <c r="M37" t="e">
        <f ca="1">INDEX(L$65:INDIRECT("L"&amp;$C$61),$C37)</f>
        <v>#NUM!</v>
      </c>
      <c r="N37" s="23" t="e">
        <f ca="1">INDEX(M$65:INDIRECT("M"&amp;$C$61),$C37)</f>
        <v>#NUM!</v>
      </c>
      <c r="O37" t="e">
        <f ca="1">INDEX(N$65:INDIRECT("N"&amp;$C$61),$C37)</f>
        <v>#NUM!</v>
      </c>
      <c r="P37" t="e">
        <f ca="1">INDEX(O$65:INDIRECT("O"&amp;$C$61),$C37)</f>
        <v>#NUM!</v>
      </c>
      <c r="Q37" s="104"/>
      <c r="R37" s="73" t="s">
        <v>70</v>
      </c>
      <c r="S37" s="69" t="s">
        <v>34</v>
      </c>
      <c r="T37" s="73" t="e">
        <f t="array" aca="1" ref="T37" ca="1">MATCH(IF(ISBLANK($AE$11),LARGE(IF($E$65:INDIRECT("E"&amp;$C$61)=$AE$10,INDIRECT(AJ37&amp;65):INDIRECT(AJ37&amp;$C$61)),$AH37),IF(ISBLANK($AE$10),LARGE(IF($D$65:INDIRECT("D"&amp;$C$61)=$AE$11,INDIRECT(AJ37&amp;65):INDIRECT(AJ37&amp;$C$61)),$AH37),LARGE(IF(($E$65:INDIRECT("E"&amp;$C$61)=$AE$10)*($D$65:INDIRECT("D"&amp;$C$61)=$AE$11),INDIRECT(AJ37&amp;65):INDIRECT(AJ37&amp;$C$61)),$AH37))),INDIRECT(AJ37&amp;65):INDIRECT(AJ37&amp;$C$61),0)</f>
        <v>#NUM!</v>
      </c>
      <c r="U37" s="69" t="e">
        <f ca="1">INDEX(D$65:INDIRECT("D"&amp;$C$61),$T37)</f>
        <v>#NUM!</v>
      </c>
      <c r="V37" s="69" t="e">
        <f ca="1">INDEX(INDIRECT(("'MemberID'!$C$6:C"&amp;MemberID!$C$1)),MATCH(U37,INDIRECT(("'MemberID'!$G$6:G"&amp;MemberID!$C$1)),0))</f>
        <v>#NUM!</v>
      </c>
      <c r="W37" s="69" t="e">
        <f ca="1">INDEX(E$65:INDIRECT("E"&amp;$C$61),$T37)</f>
        <v>#NUM!</v>
      </c>
      <c r="X37" t="e">
        <f ca="1">INDEX(F$65:INDIRECT("F"&amp;$C$61),$T37)</f>
        <v>#NUM!</v>
      </c>
      <c r="Y37" t="e">
        <f ca="1">INDEX(G$65:INDIRECT("G"&amp;$C$61),$T37)</f>
        <v>#NUM!</v>
      </c>
      <c r="Z37" t="e">
        <f ca="1">INDEX(H$65:INDIRECT("H"&amp;$C$61),$T37)</f>
        <v>#NUM!</v>
      </c>
      <c r="AA37" t="e">
        <f ca="1">INDEX(I$65:INDIRECT("I"&amp;$C$61),$T37)</f>
        <v>#NUM!</v>
      </c>
      <c r="AB37" t="e">
        <f ca="1">INDEX(J$65:INDIRECT("J"&amp;$C$61),$T37)</f>
        <v>#NUM!</v>
      </c>
      <c r="AC37" t="e">
        <f ca="1">INDEX(K$65:INDIRECT("K"&amp;$C$61),$T37)</f>
        <v>#NUM!</v>
      </c>
      <c r="AD37" t="e">
        <f ca="1">INDEX(L$65:INDIRECT("L"&amp;$C$61),$T37)</f>
        <v>#NUM!</v>
      </c>
      <c r="AE37" s="23" t="e">
        <f t="array" aca="1" ref="AE37" ca="1">IF(ISBLANK($AE$11),LARGE(IF($E$65:INDIRECT("E"&amp;$C$61)=$AE$10,M$65:INDIRECT(AE$13&amp;$C$61)),$AH37),IF(ISBLANK($AE$10),LARGE(IF($D$65:INDIRECT("D"&amp;$C$61)=$AE$11,M$65:INDIRECT(AE$13&amp;$C$61)),$AH37),LARGE(IF(($E$65:INDIRECT("E"&amp;$C$61)=$AE$10)*($D$65:INDIRECT("D"&amp;$C$61)=$AE$11),M$65:INDIRECT(AE$13&amp;$C$61)),$AH37)))</f>
        <v>#NUM!</v>
      </c>
      <c r="AF37" t="e">
        <f ca="1">INDEX(N$65:INDIRECT("N"&amp;$C$61),$T37)</f>
        <v>#NUM!</v>
      </c>
      <c r="AG37" t="e">
        <f ca="1">INDEX(O$65:INDIRECT("O"&amp;$C$61),$T37)</f>
        <v>#NUM!</v>
      </c>
      <c r="AH37" s="69">
        <v>2</v>
      </c>
      <c r="AI37" s="69" t="str">
        <f>AI36</f>
        <v>M</v>
      </c>
      <c r="AJ37" s="69" t="str">
        <f>AJ36</f>
        <v>T</v>
      </c>
    </row>
    <row r="38" spans="1:52" x14ac:dyDescent="0.25">
      <c r="A38" s="73" t="s">
        <v>71</v>
      </c>
      <c r="B38" s="69" t="s">
        <v>34</v>
      </c>
      <c r="C38" s="73" t="e">
        <f ca="1">AC3</f>
        <v>#NUM!</v>
      </c>
      <c r="D38" s="69" t="e">
        <f ca="1">INDEX(D$65:INDIRECT("D"&amp;$C$61),$C38)</f>
        <v>#NUM!</v>
      </c>
      <c r="E38" s="69" t="e">
        <f ca="1">INDEX(INDIRECT(("'MemberID'!$C$6:C"&amp;MemberID!$C$1)),MATCH(D38,INDIRECT(("'MemberID'!$G$6:G"&amp;MemberID!$C$1)),0))</f>
        <v>#NUM!</v>
      </c>
      <c r="F38" s="69" t="e">
        <f ca="1">INDEX(E$65:INDIRECT("E"&amp;$C$61),$C38)</f>
        <v>#NUM!</v>
      </c>
      <c r="G38" t="e">
        <f ca="1">INDEX(F$65:INDIRECT("F"&amp;$C$61),$C38)</f>
        <v>#NUM!</v>
      </c>
      <c r="H38" t="e">
        <f ca="1">INDEX(G$65:INDIRECT("G"&amp;$C$61),$C38)</f>
        <v>#NUM!</v>
      </c>
      <c r="I38" t="e">
        <f ca="1">INDEX(H$65:INDIRECT("H"&amp;$C$61),$C38)</f>
        <v>#NUM!</v>
      </c>
      <c r="J38" t="e">
        <f ca="1">INDEX(I$65:INDIRECT("I"&amp;$C$61),$C38)</f>
        <v>#NUM!</v>
      </c>
      <c r="K38" s="7" t="e">
        <f ca="1">INDEX(J$65:INDIRECT("J"&amp;$C$61),$C38)</f>
        <v>#NUM!</v>
      </c>
      <c r="L38" t="e">
        <f ca="1">INDEX(K$65:INDIRECT("K"&amp;$C$61),$C38)</f>
        <v>#NUM!</v>
      </c>
      <c r="M38" t="e">
        <f ca="1">INDEX(L$65:INDIRECT("L"&amp;$C$61),$C38)</f>
        <v>#NUM!</v>
      </c>
      <c r="N38" s="23" t="e">
        <f ca="1">INDEX(M$65:INDIRECT("M"&amp;$C$61),$C38)</f>
        <v>#NUM!</v>
      </c>
      <c r="O38" t="e">
        <f ca="1">INDEX(N$65:INDIRECT("N"&amp;$C$61),$C38)</f>
        <v>#NUM!</v>
      </c>
      <c r="P38" t="e">
        <f ca="1">INDEX(O$65:INDIRECT("O"&amp;$C$61),$C38)</f>
        <v>#NUM!</v>
      </c>
      <c r="Q38" s="104"/>
      <c r="R38" s="73" t="s">
        <v>71</v>
      </c>
      <c r="S38" s="69" t="s">
        <v>34</v>
      </c>
      <c r="T38" s="73" t="e">
        <f t="array" aca="1" ref="T38" ca="1">MATCH(IF(ISBLANK($AE$11),LARGE(IF($E$65:INDIRECT("E"&amp;$C$61)=$AE$10,INDIRECT(AJ38&amp;65):INDIRECT(AJ38&amp;$C$61)),$AH38),IF(ISBLANK($AE$10),LARGE(IF($D$65:INDIRECT("D"&amp;$C$61)=$AE$11,INDIRECT(AJ38&amp;65):INDIRECT(AJ38&amp;$C$61)),$AH38),LARGE(IF(($E$65:INDIRECT("E"&amp;$C$61)=$AE$10)*($D$65:INDIRECT("D"&amp;$C$61)=$AE$11),INDIRECT(AJ38&amp;65):INDIRECT(AJ38&amp;$C$61)),$AH38))),INDIRECT(AJ38&amp;65):INDIRECT(AJ38&amp;$C$61),0)</f>
        <v>#NUM!</v>
      </c>
      <c r="U38" s="69" t="e">
        <f ca="1">INDEX(D$65:INDIRECT("D"&amp;$C$61),$T38)</f>
        <v>#NUM!</v>
      </c>
      <c r="V38" s="69" t="e">
        <f ca="1">INDEX(INDIRECT(("'MemberID'!$C$6:C"&amp;MemberID!$C$1)),MATCH(U38,INDIRECT(("'MemberID'!$G$6:G"&amp;MemberID!$C$1)),0))</f>
        <v>#NUM!</v>
      </c>
      <c r="W38" s="69" t="e">
        <f ca="1">INDEX(E$65:INDIRECT("E"&amp;$C$61),$T38)</f>
        <v>#NUM!</v>
      </c>
      <c r="X38" t="e">
        <f ca="1">INDEX(F$65:INDIRECT("F"&amp;$C$61),$T38)</f>
        <v>#NUM!</v>
      </c>
      <c r="Y38" t="e">
        <f ca="1">INDEX(G$65:INDIRECT("G"&amp;$C$61),$T38)</f>
        <v>#NUM!</v>
      </c>
      <c r="Z38" t="e">
        <f ca="1">INDEX(H$65:INDIRECT("H"&amp;$C$61),$T38)</f>
        <v>#NUM!</v>
      </c>
      <c r="AA38" t="e">
        <f ca="1">INDEX(I$65:INDIRECT("I"&amp;$C$61),$T38)</f>
        <v>#NUM!</v>
      </c>
      <c r="AB38" t="e">
        <f ca="1">INDEX(J$65:INDIRECT("J"&amp;$C$61),$T38)</f>
        <v>#NUM!</v>
      </c>
      <c r="AC38" t="e">
        <f ca="1">INDEX(K$65:INDIRECT("K"&amp;$C$61),$T38)</f>
        <v>#NUM!</v>
      </c>
      <c r="AD38" t="e">
        <f ca="1">INDEX(L$65:INDIRECT("L"&amp;$C$61),$T38)</f>
        <v>#NUM!</v>
      </c>
      <c r="AE38" s="23" t="e">
        <f t="array" aca="1" ref="AE38" ca="1">IF(ISBLANK($AE$11),LARGE(IF($E$65:INDIRECT("E"&amp;$C$61)=$AE$10,M$65:INDIRECT(AE$13&amp;$C$61)),$AH38),IF(ISBLANK($AE$10),LARGE(IF($D$65:INDIRECT("D"&amp;$C$61)=$AE$11,M$65:INDIRECT(AE$13&amp;$C$61)),$AH38),LARGE(IF(($E$65:INDIRECT("E"&amp;$C$61)=$AE$10)*($D$65:INDIRECT("D"&amp;$C$61)=$AE$11),M$65:INDIRECT(AE$13&amp;$C$61)),$AH38)))</f>
        <v>#NUM!</v>
      </c>
      <c r="AF38" t="e">
        <f ca="1">INDEX(N$65:INDIRECT("N"&amp;$C$61),$T38)</f>
        <v>#NUM!</v>
      </c>
      <c r="AG38" t="e">
        <f ca="1">INDEX(O$65:INDIRECT("O"&amp;$C$61),$T38)</f>
        <v>#NUM!</v>
      </c>
      <c r="AH38" s="69">
        <v>3</v>
      </c>
      <c r="AI38" s="69" t="str">
        <f t="shared" ref="AI38:AJ41" si="3">AI37</f>
        <v>M</v>
      </c>
      <c r="AJ38" s="69" t="str">
        <f t="shared" si="3"/>
        <v>T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74" t="s">
        <v>72</v>
      </c>
      <c r="B39" s="69" t="s">
        <v>34</v>
      </c>
      <c r="C39" s="74" t="e">
        <f ca="1">M6</f>
        <v>#N/A</v>
      </c>
      <c r="D39" s="69" t="e">
        <f ca="1">INDEX(D$65:INDIRECT("D"&amp;$C$61),$C39)</f>
        <v>#N/A</v>
      </c>
      <c r="E39" s="69" t="e">
        <f ca="1">INDEX(INDIRECT(("'MemberID'!$C$6:C"&amp;MemberID!$C$1)),MATCH(D39,INDIRECT(("'MemberID'!$G$6:G"&amp;MemberID!$C$1)),0))</f>
        <v>#N/A</v>
      </c>
      <c r="F39" s="69" t="e">
        <f ca="1">INDEX(E$65:INDIRECT("E"&amp;$C$61),$C39)</f>
        <v>#N/A</v>
      </c>
      <c r="G39" t="e">
        <f ca="1">INDEX(F$65:INDIRECT("F"&amp;$C$61),$C39)</f>
        <v>#N/A</v>
      </c>
      <c r="H39" t="e">
        <f ca="1">INDEX(G$65:INDIRECT("G"&amp;$C$61),$C39)</f>
        <v>#N/A</v>
      </c>
      <c r="I39" t="e">
        <f ca="1">INDEX(H$65:INDIRECT("H"&amp;$C$61),$C39)</f>
        <v>#N/A</v>
      </c>
      <c r="J39" t="e">
        <f ca="1">INDEX(I$65:INDIRECT("I"&amp;$C$61),$C39)</f>
        <v>#N/A</v>
      </c>
      <c r="K39" s="7" t="e">
        <f ca="1">INDEX(J$65:INDIRECT("J"&amp;$C$61),$C39)</f>
        <v>#N/A</v>
      </c>
      <c r="L39" t="e">
        <f ca="1">INDEX(K$65:INDIRECT("K"&amp;$C$61),$C39)</f>
        <v>#N/A</v>
      </c>
      <c r="M39" t="e">
        <f ca="1">INDEX(L$65:INDIRECT("L"&amp;$C$61),$C39)</f>
        <v>#N/A</v>
      </c>
      <c r="N39" s="23" t="e">
        <f ca="1">INDEX(M$65:INDIRECT("M"&amp;$C$61),$C39)</f>
        <v>#N/A</v>
      </c>
      <c r="O39" t="e">
        <f ca="1">INDEX(N$65:INDIRECT("N"&amp;$C$61),$C39)</f>
        <v>#N/A</v>
      </c>
      <c r="P39" t="e">
        <f ca="1">INDEX(O$65:INDIRECT("O"&amp;$C$61),$C39)</f>
        <v>#N/A</v>
      </c>
      <c r="Q39" s="104"/>
      <c r="R39" s="74" t="s">
        <v>72</v>
      </c>
      <c r="S39" s="69" t="s">
        <v>34</v>
      </c>
      <c r="T39" s="74" t="e">
        <f t="array" aca="1" ref="T39" ca="1">MATCH(IF(ISBLANK($AE$11),SMALL(IF($E$65:INDIRECT("E"&amp;$C$61)=$AE$10,INDIRECT(AJ39&amp;65):INDIRECT(AJ39&amp;$C$61)),$AH39),IF(ISBLANK($AE$10),SMALL(IF($D$65:INDIRECT("D"&amp;$C$61)=$AE$11,INDIRECT(AJ39&amp;65):INDIRECT(AJ39&amp;$C$61)),$AH39),SMALL(IF(($E$65:INDIRECT("E"&amp;$C$61)=$AE$10)*($D$65:INDIRECT("D"&amp;$C$61)=$AE$11),INDIRECT(AJ39&amp;65):INDIRECT(AJ39&amp;$C$61)),$AH39))),INDIRECT(AJ39&amp;65):INDIRECT(AJ39&amp;$C$61),0)</f>
        <v>#NUM!</v>
      </c>
      <c r="U39" s="69" t="e">
        <f ca="1">INDEX(D$65:INDIRECT("D"&amp;$C$61),$T39)</f>
        <v>#NUM!</v>
      </c>
      <c r="V39" s="69" t="e">
        <f ca="1">INDEX(INDIRECT(("'MemberID'!$C$6:C"&amp;MemberID!$C$1)),MATCH(U39,INDIRECT(("'MemberID'!$G$6:G"&amp;MemberID!$C$1)),0))</f>
        <v>#NUM!</v>
      </c>
      <c r="W39" s="69" t="e">
        <f ca="1">INDEX(E$65:INDIRECT("E"&amp;$C$61),$T39)</f>
        <v>#NUM!</v>
      </c>
      <c r="X39" t="e">
        <f ca="1">INDEX(F$65:INDIRECT("F"&amp;$C$61),$T39)</f>
        <v>#NUM!</v>
      </c>
      <c r="Y39" t="e">
        <f ca="1">INDEX(G$65:INDIRECT("G"&amp;$C$61),$T39)</f>
        <v>#NUM!</v>
      </c>
      <c r="Z39" t="e">
        <f ca="1">INDEX(H$65:INDIRECT("H"&amp;$C$61),$T39)</f>
        <v>#NUM!</v>
      </c>
      <c r="AA39" t="e">
        <f ca="1">INDEX(I$65:INDIRECT("I"&amp;$C$61),$T39)</f>
        <v>#NUM!</v>
      </c>
      <c r="AB39" t="e">
        <f ca="1">INDEX(J$65:INDIRECT("J"&amp;$C$61),$T39)</f>
        <v>#NUM!</v>
      </c>
      <c r="AC39" t="e">
        <f ca="1">INDEX(K$65:INDIRECT("K"&amp;$C$61),$T39)</f>
        <v>#NUM!</v>
      </c>
      <c r="AD39" t="e">
        <f ca="1">INDEX(L$65:INDIRECT("L"&amp;$C$61),$T39)</f>
        <v>#NUM!</v>
      </c>
      <c r="AE39" s="23" t="e">
        <f t="array" aca="1" ref="AE39" ca="1">IF(ISBLANK($AE$11),SMALL(IF($E$65:INDIRECT("E"&amp;$C$61)=$AE$10,M$65:INDIRECT(AE$13&amp;$C$61)),$AH39),IF(ISBLANK($AE$10),SMALL(IF($D$65:INDIRECT("D"&amp;$C$61)=$AE$11,M$65:INDIRECT(AE$13&amp;$C$61)),$AH39),SMALL(IF(($E$65:INDIRECT("E"&amp;$C$61)=$AE$10)*($D$65:INDIRECT("D"&amp;$C$61)=$AE$11),M$65:INDIRECT(AE$13&amp;$C$61)),$AH39)))</f>
        <v>#NUM!</v>
      </c>
      <c r="AF39" t="e">
        <f ca="1">INDEX(N$65:INDIRECT("N"&amp;$C$61),$T39)</f>
        <v>#NUM!</v>
      </c>
      <c r="AG39" t="e">
        <f ca="1">INDEX(O$65:INDIRECT("O"&amp;$C$61),$T39)</f>
        <v>#NUM!</v>
      </c>
      <c r="AH39" s="69">
        <v>1</v>
      </c>
      <c r="AI39" s="69" t="str">
        <f t="shared" si="3"/>
        <v>M</v>
      </c>
      <c r="AJ39" s="69" t="str">
        <f t="shared" si="3"/>
        <v>T</v>
      </c>
    </row>
    <row r="40" spans="1:52" x14ac:dyDescent="0.25">
      <c r="A40" s="74" t="s">
        <v>73</v>
      </c>
      <c r="B40" s="69" t="s">
        <v>34</v>
      </c>
      <c r="C40" s="74" t="e">
        <f ca="1">U6</f>
        <v>#NUM!</v>
      </c>
      <c r="D40" s="69" t="e">
        <f ca="1">INDEX(D$65:INDIRECT("D"&amp;$C$61),$C40)</f>
        <v>#NUM!</v>
      </c>
      <c r="E40" s="69" t="e">
        <f ca="1">INDEX(INDIRECT(("'MemberID'!$C$6:C"&amp;MemberID!$C$1)),MATCH(D40,INDIRECT(("'MemberID'!$G$6:G"&amp;MemberID!$C$1)),0))</f>
        <v>#NUM!</v>
      </c>
      <c r="F40" s="69" t="e">
        <f ca="1">INDEX(E$65:INDIRECT("E"&amp;$C$61),$C40)</f>
        <v>#NUM!</v>
      </c>
      <c r="G40" t="e">
        <f ca="1">INDEX(F$65:INDIRECT("F"&amp;$C$61),$C40)</f>
        <v>#NUM!</v>
      </c>
      <c r="H40" t="e">
        <f ca="1">INDEX(G$65:INDIRECT("G"&amp;$C$61),$C40)</f>
        <v>#NUM!</v>
      </c>
      <c r="I40" t="e">
        <f ca="1">INDEX(H$65:INDIRECT("H"&amp;$C$61),$C40)</f>
        <v>#NUM!</v>
      </c>
      <c r="J40" t="e">
        <f ca="1">INDEX(I$65:INDIRECT("I"&amp;$C$61),$C40)</f>
        <v>#NUM!</v>
      </c>
      <c r="K40" s="7" t="e">
        <f ca="1">INDEX(J$65:INDIRECT("J"&amp;$C$61),$C40)</f>
        <v>#NUM!</v>
      </c>
      <c r="L40" t="e">
        <f ca="1">INDEX(K$65:INDIRECT("K"&amp;$C$61),$C40)</f>
        <v>#NUM!</v>
      </c>
      <c r="M40" t="e">
        <f ca="1">INDEX(L$65:INDIRECT("L"&amp;$C$61),$C40)</f>
        <v>#NUM!</v>
      </c>
      <c r="N40" s="23" t="e">
        <f ca="1">INDEX(M$65:INDIRECT("M"&amp;$C$61),$C40)</f>
        <v>#NUM!</v>
      </c>
      <c r="O40" t="e">
        <f ca="1">INDEX(N$65:INDIRECT("N"&amp;$C$61),$C40)</f>
        <v>#NUM!</v>
      </c>
      <c r="P40" t="e">
        <f ca="1">INDEX(O$65:INDIRECT("O"&amp;$C$61),$C40)</f>
        <v>#NUM!</v>
      </c>
      <c r="Q40" s="104"/>
      <c r="R40" s="74" t="s">
        <v>73</v>
      </c>
      <c r="S40" s="69" t="s">
        <v>34</v>
      </c>
      <c r="T40" s="74" t="e">
        <f t="array" aca="1" ref="T40" ca="1">MATCH(IF(ISBLANK($AE$11),SMALL(IF($E$65:INDIRECT("E"&amp;$C$61)=$AE$10,INDIRECT(AJ40&amp;65):INDIRECT(AJ40&amp;$C$61)),$AH40),IF(ISBLANK($AE$10),SMALL(IF($D$65:INDIRECT("D"&amp;$C$61)=$AE$11,INDIRECT(AJ40&amp;65):INDIRECT(AJ40&amp;$C$61)),$AH40),SMALL(IF(($E$65:INDIRECT("E"&amp;$C$61)=$AE$10)*($D$65:INDIRECT("D"&amp;$C$61)=$AE$11),INDIRECT(AJ40&amp;65):INDIRECT(AJ40&amp;$C$61)),$AH40))),INDIRECT(AJ40&amp;65):INDIRECT(AJ40&amp;$C$61),0)</f>
        <v>#NUM!</v>
      </c>
      <c r="U40" s="69" t="e">
        <f ca="1">INDEX(D$65:INDIRECT("D"&amp;$C$61),$T40)</f>
        <v>#NUM!</v>
      </c>
      <c r="V40" s="69" t="e">
        <f ca="1">INDEX(INDIRECT(("'MemberID'!$C$6:C"&amp;MemberID!$C$1)),MATCH(U40,INDIRECT(("'MemberID'!$G$6:G"&amp;MemberID!$C$1)),0))</f>
        <v>#NUM!</v>
      </c>
      <c r="W40" s="69" t="e">
        <f ca="1">INDEX(E$65:INDIRECT("E"&amp;$C$61),$T40)</f>
        <v>#NUM!</v>
      </c>
      <c r="X40" t="e">
        <f ca="1">INDEX(F$65:INDIRECT("F"&amp;$C$61),$T40)</f>
        <v>#NUM!</v>
      </c>
      <c r="Y40" t="e">
        <f ca="1">INDEX(G$65:INDIRECT("G"&amp;$C$61),$T40)</f>
        <v>#NUM!</v>
      </c>
      <c r="Z40" t="e">
        <f ca="1">INDEX(H$65:INDIRECT("H"&amp;$C$61),$T40)</f>
        <v>#NUM!</v>
      </c>
      <c r="AA40" t="e">
        <f ca="1">INDEX(I$65:INDIRECT("I"&amp;$C$61),$T40)</f>
        <v>#NUM!</v>
      </c>
      <c r="AB40" t="e">
        <f ca="1">INDEX(J$65:INDIRECT("J"&amp;$C$61),$T40)</f>
        <v>#NUM!</v>
      </c>
      <c r="AC40" t="e">
        <f ca="1">INDEX(K$65:INDIRECT("K"&amp;$C$61),$T40)</f>
        <v>#NUM!</v>
      </c>
      <c r="AD40" t="e">
        <f ca="1">INDEX(L$65:INDIRECT("L"&amp;$C$61),$T40)</f>
        <v>#NUM!</v>
      </c>
      <c r="AE40" s="23" t="e">
        <f t="array" aca="1" ref="AE40" ca="1">IF(ISBLANK($AE$11),SMALL(IF($E$65:INDIRECT("E"&amp;$C$61)=$AE$10,M$65:INDIRECT(AE$13&amp;$C$61)),$AH40),IF(ISBLANK($AE$10),SMALL(IF($D$65:INDIRECT("D"&amp;$C$61)=$AE$11,M$65:INDIRECT(AE$13&amp;$C$61)),$AH40),SMALL(IF(($E$65:INDIRECT("E"&amp;$C$61)=$AE$10)*($D$65:INDIRECT("D"&amp;$C$61)=$AE$11),M$65:INDIRECT(AE$13&amp;$C$61)),$AH40)))</f>
        <v>#NUM!</v>
      </c>
      <c r="AF40" t="e">
        <f ca="1">INDEX(N$65:INDIRECT("N"&amp;$C$61),$T40)</f>
        <v>#NUM!</v>
      </c>
      <c r="AG40" t="e">
        <f ca="1">INDEX(O$65:INDIRECT("O"&amp;$C$61),$T40)</f>
        <v>#NUM!</v>
      </c>
      <c r="AH40" s="69">
        <v>2</v>
      </c>
      <c r="AI40" s="69" t="str">
        <f t="shared" si="3"/>
        <v>M</v>
      </c>
      <c r="AJ40" s="69" t="str">
        <f t="shared" si="3"/>
        <v>T</v>
      </c>
    </row>
    <row r="41" spans="1:52" x14ac:dyDescent="0.25">
      <c r="A41" s="74" t="s">
        <v>74</v>
      </c>
      <c r="B41" s="69" t="s">
        <v>34</v>
      </c>
      <c r="C41" s="74" t="e">
        <f ca="1">AC6</f>
        <v>#NUM!</v>
      </c>
      <c r="D41" s="69" t="e">
        <f ca="1">INDEX(D$65:INDIRECT("D"&amp;$C$61),$C41)</f>
        <v>#NUM!</v>
      </c>
      <c r="E41" s="69" t="e">
        <f ca="1">INDEX(INDIRECT(("'MemberID'!$C$6:C"&amp;MemberID!$C$1)),MATCH(D41,INDIRECT(("'MemberID'!$G$6:G"&amp;MemberID!$C$1)),0))</f>
        <v>#NUM!</v>
      </c>
      <c r="F41" s="69" t="e">
        <f ca="1">INDEX(E$65:INDIRECT("E"&amp;$C$61),$C41)</f>
        <v>#NUM!</v>
      </c>
      <c r="G41" t="e">
        <f ca="1">INDEX(F$65:INDIRECT("F"&amp;$C$61),$C41)</f>
        <v>#NUM!</v>
      </c>
      <c r="H41" t="e">
        <f ca="1">INDEX(G$65:INDIRECT("G"&amp;$C$61),$C41)</f>
        <v>#NUM!</v>
      </c>
      <c r="I41" t="e">
        <f ca="1">INDEX(H$65:INDIRECT("H"&amp;$C$61),$C41)</f>
        <v>#NUM!</v>
      </c>
      <c r="J41" t="e">
        <f ca="1">INDEX(I$65:INDIRECT("I"&amp;$C$61),$C41)</f>
        <v>#NUM!</v>
      </c>
      <c r="K41" s="7" t="e">
        <f ca="1">INDEX(J$65:INDIRECT("J"&amp;$C$61),$C41)</f>
        <v>#NUM!</v>
      </c>
      <c r="L41" t="e">
        <f ca="1">INDEX(K$65:INDIRECT("K"&amp;$C$61),$C41)</f>
        <v>#NUM!</v>
      </c>
      <c r="M41" t="e">
        <f ca="1">INDEX(L$65:INDIRECT("L"&amp;$C$61),$C41)</f>
        <v>#NUM!</v>
      </c>
      <c r="N41" s="23" t="e">
        <f ca="1">INDEX(M$65:INDIRECT("M"&amp;$C$61),$C41)</f>
        <v>#NUM!</v>
      </c>
      <c r="O41" t="e">
        <f ca="1">INDEX(N$65:INDIRECT("N"&amp;$C$61),$C41)</f>
        <v>#NUM!</v>
      </c>
      <c r="P41" t="e">
        <f ca="1">INDEX(O$65:INDIRECT("O"&amp;$C$61),$C41)</f>
        <v>#NUM!</v>
      </c>
      <c r="Q41" s="104"/>
      <c r="R41" s="74" t="s">
        <v>74</v>
      </c>
      <c r="S41" s="69" t="s">
        <v>34</v>
      </c>
      <c r="T41" s="74" t="e">
        <f t="array" aca="1" ref="T41" ca="1">MATCH(IF(ISBLANK($AE$11),SMALL(IF($E$65:INDIRECT("E"&amp;$C$61)=$AE$10,INDIRECT(AJ41&amp;65):INDIRECT(AJ41&amp;$C$61)),$AH41),IF(ISBLANK($AE$10),SMALL(IF($D$65:INDIRECT("D"&amp;$C$61)=$AE$11,INDIRECT(AJ41&amp;65):INDIRECT(AJ41&amp;$C$61)),$AH41),SMALL(IF(($E$65:INDIRECT("E"&amp;$C$61)=$AE$10)*($D$65:INDIRECT("D"&amp;$C$61)=$AE$11),INDIRECT(AJ41&amp;65):INDIRECT(AJ41&amp;$C$61)),$AH41))),INDIRECT(AJ41&amp;65):INDIRECT(AJ41&amp;$C$61),0)</f>
        <v>#NUM!</v>
      </c>
      <c r="U41" s="69" t="e">
        <f ca="1">INDEX(D$65:INDIRECT("D"&amp;$C$61),$T41)</f>
        <v>#NUM!</v>
      </c>
      <c r="V41" s="69" t="e">
        <f ca="1">INDEX(INDIRECT(("'MemberID'!$C$6:C"&amp;MemberID!$C$1)),MATCH(U41,INDIRECT(("'MemberID'!$G$6:G"&amp;MemberID!$C$1)),0))</f>
        <v>#NUM!</v>
      </c>
      <c r="W41" s="69" t="e">
        <f ca="1">INDEX(E$65:INDIRECT("E"&amp;$C$61),$T41)</f>
        <v>#NUM!</v>
      </c>
      <c r="X41" t="e">
        <f ca="1">INDEX(F$65:INDIRECT("F"&amp;$C$61),$T41)</f>
        <v>#NUM!</v>
      </c>
      <c r="Y41" t="e">
        <f ca="1">INDEX(G$65:INDIRECT("G"&amp;$C$61),$T41)</f>
        <v>#NUM!</v>
      </c>
      <c r="Z41" t="e">
        <f ca="1">INDEX(H$65:INDIRECT("H"&amp;$C$61),$T41)</f>
        <v>#NUM!</v>
      </c>
      <c r="AA41" t="e">
        <f ca="1">INDEX(I$65:INDIRECT("I"&amp;$C$61),$T41)</f>
        <v>#NUM!</v>
      </c>
      <c r="AB41" t="e">
        <f ca="1">INDEX(J$65:INDIRECT("J"&amp;$C$61),$T41)</f>
        <v>#NUM!</v>
      </c>
      <c r="AC41" t="e">
        <f ca="1">INDEX(K$65:INDIRECT("K"&amp;$C$61),$T41)</f>
        <v>#NUM!</v>
      </c>
      <c r="AD41" t="e">
        <f ca="1">INDEX(L$65:INDIRECT("L"&amp;$C$61),$T41)</f>
        <v>#NUM!</v>
      </c>
      <c r="AE41" s="23" t="e">
        <f t="array" aca="1" ref="AE41" ca="1">IF(ISBLANK($AE$11),SMALL(IF($E$65:INDIRECT("E"&amp;$C$61)=$AE$10,M$65:INDIRECT(AE$13&amp;$C$61)),$AH41),IF(ISBLANK($AE$10),SMALL(IF($D$65:INDIRECT("D"&amp;$C$61)=$AE$11,M$65:INDIRECT(AE$13&amp;$C$61)),$AH41),SMALL(IF(($E$65:INDIRECT("E"&amp;$C$61)=$AE$10)*($D$65:INDIRECT("D"&amp;$C$61)=$AE$11),M$65:INDIRECT(AE$13&amp;$C$61)),$AH41)))</f>
        <v>#NUM!</v>
      </c>
      <c r="AF41" t="e">
        <f ca="1">INDEX(N$65:INDIRECT("N"&amp;$C$61),$T41)</f>
        <v>#NUM!</v>
      </c>
      <c r="AG41" t="e">
        <f ca="1">INDEX(O$65:INDIRECT("O"&amp;$C$61),$T41)</f>
        <v>#NUM!</v>
      </c>
      <c r="AH41" s="69">
        <v>3</v>
      </c>
      <c r="AI41" s="69" t="str">
        <f t="shared" si="3"/>
        <v>M</v>
      </c>
      <c r="AJ41" s="69" t="str">
        <f t="shared" si="3"/>
        <v>T</v>
      </c>
      <c r="AL41" s="86"/>
    </row>
    <row r="42" spans="1:52" x14ac:dyDescent="0.25">
      <c r="A42" s="5"/>
      <c r="B42" s="69"/>
      <c r="C42" s="69"/>
      <c r="D42" s="69"/>
      <c r="E42" s="69"/>
      <c r="F42" s="69"/>
      <c r="K42" s="7"/>
      <c r="Q42" s="104"/>
      <c r="R42" s="5"/>
      <c r="S42" s="69"/>
      <c r="T42" s="69"/>
      <c r="V42" s="69"/>
      <c r="W42" s="69"/>
      <c r="AH42" s="69"/>
      <c r="AI42" s="69"/>
      <c r="AJ42" s="69"/>
    </row>
    <row r="43" spans="1:52" x14ac:dyDescent="0.25">
      <c r="A43" s="73" t="s">
        <v>69</v>
      </c>
      <c r="B43" s="69" t="s">
        <v>35</v>
      </c>
      <c r="C43" s="73" t="e">
        <f ca="1">N3</f>
        <v>#N/A</v>
      </c>
      <c r="D43" s="69" t="e">
        <f ca="1">INDEX(D$65:INDIRECT("D"&amp;$C$61),$C43)</f>
        <v>#N/A</v>
      </c>
      <c r="E43" s="69" t="e">
        <f ca="1">INDEX(INDIRECT(("'MemberID'!$C$6:C"&amp;MemberID!$C$1)),MATCH(D43,INDIRECT(("'MemberID'!$G$6:G"&amp;MemberID!$C$1)),0))</f>
        <v>#N/A</v>
      </c>
      <c r="F43" s="69" t="e">
        <f ca="1">INDEX(E$65:INDIRECT("E"&amp;$C$61),$C43)</f>
        <v>#N/A</v>
      </c>
      <c r="G43" t="e">
        <f ca="1">INDEX(F$65:INDIRECT("F"&amp;$C$61),$C43)</f>
        <v>#N/A</v>
      </c>
      <c r="H43" t="e">
        <f ca="1">INDEX(G$65:INDIRECT("G"&amp;$C$61),$C43)</f>
        <v>#N/A</v>
      </c>
      <c r="I43" t="e">
        <f ca="1">INDEX(H$65:INDIRECT("H"&amp;$C$61),$C43)</f>
        <v>#N/A</v>
      </c>
      <c r="J43" t="e">
        <f ca="1">INDEX(I$65:INDIRECT("I"&amp;$C$61),$C43)</f>
        <v>#N/A</v>
      </c>
      <c r="K43" s="7" t="e">
        <f ca="1">INDEX(J$65:INDIRECT("J"&amp;$C$61),$C43)</f>
        <v>#N/A</v>
      </c>
      <c r="L43" t="e">
        <f ca="1">INDEX(K$65:INDIRECT("K"&amp;$C$61),$C43)</f>
        <v>#N/A</v>
      </c>
      <c r="M43" t="e">
        <f ca="1">INDEX(L$65:INDIRECT("L"&amp;$C$61),$C43)</f>
        <v>#N/A</v>
      </c>
      <c r="N43" t="e">
        <f ca="1">INDEX(M$65:INDIRECT("M"&amp;$C$61),$C43)</f>
        <v>#N/A</v>
      </c>
      <c r="O43" s="23" t="e">
        <f ca="1">INDEX(N$65:INDIRECT("N"&amp;$C$61),$C43)</f>
        <v>#N/A</v>
      </c>
      <c r="P43" t="e">
        <f ca="1">INDEX(O$65:INDIRECT("O"&amp;$C$61),$C43)</f>
        <v>#N/A</v>
      </c>
      <c r="Q43" s="104"/>
      <c r="R43" s="73" t="s">
        <v>69</v>
      </c>
      <c r="S43" s="69" t="s">
        <v>35</v>
      </c>
      <c r="T43" s="73" t="e">
        <f t="array" aca="1" ref="T43" ca="1">MATCH(IF(ISBLANK($AE$11),LARGE(IF($E$65:INDIRECT("E"&amp;$C$61)=$AE$10,INDIRECT(AJ43&amp;65):INDIRECT(AJ43&amp;$C$61)),$AH43),IF(ISBLANK($AE$10),LARGE(IF($D$65:INDIRECT("D"&amp;$C$61)=$AE$11,INDIRECT(AJ43&amp;65):INDIRECT(AJ43&amp;$C$61)),$AH43),LARGE(IF(($E$65:INDIRECT("E"&amp;$C$61)=$AE$10)*($D$65:INDIRECT("D"&amp;$C$61)=$AE$11),INDIRECT(AJ43&amp;65):INDIRECT(AJ43&amp;$C$61)),$AH43))),INDIRECT(AJ43&amp;65):INDIRECT(AJ43&amp;$C$61),0)</f>
        <v>#NUM!</v>
      </c>
      <c r="U43" s="69" t="e">
        <f ca="1">INDEX(D$65:INDIRECT("D"&amp;$C$61),$T43)</f>
        <v>#NUM!</v>
      </c>
      <c r="V43" s="69" t="e">
        <f ca="1">INDEX(INDIRECT(("'MemberID'!$C$6:C"&amp;MemberID!$C$1)),MATCH(U43,INDIRECT(("'MemberID'!$G$6:G"&amp;MemberID!$C$1)),0))</f>
        <v>#NUM!</v>
      </c>
      <c r="W43" s="69" t="e">
        <f ca="1">INDEX(E$65:INDIRECT("E"&amp;$C$61),$T43)</f>
        <v>#NUM!</v>
      </c>
      <c r="X43" t="e">
        <f ca="1">INDEX(F$65:INDIRECT("F"&amp;$C$61),$T43)</f>
        <v>#NUM!</v>
      </c>
      <c r="Y43" t="e">
        <f ca="1">INDEX(G$65:INDIRECT("G"&amp;$C$61),$T43)</f>
        <v>#NUM!</v>
      </c>
      <c r="Z43" t="e">
        <f ca="1">INDEX(H$65:INDIRECT("H"&amp;$C$61),$T43)</f>
        <v>#NUM!</v>
      </c>
      <c r="AA43" t="e">
        <f ca="1">INDEX(I$65:INDIRECT("I"&amp;$C$61),$T43)</f>
        <v>#NUM!</v>
      </c>
      <c r="AB43" t="e">
        <f ca="1">INDEX(J$65:INDIRECT("J"&amp;$C$61),$T43)</f>
        <v>#NUM!</v>
      </c>
      <c r="AC43" t="e">
        <f ca="1">INDEX(K$65:INDIRECT("K"&amp;$C$61),$T43)</f>
        <v>#NUM!</v>
      </c>
      <c r="AD43" t="e">
        <f ca="1">INDEX(L$65:INDIRECT("L"&amp;$C$61),$T43)</f>
        <v>#NUM!</v>
      </c>
      <c r="AE43" t="e">
        <f ca="1">INDEX(M$65:INDIRECT("M"&amp;$C$61),$T43)</f>
        <v>#NUM!</v>
      </c>
      <c r="AF43" s="23" t="e">
        <f t="array" aca="1" ref="AF43" ca="1">IF(ISBLANK($AE$11),LARGE(IF($E$65:INDIRECT("E"&amp;$C$61)=$AE$10,N$65:INDIRECT(AF$13&amp;$C$61)),$AH43),IF(ISBLANK($AE$10),LARGE(IF($D$65:INDIRECT("D"&amp;$C$61)=$AE$11,N$65:INDIRECT(AF$13&amp;$C$61)),$AH43),LARGE(IF(($E$65:INDIRECT("E"&amp;$C$61)=$AE$10)*($D$65:INDIRECT("D"&amp;$C$61)=$AE$11),N$65:INDIRECT(AF$13&amp;$C$61)),$AH43)))</f>
        <v>#NUM!</v>
      </c>
      <c r="AG43" t="e">
        <f ca="1">INDEX(O$65:INDIRECT("O"&amp;$C$61),$T43)</f>
        <v>#NUM!</v>
      </c>
      <c r="AH43" s="69">
        <v>1</v>
      </c>
      <c r="AI43" s="69" t="s">
        <v>154</v>
      </c>
      <c r="AJ43" s="69" t="s">
        <v>196</v>
      </c>
    </row>
    <row r="44" spans="1:52" x14ac:dyDescent="0.25">
      <c r="A44" s="73" t="s">
        <v>70</v>
      </c>
      <c r="B44" s="69" t="s">
        <v>35</v>
      </c>
      <c r="C44" s="73" t="e">
        <f ca="1">V3</f>
        <v>#NUM!</v>
      </c>
      <c r="D44" s="69" t="e">
        <f ca="1">INDEX(D$65:INDIRECT("D"&amp;$C$61),$C44)</f>
        <v>#NUM!</v>
      </c>
      <c r="E44" s="69" t="e">
        <f ca="1">INDEX(INDIRECT(("'MemberID'!$C$6:C"&amp;MemberID!$C$1)),MATCH(D44,INDIRECT(("'MemberID'!$G$6:G"&amp;MemberID!$C$1)),0))</f>
        <v>#NUM!</v>
      </c>
      <c r="F44" s="69" t="e">
        <f ca="1">INDEX(E$65:INDIRECT("E"&amp;$C$61),$C44)</f>
        <v>#NUM!</v>
      </c>
      <c r="G44" t="e">
        <f ca="1">INDEX(F$65:INDIRECT("F"&amp;$C$61),$C44)</f>
        <v>#NUM!</v>
      </c>
      <c r="H44" t="e">
        <f ca="1">INDEX(G$65:INDIRECT("G"&amp;$C$61),$C44)</f>
        <v>#NUM!</v>
      </c>
      <c r="I44" t="e">
        <f ca="1">INDEX(H$65:INDIRECT("H"&amp;$C$61),$C44)</f>
        <v>#NUM!</v>
      </c>
      <c r="J44" t="e">
        <f ca="1">INDEX(I$65:INDIRECT("I"&amp;$C$61),$C44)</f>
        <v>#NUM!</v>
      </c>
      <c r="K44" s="7" t="e">
        <f ca="1">INDEX(J$65:INDIRECT("J"&amp;$C$61),$C44)</f>
        <v>#NUM!</v>
      </c>
      <c r="L44" t="e">
        <f ca="1">INDEX(K$65:INDIRECT("K"&amp;$C$61),$C44)</f>
        <v>#NUM!</v>
      </c>
      <c r="M44" t="e">
        <f ca="1">INDEX(L$65:INDIRECT("L"&amp;$C$61),$C44)</f>
        <v>#NUM!</v>
      </c>
      <c r="N44" t="e">
        <f ca="1">INDEX(M$65:INDIRECT("M"&amp;$C$61),$C44)</f>
        <v>#NUM!</v>
      </c>
      <c r="O44" s="23" t="e">
        <f ca="1">INDEX(N$65:INDIRECT("N"&amp;$C$61),$C44)</f>
        <v>#NUM!</v>
      </c>
      <c r="P44" t="e">
        <f ca="1">INDEX(O$65:INDIRECT("O"&amp;$C$61),$C44)</f>
        <v>#NUM!</v>
      </c>
      <c r="Q44" s="104"/>
      <c r="R44" s="73" t="s">
        <v>70</v>
      </c>
      <c r="S44" s="69" t="s">
        <v>35</v>
      </c>
      <c r="T44" s="73" t="e">
        <f t="array" aca="1" ref="T44" ca="1">MATCH(IF(ISBLANK($AE$11),LARGE(IF($E$65:INDIRECT("E"&amp;$C$61)=$AE$10,INDIRECT(AJ44&amp;65):INDIRECT(AJ44&amp;$C$61)),$AH44),IF(ISBLANK($AE$10),LARGE(IF($D$65:INDIRECT("D"&amp;$C$61)=$AE$11,INDIRECT(AJ44&amp;65):INDIRECT(AJ44&amp;$C$61)),$AH44),LARGE(IF(($E$65:INDIRECT("E"&amp;$C$61)=$AE$10)*($D$65:INDIRECT("D"&amp;$C$61)=$AE$11),INDIRECT(AJ44&amp;65):INDIRECT(AJ44&amp;$C$61)),$AH44))),INDIRECT(AJ44&amp;65):INDIRECT(AJ44&amp;$C$61),0)</f>
        <v>#NUM!</v>
      </c>
      <c r="U44" s="69" t="e">
        <f ca="1">INDEX(D$65:INDIRECT("D"&amp;$C$61),$T44)</f>
        <v>#NUM!</v>
      </c>
      <c r="V44" s="69" t="e">
        <f ca="1">INDEX(INDIRECT(("'MemberID'!$C$6:C"&amp;MemberID!$C$1)),MATCH(U44,INDIRECT(("'MemberID'!$G$6:G"&amp;MemberID!$C$1)),0))</f>
        <v>#NUM!</v>
      </c>
      <c r="W44" s="69" t="e">
        <f ca="1">INDEX(E$65:INDIRECT("E"&amp;$C$61),$T44)</f>
        <v>#NUM!</v>
      </c>
      <c r="X44" t="e">
        <f ca="1">INDEX(F$65:INDIRECT("F"&amp;$C$61),$T44)</f>
        <v>#NUM!</v>
      </c>
      <c r="Y44" t="e">
        <f ca="1">INDEX(G$65:INDIRECT("G"&amp;$C$61),$T44)</f>
        <v>#NUM!</v>
      </c>
      <c r="Z44" t="e">
        <f ca="1">INDEX(H$65:INDIRECT("H"&amp;$C$61),$T44)</f>
        <v>#NUM!</v>
      </c>
      <c r="AA44" t="e">
        <f ca="1">INDEX(I$65:INDIRECT("I"&amp;$C$61),$T44)</f>
        <v>#NUM!</v>
      </c>
      <c r="AB44" t="e">
        <f ca="1">INDEX(J$65:INDIRECT("J"&amp;$C$61),$T44)</f>
        <v>#NUM!</v>
      </c>
      <c r="AC44" t="e">
        <f ca="1">INDEX(K$65:INDIRECT("K"&amp;$C$61),$T44)</f>
        <v>#NUM!</v>
      </c>
      <c r="AD44" t="e">
        <f ca="1">INDEX(L$65:INDIRECT("L"&amp;$C$61),$T44)</f>
        <v>#NUM!</v>
      </c>
      <c r="AE44" t="e">
        <f ca="1">INDEX(M$65:INDIRECT("M"&amp;$C$61),$T44)</f>
        <v>#NUM!</v>
      </c>
      <c r="AF44" s="23" t="e">
        <f t="array" aca="1" ref="AF44" ca="1">IF(ISBLANK($AE$11),LARGE(IF($E$65:INDIRECT("E"&amp;$C$61)=$AE$10,N$65:INDIRECT(AF$13&amp;$C$61)),$AH44),IF(ISBLANK($AE$10),LARGE(IF($D$65:INDIRECT("D"&amp;$C$61)=$AE$11,N$65:INDIRECT(AF$13&amp;$C$61)),$AH44),LARGE(IF(($E$65:INDIRECT("E"&amp;$C$61)=$AE$10)*($D$65:INDIRECT("D"&amp;$C$61)=$AE$11),N$65:INDIRECT(AF$13&amp;$C$61)),$AH44)))</f>
        <v>#NUM!</v>
      </c>
      <c r="AG44" t="e">
        <f ca="1">INDEX(O$65:INDIRECT("O"&amp;$C$61),$T44)</f>
        <v>#NUM!</v>
      </c>
      <c r="AH44" s="69">
        <v>2</v>
      </c>
      <c r="AI44" s="69" t="str">
        <f>AI43</f>
        <v>N</v>
      </c>
      <c r="AJ44" s="69" t="str">
        <f>AJ43</f>
        <v>U</v>
      </c>
    </row>
    <row r="45" spans="1:52" x14ac:dyDescent="0.25">
      <c r="A45" s="73" t="s">
        <v>71</v>
      </c>
      <c r="B45" s="69" t="s">
        <v>35</v>
      </c>
      <c r="C45" s="73" t="e">
        <f ca="1">AD3</f>
        <v>#NUM!</v>
      </c>
      <c r="D45" s="69" t="e">
        <f ca="1">INDEX(D$65:INDIRECT("D"&amp;$C$61),$C45)</f>
        <v>#NUM!</v>
      </c>
      <c r="E45" s="69" t="e">
        <f ca="1">INDEX(INDIRECT(("'MemberID'!$C$6:C"&amp;MemberID!$C$1)),MATCH(D45,INDIRECT(("'MemberID'!$G$6:G"&amp;MemberID!$C$1)),0))</f>
        <v>#NUM!</v>
      </c>
      <c r="F45" s="69" t="e">
        <f ca="1">INDEX(E$65:INDIRECT("E"&amp;$C$61),$C45)</f>
        <v>#NUM!</v>
      </c>
      <c r="G45" t="e">
        <f ca="1">INDEX(F$65:INDIRECT("F"&amp;$C$61),$C45)</f>
        <v>#NUM!</v>
      </c>
      <c r="H45" t="e">
        <f ca="1">INDEX(G$65:INDIRECT("G"&amp;$C$61),$C45)</f>
        <v>#NUM!</v>
      </c>
      <c r="I45" t="e">
        <f ca="1">INDEX(H$65:INDIRECT("H"&amp;$C$61),$C45)</f>
        <v>#NUM!</v>
      </c>
      <c r="J45" t="e">
        <f ca="1">INDEX(I$65:INDIRECT("I"&amp;$C$61),$C45)</f>
        <v>#NUM!</v>
      </c>
      <c r="K45" s="7" t="e">
        <f ca="1">INDEX(J$65:INDIRECT("J"&amp;$C$61),$C45)</f>
        <v>#NUM!</v>
      </c>
      <c r="L45" t="e">
        <f ca="1">INDEX(K$65:INDIRECT("K"&amp;$C$61),$C45)</f>
        <v>#NUM!</v>
      </c>
      <c r="M45" t="e">
        <f ca="1">INDEX(L$65:INDIRECT("L"&amp;$C$61),$C45)</f>
        <v>#NUM!</v>
      </c>
      <c r="N45" t="e">
        <f ca="1">INDEX(M$65:INDIRECT("M"&amp;$C$61),$C45)</f>
        <v>#NUM!</v>
      </c>
      <c r="O45" s="23" t="e">
        <f ca="1">INDEX(N$65:INDIRECT("N"&amp;$C$61),$C45)</f>
        <v>#NUM!</v>
      </c>
      <c r="P45" t="e">
        <f ca="1">INDEX(O$65:INDIRECT("O"&amp;$C$61),$C45)</f>
        <v>#NUM!</v>
      </c>
      <c r="Q45" s="104"/>
      <c r="R45" s="73" t="s">
        <v>71</v>
      </c>
      <c r="S45" s="69" t="s">
        <v>35</v>
      </c>
      <c r="T45" s="73" t="e">
        <f t="array" aca="1" ref="T45" ca="1">MATCH(IF(ISBLANK($AE$11),LARGE(IF($E$65:INDIRECT("E"&amp;$C$61)=$AE$10,INDIRECT(AJ45&amp;65):INDIRECT(AJ45&amp;$C$61)),$AH45),IF(ISBLANK($AE$10),LARGE(IF($D$65:INDIRECT("D"&amp;$C$61)=$AE$11,INDIRECT(AJ45&amp;65):INDIRECT(AJ45&amp;$C$61)),$AH45),LARGE(IF(($E$65:INDIRECT("E"&amp;$C$61)=$AE$10)*($D$65:INDIRECT("D"&amp;$C$61)=$AE$11),INDIRECT(AJ45&amp;65):INDIRECT(AJ45&amp;$C$61)),$AH45))),INDIRECT(AJ45&amp;65):INDIRECT(AJ45&amp;$C$61),0)</f>
        <v>#NUM!</v>
      </c>
      <c r="U45" s="69" t="e">
        <f ca="1">INDEX(D$65:INDIRECT("D"&amp;$C$61),$T45)</f>
        <v>#NUM!</v>
      </c>
      <c r="V45" s="69" t="e">
        <f ca="1">INDEX(INDIRECT(("'MemberID'!$C$6:C"&amp;MemberID!$C$1)),MATCH(U45,INDIRECT(("'MemberID'!$G$6:G"&amp;MemberID!$C$1)),0))</f>
        <v>#NUM!</v>
      </c>
      <c r="W45" s="69" t="e">
        <f ca="1">INDEX(E$65:INDIRECT("E"&amp;$C$61),$T45)</f>
        <v>#NUM!</v>
      </c>
      <c r="X45" t="e">
        <f ca="1">INDEX(F$65:INDIRECT("F"&amp;$C$61),$T45)</f>
        <v>#NUM!</v>
      </c>
      <c r="Y45" t="e">
        <f ca="1">INDEX(G$65:INDIRECT("G"&amp;$C$61),$T45)</f>
        <v>#NUM!</v>
      </c>
      <c r="Z45" t="e">
        <f ca="1">INDEX(H$65:INDIRECT("H"&amp;$C$61),$T45)</f>
        <v>#NUM!</v>
      </c>
      <c r="AA45" t="e">
        <f ca="1">INDEX(I$65:INDIRECT("I"&amp;$C$61),$T45)</f>
        <v>#NUM!</v>
      </c>
      <c r="AB45" t="e">
        <f ca="1">INDEX(J$65:INDIRECT("J"&amp;$C$61),$T45)</f>
        <v>#NUM!</v>
      </c>
      <c r="AC45" t="e">
        <f ca="1">INDEX(K$65:INDIRECT("K"&amp;$C$61),$T45)</f>
        <v>#NUM!</v>
      </c>
      <c r="AD45" t="e">
        <f ca="1">INDEX(L$65:INDIRECT("L"&amp;$C$61),$T45)</f>
        <v>#NUM!</v>
      </c>
      <c r="AE45" t="e">
        <f ca="1">INDEX(M$65:INDIRECT("M"&amp;$C$61),$T45)</f>
        <v>#NUM!</v>
      </c>
      <c r="AF45" s="23" t="e">
        <f t="array" aca="1" ref="AF45" ca="1">IF(ISBLANK($AE$11),LARGE(IF($E$65:INDIRECT("E"&amp;$C$61)=$AE$10,N$65:INDIRECT(AF$13&amp;$C$61)),$AH45),IF(ISBLANK($AE$10),LARGE(IF($D$65:INDIRECT("D"&amp;$C$61)=$AE$11,N$65:INDIRECT(AF$13&amp;$C$61)),$AH45),LARGE(IF(($E$65:INDIRECT("E"&amp;$C$61)=$AE$10)*($D$65:INDIRECT("D"&amp;$C$61)=$AE$11),N$65:INDIRECT(AF$13&amp;$C$61)),$AH45)))</f>
        <v>#NUM!</v>
      </c>
      <c r="AG45" t="e">
        <f ca="1">INDEX(O$65:INDIRECT("O"&amp;$C$61),$T45)</f>
        <v>#NUM!</v>
      </c>
      <c r="AH45" s="69">
        <v>3</v>
      </c>
      <c r="AI45" s="69" t="str">
        <f t="shared" ref="AI45:AJ48" si="4">AI44</f>
        <v>N</v>
      </c>
      <c r="AJ45" s="69" t="str">
        <f t="shared" si="4"/>
        <v>U</v>
      </c>
    </row>
    <row r="46" spans="1:52" x14ac:dyDescent="0.25">
      <c r="A46" s="74" t="s">
        <v>72</v>
      </c>
      <c r="B46" s="69" t="s">
        <v>35</v>
      </c>
      <c r="C46" s="74" t="e">
        <f ca="1">N6</f>
        <v>#N/A</v>
      </c>
      <c r="D46" s="69" t="e">
        <f ca="1">INDEX(D$65:INDIRECT("D"&amp;$C$61),$C46)</f>
        <v>#N/A</v>
      </c>
      <c r="E46" s="69" t="e">
        <f ca="1">INDEX(INDIRECT(("'MemberID'!$C$6:C"&amp;MemberID!$C$1)),MATCH(D46,INDIRECT(("'MemberID'!$G$6:G"&amp;MemberID!$C$1)),0))</f>
        <v>#N/A</v>
      </c>
      <c r="F46" s="69" t="e">
        <f ca="1">INDEX(E$65:INDIRECT("E"&amp;$C$61),$C46)</f>
        <v>#N/A</v>
      </c>
      <c r="G46" t="e">
        <f ca="1">INDEX(F$65:INDIRECT("F"&amp;$C$61),$C46)</f>
        <v>#N/A</v>
      </c>
      <c r="H46" t="e">
        <f ca="1">INDEX(G$65:INDIRECT("G"&amp;$C$61),$C46)</f>
        <v>#N/A</v>
      </c>
      <c r="I46" t="e">
        <f ca="1">INDEX(H$65:INDIRECT("H"&amp;$C$61),$C46)</f>
        <v>#N/A</v>
      </c>
      <c r="J46" t="e">
        <f ca="1">INDEX(I$65:INDIRECT("I"&amp;$C$61),$C46)</f>
        <v>#N/A</v>
      </c>
      <c r="K46" s="7" t="e">
        <f ca="1">INDEX(J$65:INDIRECT("J"&amp;$C$61),$C46)</f>
        <v>#N/A</v>
      </c>
      <c r="L46" t="e">
        <f ca="1">INDEX(K$65:INDIRECT("K"&amp;$C$61),$C46)</f>
        <v>#N/A</v>
      </c>
      <c r="M46" t="e">
        <f ca="1">INDEX(L$65:INDIRECT("L"&amp;$C$61),$C46)</f>
        <v>#N/A</v>
      </c>
      <c r="N46" t="e">
        <f ca="1">INDEX(M$65:INDIRECT("M"&amp;$C$61),$C46)</f>
        <v>#N/A</v>
      </c>
      <c r="O46" s="23" t="e">
        <f ca="1">INDEX(N$65:INDIRECT("N"&amp;$C$61),$C46)</f>
        <v>#N/A</v>
      </c>
      <c r="P46" t="e">
        <f ca="1">INDEX(O$65:INDIRECT("O"&amp;$C$61),$C46)</f>
        <v>#N/A</v>
      </c>
      <c r="Q46" s="104"/>
      <c r="R46" s="74" t="s">
        <v>72</v>
      </c>
      <c r="S46" s="69" t="s">
        <v>35</v>
      </c>
      <c r="T46" s="74" t="e">
        <f t="array" aca="1" ref="T46" ca="1">MATCH(IF(ISBLANK($AE$11),SMALL(IF($E$65:INDIRECT("E"&amp;$C$61)=$AE$10,INDIRECT(AJ46&amp;65):INDIRECT(AJ46&amp;$C$61)),$AH46),IF(ISBLANK($AE$10),SMALL(IF($D$65:INDIRECT("D"&amp;$C$61)=$AE$11,INDIRECT(AJ46&amp;65):INDIRECT(AJ46&amp;$C$61)),$AH46),SMALL(IF(($E$65:INDIRECT("E"&amp;$C$61)=$AE$10)*($D$65:INDIRECT("D"&amp;$C$61)=$AE$11),INDIRECT(AJ46&amp;65):INDIRECT(AJ46&amp;$C$61)),$AH46))),INDIRECT(AJ46&amp;65):INDIRECT(AJ46&amp;$C$61),0)</f>
        <v>#NUM!</v>
      </c>
      <c r="U46" s="69" t="e">
        <f ca="1">INDEX(D$65:INDIRECT("D"&amp;$C$61),$T46)</f>
        <v>#NUM!</v>
      </c>
      <c r="V46" s="69" t="e">
        <f ca="1">INDEX(INDIRECT(("'MemberID'!$C$6:C"&amp;MemberID!$C$1)),MATCH(U46,INDIRECT(("'MemberID'!$G$6:G"&amp;MemberID!$C$1)),0))</f>
        <v>#NUM!</v>
      </c>
      <c r="W46" s="69" t="e">
        <f ca="1">INDEX(E$65:INDIRECT("E"&amp;$C$61),$T46)</f>
        <v>#NUM!</v>
      </c>
      <c r="X46" t="e">
        <f ca="1">INDEX(F$65:INDIRECT("F"&amp;$C$61),$T46)</f>
        <v>#NUM!</v>
      </c>
      <c r="Y46" t="e">
        <f ca="1">INDEX(G$65:INDIRECT("G"&amp;$C$61),$T46)</f>
        <v>#NUM!</v>
      </c>
      <c r="Z46" t="e">
        <f ca="1">INDEX(H$65:INDIRECT("H"&amp;$C$61),$T46)</f>
        <v>#NUM!</v>
      </c>
      <c r="AA46" t="e">
        <f ca="1">INDEX(I$65:INDIRECT("I"&amp;$C$61),$T46)</f>
        <v>#NUM!</v>
      </c>
      <c r="AB46" t="e">
        <f ca="1">INDEX(J$65:INDIRECT("J"&amp;$C$61),$T46)</f>
        <v>#NUM!</v>
      </c>
      <c r="AC46" t="e">
        <f ca="1">INDEX(K$65:INDIRECT("K"&amp;$C$61),$T46)</f>
        <v>#NUM!</v>
      </c>
      <c r="AD46" t="e">
        <f ca="1">INDEX(L$65:INDIRECT("L"&amp;$C$61),$T46)</f>
        <v>#NUM!</v>
      </c>
      <c r="AE46" t="e">
        <f ca="1">INDEX(M$65:INDIRECT("M"&amp;$C$61),$T46)</f>
        <v>#NUM!</v>
      </c>
      <c r="AF46" s="23" t="e">
        <f t="array" aca="1" ref="AF46" ca="1">IF(ISBLANK($AE$11),SMALL(IF($E$65:INDIRECT("E"&amp;$C$61)=$AE$10,N$65:INDIRECT(AF$13&amp;$C$61)),$AH46),IF(ISBLANK($AE$10),SMALL(IF($D$65:INDIRECT("D"&amp;$C$61)=$AE$11,N$65:INDIRECT(AF$13&amp;$C$61)),$AH46),SMALL(IF(($E$65:INDIRECT("E"&amp;$C$61)=$AE$10)*($D$65:INDIRECT("D"&amp;$C$61)=$AE$11),N$65:INDIRECT(AF$13&amp;$C$61)),$AH46)))</f>
        <v>#NUM!</v>
      </c>
      <c r="AG46" t="e">
        <f ca="1">INDEX(O$65:INDIRECT("O"&amp;$C$61),$T46)</f>
        <v>#NUM!</v>
      </c>
      <c r="AH46" s="69">
        <v>1</v>
      </c>
      <c r="AI46" s="69" t="str">
        <f t="shared" si="4"/>
        <v>N</v>
      </c>
      <c r="AJ46" s="69" t="str">
        <f t="shared" si="4"/>
        <v>U</v>
      </c>
    </row>
    <row r="47" spans="1:52" x14ac:dyDescent="0.25">
      <c r="A47" s="74" t="s">
        <v>73</v>
      </c>
      <c r="B47" s="69" t="s">
        <v>35</v>
      </c>
      <c r="C47" s="74" t="e">
        <f ca="1">V6</f>
        <v>#NUM!</v>
      </c>
      <c r="D47" s="69" t="e">
        <f ca="1">INDEX(D$65:INDIRECT("D"&amp;$C$61),$C47)</f>
        <v>#NUM!</v>
      </c>
      <c r="E47" s="69" t="e">
        <f ca="1">INDEX(INDIRECT(("'MemberID'!$C$6:C"&amp;MemberID!$C$1)),MATCH(D47,INDIRECT(("'MemberID'!$G$6:G"&amp;MemberID!$C$1)),0))</f>
        <v>#NUM!</v>
      </c>
      <c r="F47" s="69" t="e">
        <f ca="1">INDEX(E$65:INDIRECT("E"&amp;$C$61),$C47)</f>
        <v>#NUM!</v>
      </c>
      <c r="G47" t="e">
        <f ca="1">INDEX(F$65:INDIRECT("F"&amp;$C$61),$C47)</f>
        <v>#NUM!</v>
      </c>
      <c r="H47" t="e">
        <f ca="1">INDEX(G$65:INDIRECT("G"&amp;$C$61),$C47)</f>
        <v>#NUM!</v>
      </c>
      <c r="I47" t="e">
        <f ca="1">INDEX(H$65:INDIRECT("H"&amp;$C$61),$C47)</f>
        <v>#NUM!</v>
      </c>
      <c r="J47" t="e">
        <f ca="1">INDEX(I$65:INDIRECT("I"&amp;$C$61),$C47)</f>
        <v>#NUM!</v>
      </c>
      <c r="K47" s="7" t="e">
        <f ca="1">INDEX(J$65:INDIRECT("J"&amp;$C$61),$C47)</f>
        <v>#NUM!</v>
      </c>
      <c r="L47" t="e">
        <f ca="1">INDEX(K$65:INDIRECT("K"&amp;$C$61),$C47)</f>
        <v>#NUM!</v>
      </c>
      <c r="M47" t="e">
        <f ca="1">INDEX(L$65:INDIRECT("L"&amp;$C$61),$C47)</f>
        <v>#NUM!</v>
      </c>
      <c r="N47" t="e">
        <f ca="1">INDEX(M$65:INDIRECT("M"&amp;$C$61),$C47)</f>
        <v>#NUM!</v>
      </c>
      <c r="O47" s="23" t="e">
        <f ca="1">INDEX(N$65:INDIRECT("N"&amp;$C$61),$C47)</f>
        <v>#NUM!</v>
      </c>
      <c r="P47" t="e">
        <f ca="1">INDEX(O$65:INDIRECT("O"&amp;$C$61),$C47)</f>
        <v>#NUM!</v>
      </c>
      <c r="Q47" s="104"/>
      <c r="R47" s="74" t="s">
        <v>73</v>
      </c>
      <c r="S47" s="69" t="s">
        <v>35</v>
      </c>
      <c r="T47" s="74" t="e">
        <f t="array" aca="1" ref="T47" ca="1">MATCH(IF(ISBLANK($AE$11),SMALL(IF($E$65:INDIRECT("E"&amp;$C$61)=$AE$10,INDIRECT(AJ47&amp;65):INDIRECT(AJ47&amp;$C$61)),$AH47),IF(ISBLANK($AE$10),SMALL(IF($D$65:INDIRECT("D"&amp;$C$61)=$AE$11,INDIRECT(AJ47&amp;65):INDIRECT(AJ47&amp;$C$61)),$AH47),SMALL(IF(($E$65:INDIRECT("E"&amp;$C$61)=$AE$10)*($D$65:INDIRECT("D"&amp;$C$61)=$AE$11),INDIRECT(AJ47&amp;65):INDIRECT(AJ47&amp;$C$61)),$AH47))),INDIRECT(AJ47&amp;65):INDIRECT(AJ47&amp;$C$61),0)</f>
        <v>#NUM!</v>
      </c>
      <c r="U47" s="69" t="e">
        <f ca="1">INDEX(D$65:INDIRECT("D"&amp;$C$61),$T47)</f>
        <v>#NUM!</v>
      </c>
      <c r="V47" s="69" t="e">
        <f ca="1">INDEX(INDIRECT(("'MemberID'!$C$6:C"&amp;MemberID!$C$1)),MATCH(U47,INDIRECT(("'MemberID'!$G$6:G"&amp;MemberID!$C$1)),0))</f>
        <v>#NUM!</v>
      </c>
      <c r="W47" s="69" t="e">
        <f ca="1">INDEX(E$65:INDIRECT("E"&amp;$C$61),$T47)</f>
        <v>#NUM!</v>
      </c>
      <c r="X47" t="e">
        <f ca="1">INDEX(F$65:INDIRECT("F"&amp;$C$61),$T47)</f>
        <v>#NUM!</v>
      </c>
      <c r="Y47" t="e">
        <f ca="1">INDEX(G$65:INDIRECT("G"&amp;$C$61),$T47)</f>
        <v>#NUM!</v>
      </c>
      <c r="Z47" t="e">
        <f ca="1">INDEX(H$65:INDIRECT("H"&amp;$C$61),$T47)</f>
        <v>#NUM!</v>
      </c>
      <c r="AA47" t="e">
        <f ca="1">INDEX(I$65:INDIRECT("I"&amp;$C$61),$T47)</f>
        <v>#NUM!</v>
      </c>
      <c r="AB47" t="e">
        <f ca="1">INDEX(J$65:INDIRECT("J"&amp;$C$61),$T47)</f>
        <v>#NUM!</v>
      </c>
      <c r="AC47" t="e">
        <f ca="1">INDEX(K$65:INDIRECT("K"&amp;$C$61),$T47)</f>
        <v>#NUM!</v>
      </c>
      <c r="AD47" t="e">
        <f ca="1">INDEX(L$65:INDIRECT("L"&amp;$C$61),$T47)</f>
        <v>#NUM!</v>
      </c>
      <c r="AE47" t="e">
        <f ca="1">INDEX(M$65:INDIRECT("M"&amp;$C$61),$T47)</f>
        <v>#NUM!</v>
      </c>
      <c r="AF47" s="23" t="e">
        <f t="array" aca="1" ref="AF47" ca="1">IF(ISBLANK($AE$11),SMALL(IF($E$65:INDIRECT("E"&amp;$C$61)=$AE$10,N$65:INDIRECT(AF$13&amp;$C$61)),$AH47),IF(ISBLANK($AE$10),SMALL(IF($D$65:INDIRECT("D"&amp;$C$61)=$AE$11,N$65:INDIRECT(AF$13&amp;$C$61)),$AH47),SMALL(IF(($E$65:INDIRECT("E"&amp;$C$61)=$AE$10)*($D$65:INDIRECT("D"&amp;$C$61)=$AE$11),N$65:INDIRECT(AF$13&amp;$C$61)),$AH47)))</f>
        <v>#NUM!</v>
      </c>
      <c r="AG47" t="e">
        <f ca="1">INDEX(O$65:INDIRECT("O"&amp;$C$61),$T47)</f>
        <v>#NUM!</v>
      </c>
      <c r="AH47" s="69">
        <v>2</v>
      </c>
      <c r="AI47" s="69" t="str">
        <f t="shared" si="4"/>
        <v>N</v>
      </c>
      <c r="AJ47" s="69" t="str">
        <f t="shared" si="4"/>
        <v>U</v>
      </c>
    </row>
    <row r="48" spans="1:52" x14ac:dyDescent="0.25">
      <c r="A48" s="74" t="s">
        <v>74</v>
      </c>
      <c r="B48" s="69" t="s">
        <v>35</v>
      </c>
      <c r="C48" s="74" t="e">
        <f ca="1">AD6</f>
        <v>#NUM!</v>
      </c>
      <c r="D48" s="69" t="e">
        <f ca="1">INDEX(D$65:INDIRECT("D"&amp;$C$61),$C48)</f>
        <v>#NUM!</v>
      </c>
      <c r="E48" s="69" t="e">
        <f ca="1">INDEX(INDIRECT(("'MemberID'!$C$6:C"&amp;MemberID!$C$1)),MATCH(D48,INDIRECT(("'MemberID'!$G$6:G"&amp;MemberID!$C$1)),0))</f>
        <v>#NUM!</v>
      </c>
      <c r="F48" s="69" t="e">
        <f ca="1">INDEX(E$65:INDIRECT("E"&amp;$C$61),$C48)</f>
        <v>#NUM!</v>
      </c>
      <c r="G48" t="e">
        <f ca="1">INDEX(F$65:INDIRECT("F"&amp;$C$61),$C48)</f>
        <v>#NUM!</v>
      </c>
      <c r="H48" t="e">
        <f ca="1">INDEX(G$65:INDIRECT("G"&amp;$C$61),$C48)</f>
        <v>#NUM!</v>
      </c>
      <c r="I48" t="e">
        <f ca="1">INDEX(H$65:INDIRECT("H"&amp;$C$61),$C48)</f>
        <v>#NUM!</v>
      </c>
      <c r="J48" t="e">
        <f ca="1">INDEX(I$65:INDIRECT("I"&amp;$C$61),$C48)</f>
        <v>#NUM!</v>
      </c>
      <c r="K48" s="7" t="e">
        <f ca="1">INDEX(J$65:INDIRECT("J"&amp;$C$61),$C48)</f>
        <v>#NUM!</v>
      </c>
      <c r="L48" t="e">
        <f ca="1">INDEX(K$65:INDIRECT("K"&amp;$C$61),$C48)</f>
        <v>#NUM!</v>
      </c>
      <c r="M48" t="e">
        <f ca="1">INDEX(L$65:INDIRECT("L"&amp;$C$61),$C48)</f>
        <v>#NUM!</v>
      </c>
      <c r="N48" t="e">
        <f ca="1">INDEX(M$65:INDIRECT("M"&amp;$C$61),$C48)</f>
        <v>#NUM!</v>
      </c>
      <c r="O48" s="23" t="e">
        <f ca="1">INDEX(N$65:INDIRECT("N"&amp;$C$61),$C48)</f>
        <v>#NUM!</v>
      </c>
      <c r="P48" t="e">
        <f ca="1">INDEX(O$65:INDIRECT("O"&amp;$C$61),$C48)</f>
        <v>#NUM!</v>
      </c>
      <c r="Q48" s="104"/>
      <c r="R48" s="74" t="s">
        <v>74</v>
      </c>
      <c r="S48" s="69" t="s">
        <v>35</v>
      </c>
      <c r="T48" s="74" t="e">
        <f t="array" aca="1" ref="T48" ca="1">MATCH(IF(ISBLANK($AE$11),SMALL(IF($E$65:INDIRECT("E"&amp;$C$61)=$AE$10,INDIRECT(AJ48&amp;65):INDIRECT(AJ48&amp;$C$61)),$AH48),IF(ISBLANK($AE$10),SMALL(IF($D$65:INDIRECT("D"&amp;$C$61)=$AE$11,INDIRECT(AJ48&amp;65):INDIRECT(AJ48&amp;$C$61)),$AH48),SMALL(IF(($E$65:INDIRECT("E"&amp;$C$61)=$AE$10)*($D$65:INDIRECT("D"&amp;$C$61)=$AE$11),INDIRECT(AJ48&amp;65):INDIRECT(AJ48&amp;$C$61)),$AH48))),INDIRECT(AJ48&amp;65):INDIRECT(AJ48&amp;$C$61),0)</f>
        <v>#NUM!</v>
      </c>
      <c r="U48" s="69" t="e">
        <f ca="1">INDEX(D$65:INDIRECT("D"&amp;$C$61),$T48)</f>
        <v>#NUM!</v>
      </c>
      <c r="V48" s="69" t="e">
        <f ca="1">INDEX(INDIRECT(("'MemberID'!$C$6:C"&amp;MemberID!$C$1)),MATCH(U48,INDIRECT(("'MemberID'!$G$6:G"&amp;MemberID!$C$1)),0))</f>
        <v>#NUM!</v>
      </c>
      <c r="W48" s="69" t="e">
        <f ca="1">INDEX(E$65:INDIRECT("E"&amp;$C$61),$T48)</f>
        <v>#NUM!</v>
      </c>
      <c r="X48" t="e">
        <f ca="1">INDEX(F$65:INDIRECT("F"&amp;$C$61),$T48)</f>
        <v>#NUM!</v>
      </c>
      <c r="Y48" t="e">
        <f ca="1">INDEX(G$65:INDIRECT("G"&amp;$C$61),$T48)</f>
        <v>#NUM!</v>
      </c>
      <c r="Z48" t="e">
        <f ca="1">INDEX(H$65:INDIRECT("H"&amp;$C$61),$T48)</f>
        <v>#NUM!</v>
      </c>
      <c r="AA48" t="e">
        <f ca="1">INDEX(I$65:INDIRECT("I"&amp;$C$61),$T48)</f>
        <v>#NUM!</v>
      </c>
      <c r="AB48" t="e">
        <f ca="1">INDEX(J$65:INDIRECT("J"&amp;$C$61),$T48)</f>
        <v>#NUM!</v>
      </c>
      <c r="AC48" t="e">
        <f ca="1">INDEX(K$65:INDIRECT("K"&amp;$C$61),$T48)</f>
        <v>#NUM!</v>
      </c>
      <c r="AD48" t="e">
        <f ca="1">INDEX(L$65:INDIRECT("L"&amp;$C$61),$T48)</f>
        <v>#NUM!</v>
      </c>
      <c r="AE48" t="e">
        <f ca="1">INDEX(M$65:INDIRECT("M"&amp;$C$61),$T48)</f>
        <v>#NUM!</v>
      </c>
      <c r="AF48" s="23" t="e">
        <f t="array" aca="1" ref="AF48" ca="1">IF(ISBLANK($AE$11),SMALL(IF($E$65:INDIRECT("E"&amp;$C$61)=$AE$10,N$65:INDIRECT(AF$13&amp;$C$61)),$AH48),IF(ISBLANK($AE$10),SMALL(IF($D$65:INDIRECT("D"&amp;$C$61)=$AE$11,N$65:INDIRECT(AF$13&amp;$C$61)),$AH48),SMALL(IF(($E$65:INDIRECT("E"&amp;$C$61)=$AE$10)*($D$65:INDIRECT("D"&amp;$C$61)=$AE$11),N$65:INDIRECT(AF$13&amp;$C$61)),$AH48)))</f>
        <v>#NUM!</v>
      </c>
      <c r="AG48" t="e">
        <f ca="1">INDEX(O$65:INDIRECT("O"&amp;$C$61),$T48)</f>
        <v>#NUM!</v>
      </c>
      <c r="AH48" s="69">
        <v>3</v>
      </c>
      <c r="AI48" s="69" t="str">
        <f t="shared" si="4"/>
        <v>N</v>
      </c>
      <c r="AJ48" s="69" t="str">
        <f t="shared" si="4"/>
        <v>U</v>
      </c>
    </row>
    <row r="49" spans="1:43" x14ac:dyDescent="0.25">
      <c r="B49" s="69"/>
      <c r="C49" s="69"/>
      <c r="D49" s="69"/>
      <c r="E49" s="69"/>
      <c r="F49" s="69"/>
      <c r="K49" s="7"/>
      <c r="Q49" s="104"/>
      <c r="S49" s="69"/>
      <c r="T49" s="69"/>
      <c r="V49" s="69"/>
      <c r="W49" s="69"/>
      <c r="AH49" s="69"/>
      <c r="AI49" s="69"/>
      <c r="AJ49" s="69"/>
    </row>
    <row r="50" spans="1:43" x14ac:dyDescent="0.25">
      <c r="A50" s="73" t="s">
        <v>69</v>
      </c>
      <c r="B50" s="69" t="s">
        <v>36</v>
      </c>
      <c r="C50" s="73" t="e">
        <f ca="1">O3</f>
        <v>#N/A</v>
      </c>
      <c r="D50" s="69" t="e">
        <f ca="1">INDEX(D$65:INDIRECT("D"&amp;$C$61),$C50)</f>
        <v>#N/A</v>
      </c>
      <c r="E50" s="69" t="e">
        <f ca="1">INDEX(INDIRECT(("'MemberID'!$C$6:C"&amp;MemberID!$C$1)),MATCH(D50,INDIRECT(("'MemberID'!$G$6:G"&amp;MemberID!$C$1)),0))</f>
        <v>#N/A</v>
      </c>
      <c r="F50" s="69" t="e">
        <f ca="1">INDEX(E$65:INDIRECT("E"&amp;$C$61),$C50)</f>
        <v>#N/A</v>
      </c>
      <c r="G50" t="e">
        <f ca="1">INDEX(F$65:INDIRECT("F"&amp;$C$61),$C50)</f>
        <v>#N/A</v>
      </c>
      <c r="H50" t="e">
        <f ca="1">INDEX(G$65:INDIRECT("G"&amp;$C$61),$C50)</f>
        <v>#N/A</v>
      </c>
      <c r="I50" t="e">
        <f ca="1">INDEX(H$65:INDIRECT("H"&amp;$C$61),$C50)</f>
        <v>#N/A</v>
      </c>
      <c r="J50" t="e">
        <f ca="1">INDEX(I$65:INDIRECT("I"&amp;$C$61),$C50)</f>
        <v>#N/A</v>
      </c>
      <c r="K50" s="7" t="e">
        <f ca="1">INDEX(J$65:INDIRECT("J"&amp;$C$61),$C50)</f>
        <v>#N/A</v>
      </c>
      <c r="L50" t="e">
        <f ca="1">INDEX(K$65:INDIRECT("K"&amp;$C$61),$C50)</f>
        <v>#N/A</v>
      </c>
      <c r="M50" t="e">
        <f ca="1">INDEX(L$65:INDIRECT("L"&amp;$C$61),$C50)</f>
        <v>#N/A</v>
      </c>
      <c r="N50" t="e">
        <f ca="1">INDEX(M$65:INDIRECT("M"&amp;$C$61),$C50)</f>
        <v>#N/A</v>
      </c>
      <c r="O50" t="e">
        <f ca="1">INDEX(N$65:INDIRECT("N"&amp;$C$61),$C50)</f>
        <v>#N/A</v>
      </c>
      <c r="P50" s="23" t="e">
        <f ca="1">INDEX(O$65:INDIRECT("O"&amp;$C$61),$C50)</f>
        <v>#N/A</v>
      </c>
      <c r="Q50" s="104"/>
      <c r="R50" s="73" t="s">
        <v>69</v>
      </c>
      <c r="S50" s="69" t="s">
        <v>36</v>
      </c>
      <c r="T50" s="73" t="e">
        <f t="array" aca="1" ref="T50" ca="1">MATCH(IF(ISBLANK($AE$11),LARGE(IF($E$65:INDIRECT("E"&amp;$C$61)=$AE$10,INDIRECT(AJ50&amp;65):INDIRECT(AJ50&amp;$C$61)),$AH50),IF(ISBLANK($AE$10),LARGE(IF($D$65:INDIRECT("D"&amp;$C$61)=$AE$11,INDIRECT(AJ50&amp;65):INDIRECT(AJ50&amp;$C$61)),$AH50),LARGE(IF(($E$65:INDIRECT("E"&amp;$C$61)=$AE$10)*($D$65:INDIRECT("D"&amp;$C$61)=$AE$11),INDIRECT(AJ50&amp;65):INDIRECT(AJ50&amp;$C$61)),$AH50))),INDIRECT(AJ50&amp;65):INDIRECT(AJ50&amp;$C$61),0)</f>
        <v>#NUM!</v>
      </c>
      <c r="U50" s="69" t="e">
        <f ca="1">INDEX(D$65:INDIRECT("D"&amp;$C$61),$T50)</f>
        <v>#NUM!</v>
      </c>
      <c r="V50" s="69" t="e">
        <f ca="1">INDEX(INDIRECT(("'MemberID'!$C$6:C"&amp;MemberID!$C$1)),MATCH(U50,INDIRECT(("'MemberID'!$G$6:G"&amp;MemberID!$C$1)),0))</f>
        <v>#NUM!</v>
      </c>
      <c r="W50" s="69" t="e">
        <f ca="1">INDEX(E$65:INDIRECT("E"&amp;$C$61),$T50)</f>
        <v>#NUM!</v>
      </c>
      <c r="X50" t="e">
        <f ca="1">INDEX(F$65:INDIRECT("F"&amp;$C$61),$T50)</f>
        <v>#NUM!</v>
      </c>
      <c r="Y50" t="e">
        <f ca="1">INDEX(G$65:INDIRECT("G"&amp;$C$61),$T50)</f>
        <v>#NUM!</v>
      </c>
      <c r="Z50" t="e">
        <f ca="1">INDEX(H$65:INDIRECT("H"&amp;$C$61),$T50)</f>
        <v>#NUM!</v>
      </c>
      <c r="AA50" t="e">
        <f ca="1">INDEX(I$65:INDIRECT("I"&amp;$C$61),$T50)</f>
        <v>#NUM!</v>
      </c>
      <c r="AB50" t="e">
        <f ca="1">INDEX(J$65:INDIRECT("J"&amp;$C$61),$T50)</f>
        <v>#NUM!</v>
      </c>
      <c r="AC50" t="e">
        <f ca="1">INDEX(K$65:INDIRECT("K"&amp;$C$61),$T50)</f>
        <v>#NUM!</v>
      </c>
      <c r="AD50" t="e">
        <f ca="1">INDEX(L$65:INDIRECT("L"&amp;$C$61),$T50)</f>
        <v>#NUM!</v>
      </c>
      <c r="AE50" t="e">
        <f ca="1">INDEX(M$65:INDIRECT("M"&amp;$C$61),$T50)</f>
        <v>#NUM!</v>
      </c>
      <c r="AF50" t="e">
        <f ca="1">INDEX(N$65:INDIRECT("N"&amp;$C$61),$T50)</f>
        <v>#NUM!</v>
      </c>
      <c r="AG50" s="23" t="e">
        <f t="array" aca="1" ref="AG50" ca="1">IF(ISBLANK($AE$11),LARGE(IF($E$65:INDIRECT("E"&amp;$C$61)=$AE$10,O$65:INDIRECT(AG$13&amp;$C$61)),$AH50),IF(ISBLANK($AE$10),LARGE(IF($D$65:INDIRECT("D"&amp;$C$61)=$AE$11,O$65:INDIRECT(AG$13&amp;$C$61)),$AH50),LARGE(IF(($E$65:INDIRECT("E"&amp;$C$61)=$AE$10)*($D$65:INDIRECT("D"&amp;$C$61)=$AE$11),O$65:INDIRECT(AG$13&amp;$C$61)),$AH50)))</f>
        <v>#NUM!</v>
      </c>
      <c r="AH50" s="69">
        <v>1</v>
      </c>
      <c r="AI50" s="69" t="s">
        <v>155</v>
      </c>
      <c r="AJ50" s="69" t="s">
        <v>197</v>
      </c>
    </row>
    <row r="51" spans="1:43" x14ac:dyDescent="0.25">
      <c r="A51" s="73" t="s">
        <v>70</v>
      </c>
      <c r="B51" s="69" t="s">
        <v>36</v>
      </c>
      <c r="C51" s="73" t="e">
        <f ca="1">W3</f>
        <v>#NUM!</v>
      </c>
      <c r="D51" s="69" t="e">
        <f ca="1">INDEX(D$65:INDIRECT("D"&amp;$C$61),$C51)</f>
        <v>#NUM!</v>
      </c>
      <c r="E51" s="69" t="e">
        <f ca="1">INDEX(INDIRECT(("'MemberID'!$C$6:C"&amp;MemberID!$C$1)),MATCH(D51,INDIRECT(("'MemberID'!$G$6:G"&amp;MemberID!$C$1)),0))</f>
        <v>#NUM!</v>
      </c>
      <c r="F51" s="69" t="e">
        <f ca="1">INDEX(E$65:INDIRECT("E"&amp;$C$61),$C51)</f>
        <v>#NUM!</v>
      </c>
      <c r="G51" t="e">
        <f ca="1">INDEX(F$65:INDIRECT("F"&amp;$C$61),$C51)</f>
        <v>#NUM!</v>
      </c>
      <c r="H51" t="e">
        <f ca="1">INDEX(G$65:INDIRECT("G"&amp;$C$61),$C51)</f>
        <v>#NUM!</v>
      </c>
      <c r="I51" t="e">
        <f ca="1">INDEX(H$65:INDIRECT("H"&amp;$C$61),$C51)</f>
        <v>#NUM!</v>
      </c>
      <c r="J51" t="e">
        <f ca="1">INDEX(I$65:INDIRECT("I"&amp;$C$61),$C51)</f>
        <v>#NUM!</v>
      </c>
      <c r="K51" s="7" t="e">
        <f ca="1">INDEX(J$65:INDIRECT("J"&amp;$C$61),$C51)</f>
        <v>#NUM!</v>
      </c>
      <c r="L51" t="e">
        <f ca="1">INDEX(K$65:INDIRECT("K"&amp;$C$61),$C51)</f>
        <v>#NUM!</v>
      </c>
      <c r="M51" t="e">
        <f ca="1">INDEX(L$65:INDIRECT("L"&amp;$C$61),$C51)</f>
        <v>#NUM!</v>
      </c>
      <c r="N51" t="e">
        <f ca="1">INDEX(M$65:INDIRECT("M"&amp;$C$61),$C51)</f>
        <v>#NUM!</v>
      </c>
      <c r="O51" t="e">
        <f ca="1">INDEX(N$65:INDIRECT("N"&amp;$C$61),$C51)</f>
        <v>#NUM!</v>
      </c>
      <c r="P51" s="23" t="e">
        <f ca="1">INDEX(O$65:INDIRECT("O"&amp;$C$61),$C51)</f>
        <v>#NUM!</v>
      </c>
      <c r="Q51" s="104"/>
      <c r="R51" s="73" t="s">
        <v>70</v>
      </c>
      <c r="S51" s="69" t="s">
        <v>36</v>
      </c>
      <c r="T51" s="73" t="e">
        <f t="array" aca="1" ref="T51" ca="1">MATCH(IF(ISBLANK($AE$11),LARGE(IF($E$65:INDIRECT("E"&amp;$C$61)=$AE$10,INDIRECT(AJ51&amp;65):INDIRECT(AJ51&amp;$C$61)),$AH51),IF(ISBLANK($AE$10),LARGE(IF($D$65:INDIRECT("D"&amp;$C$61)=$AE$11,INDIRECT(AJ51&amp;65):INDIRECT(AJ51&amp;$C$61)),$AH51),LARGE(IF(($E$65:INDIRECT("E"&amp;$C$61)=$AE$10)*($D$65:INDIRECT("D"&amp;$C$61)=$AE$11),INDIRECT(AJ51&amp;65):INDIRECT(AJ51&amp;$C$61)),$AH51))),INDIRECT(AJ51&amp;65):INDIRECT(AJ51&amp;$C$61),0)</f>
        <v>#NUM!</v>
      </c>
      <c r="U51" s="69" t="e">
        <f ca="1">INDEX(D$65:INDIRECT("D"&amp;$C$61),$T51)</f>
        <v>#NUM!</v>
      </c>
      <c r="V51" s="69" t="e">
        <f ca="1">INDEX(INDIRECT(("'MemberID'!$C$6:C"&amp;MemberID!$C$1)),MATCH(U51,INDIRECT(("'MemberID'!$G$6:G"&amp;MemberID!$C$1)),0))</f>
        <v>#NUM!</v>
      </c>
      <c r="W51" s="69" t="e">
        <f ca="1">INDEX(E$65:INDIRECT("E"&amp;$C$61),$T51)</f>
        <v>#NUM!</v>
      </c>
      <c r="X51" t="e">
        <f ca="1">INDEX(F$65:INDIRECT("F"&amp;$C$61),$T51)</f>
        <v>#NUM!</v>
      </c>
      <c r="Y51" t="e">
        <f ca="1">INDEX(G$65:INDIRECT("G"&amp;$C$61),$T51)</f>
        <v>#NUM!</v>
      </c>
      <c r="Z51" t="e">
        <f ca="1">INDEX(H$65:INDIRECT("H"&amp;$C$61),$T51)</f>
        <v>#NUM!</v>
      </c>
      <c r="AA51" t="e">
        <f ca="1">INDEX(I$65:INDIRECT("I"&amp;$C$61),$T51)</f>
        <v>#NUM!</v>
      </c>
      <c r="AB51" t="e">
        <f ca="1">INDEX(J$65:INDIRECT("J"&amp;$C$61),$T51)</f>
        <v>#NUM!</v>
      </c>
      <c r="AC51" t="e">
        <f ca="1">INDEX(K$65:INDIRECT("K"&amp;$C$61),$T51)</f>
        <v>#NUM!</v>
      </c>
      <c r="AD51" t="e">
        <f ca="1">INDEX(L$65:INDIRECT("L"&amp;$C$61),$T51)</f>
        <v>#NUM!</v>
      </c>
      <c r="AE51" t="e">
        <f ca="1">INDEX(M$65:INDIRECT("M"&amp;$C$61),$T51)</f>
        <v>#NUM!</v>
      </c>
      <c r="AF51" t="e">
        <f ca="1">INDEX(N$65:INDIRECT("N"&amp;$C$61),$T51)</f>
        <v>#NUM!</v>
      </c>
      <c r="AG51" s="23" t="e">
        <f t="array" aca="1" ref="AG51" ca="1">IF(ISBLANK($AE$11),LARGE(IF($E$65:INDIRECT("E"&amp;$C$61)=$AE$10,O$65:INDIRECT(AG$13&amp;$C$61)),$AH51),IF(ISBLANK($AE$10),LARGE(IF($D$65:INDIRECT("D"&amp;$C$61)=$AE$11,O$65:INDIRECT(AG$13&amp;$C$61)),$AH51),LARGE(IF(($E$65:INDIRECT("E"&amp;$C$61)=$AE$10)*($D$65:INDIRECT("D"&amp;$C$61)=$AE$11),O$65:INDIRECT(AG$13&amp;$C$61)),$AH51)))</f>
        <v>#NUM!</v>
      </c>
      <c r="AH51" s="69">
        <v>2</v>
      </c>
      <c r="AI51" s="69" t="str">
        <f>AI50</f>
        <v>O</v>
      </c>
      <c r="AJ51" s="69" t="str">
        <f>AJ50</f>
        <v>V</v>
      </c>
    </row>
    <row r="52" spans="1:43" x14ac:dyDescent="0.25">
      <c r="A52" s="73" t="s">
        <v>71</v>
      </c>
      <c r="B52" s="69" t="s">
        <v>36</v>
      </c>
      <c r="C52" s="73" t="e">
        <f ca="1">AE3</f>
        <v>#NUM!</v>
      </c>
      <c r="D52" s="69" t="e">
        <f ca="1">INDEX(D$65:INDIRECT("D"&amp;$C$61),$C52)</f>
        <v>#NUM!</v>
      </c>
      <c r="E52" s="69" t="e">
        <f ca="1">INDEX(INDIRECT(("'MemberID'!$C$6:C"&amp;MemberID!$C$1)),MATCH(D52,INDIRECT(("'MemberID'!$G$6:G"&amp;MemberID!$C$1)),0))</f>
        <v>#NUM!</v>
      </c>
      <c r="F52" s="69" t="e">
        <f ca="1">INDEX(E$65:INDIRECT("E"&amp;$C$61),$C52)</f>
        <v>#NUM!</v>
      </c>
      <c r="G52" t="e">
        <f ca="1">INDEX(F$65:INDIRECT("F"&amp;$C$61),$C52)</f>
        <v>#NUM!</v>
      </c>
      <c r="H52" t="e">
        <f ca="1">INDEX(G$65:INDIRECT("G"&amp;$C$61),$C52)</f>
        <v>#NUM!</v>
      </c>
      <c r="I52" t="e">
        <f ca="1">INDEX(H$65:INDIRECT("H"&amp;$C$61),$C52)</f>
        <v>#NUM!</v>
      </c>
      <c r="J52" t="e">
        <f ca="1">INDEX(I$65:INDIRECT("I"&amp;$C$61),$C52)</f>
        <v>#NUM!</v>
      </c>
      <c r="K52" s="7" t="e">
        <f ca="1">INDEX(J$65:INDIRECT("J"&amp;$C$61),$C52)</f>
        <v>#NUM!</v>
      </c>
      <c r="L52" t="e">
        <f ca="1">INDEX(K$65:INDIRECT("K"&amp;$C$61),$C52)</f>
        <v>#NUM!</v>
      </c>
      <c r="M52" t="e">
        <f ca="1">INDEX(L$65:INDIRECT("L"&amp;$C$61),$C52)</f>
        <v>#NUM!</v>
      </c>
      <c r="N52" t="e">
        <f ca="1">INDEX(M$65:INDIRECT("M"&amp;$C$61),$C52)</f>
        <v>#NUM!</v>
      </c>
      <c r="O52" t="e">
        <f ca="1">INDEX(N$65:INDIRECT("N"&amp;$C$61),$C52)</f>
        <v>#NUM!</v>
      </c>
      <c r="P52" s="23" t="e">
        <f ca="1">INDEX(O$65:INDIRECT("O"&amp;$C$61),$C52)</f>
        <v>#NUM!</v>
      </c>
      <c r="Q52" s="104"/>
      <c r="R52" s="73" t="s">
        <v>71</v>
      </c>
      <c r="S52" s="69" t="s">
        <v>36</v>
      </c>
      <c r="T52" s="73" t="e">
        <f t="array" aca="1" ref="T52" ca="1">MATCH(IF(ISBLANK($AE$11),LARGE(IF($E$65:INDIRECT("E"&amp;$C$61)=$AE$10,INDIRECT(AJ52&amp;65):INDIRECT(AJ52&amp;$C$61)),$AH52),IF(ISBLANK($AE$10),LARGE(IF($D$65:INDIRECT("D"&amp;$C$61)=$AE$11,INDIRECT(AJ52&amp;65):INDIRECT(AJ52&amp;$C$61)),$AH52),LARGE(IF(($E$65:INDIRECT("E"&amp;$C$61)=$AE$10)*($D$65:INDIRECT("D"&amp;$C$61)=$AE$11),INDIRECT(AJ52&amp;65):INDIRECT(AJ52&amp;$C$61)),$AH52))),INDIRECT(AJ52&amp;65):INDIRECT(AJ52&amp;$C$61),0)</f>
        <v>#NUM!</v>
      </c>
      <c r="U52" s="69" t="e">
        <f ca="1">INDEX(D$65:INDIRECT("D"&amp;$C$61),$T52)</f>
        <v>#NUM!</v>
      </c>
      <c r="V52" s="69" t="e">
        <f ca="1">INDEX(INDIRECT(("'MemberID'!$C$6:C"&amp;MemberID!$C$1)),MATCH(U52,INDIRECT(("'MemberID'!$G$6:G"&amp;MemberID!$C$1)),0))</f>
        <v>#NUM!</v>
      </c>
      <c r="W52" s="69" t="e">
        <f ca="1">INDEX(E$65:INDIRECT("E"&amp;$C$61),$T52)</f>
        <v>#NUM!</v>
      </c>
      <c r="X52" t="e">
        <f ca="1">INDEX(F$65:INDIRECT("F"&amp;$C$61),$T52)</f>
        <v>#NUM!</v>
      </c>
      <c r="Y52" t="e">
        <f ca="1">INDEX(G$65:INDIRECT("G"&amp;$C$61),$T52)</f>
        <v>#NUM!</v>
      </c>
      <c r="Z52" t="e">
        <f ca="1">INDEX(H$65:INDIRECT("H"&amp;$C$61),$T52)</f>
        <v>#NUM!</v>
      </c>
      <c r="AA52" t="e">
        <f ca="1">INDEX(I$65:INDIRECT("I"&amp;$C$61),$T52)</f>
        <v>#NUM!</v>
      </c>
      <c r="AB52" t="e">
        <f ca="1">INDEX(J$65:INDIRECT("J"&amp;$C$61),$T52)</f>
        <v>#NUM!</v>
      </c>
      <c r="AC52" t="e">
        <f ca="1">INDEX(K$65:INDIRECT("K"&amp;$C$61),$T52)</f>
        <v>#NUM!</v>
      </c>
      <c r="AD52" t="e">
        <f ca="1">INDEX(L$65:INDIRECT("L"&amp;$C$61),$T52)</f>
        <v>#NUM!</v>
      </c>
      <c r="AE52" t="e">
        <f ca="1">INDEX(M$65:INDIRECT("M"&amp;$C$61),$T52)</f>
        <v>#NUM!</v>
      </c>
      <c r="AF52" t="e">
        <f ca="1">INDEX(N$65:INDIRECT("N"&amp;$C$61),$T52)</f>
        <v>#NUM!</v>
      </c>
      <c r="AG52" s="23" t="e">
        <f t="array" aca="1" ref="AG52" ca="1">IF(ISBLANK($AE$11),LARGE(IF($E$65:INDIRECT("E"&amp;$C$61)=$AE$10,O$65:INDIRECT(AG$13&amp;$C$61)),$AH52),IF(ISBLANK($AE$10),LARGE(IF($D$65:INDIRECT("D"&amp;$C$61)=$AE$11,O$65:INDIRECT(AG$13&amp;$C$61)),$AH52),LARGE(IF(($E$65:INDIRECT("E"&amp;$C$61)=$AE$10)*($D$65:INDIRECT("D"&amp;$C$61)=$AE$11),O$65:INDIRECT(AG$13&amp;$C$61)),$AH52)))</f>
        <v>#NUM!</v>
      </c>
      <c r="AH52" s="69">
        <v>3</v>
      </c>
      <c r="AI52" s="69" t="str">
        <f t="shared" ref="AI52:AJ55" si="5">AI51</f>
        <v>O</v>
      </c>
      <c r="AJ52" s="69" t="str">
        <f t="shared" si="5"/>
        <v>V</v>
      </c>
    </row>
    <row r="53" spans="1:43" x14ac:dyDescent="0.25">
      <c r="A53" s="74" t="s">
        <v>72</v>
      </c>
      <c r="B53" s="69" t="s">
        <v>36</v>
      </c>
      <c r="C53" s="74" t="e">
        <f ca="1">O6</f>
        <v>#N/A</v>
      </c>
      <c r="D53" s="69" t="e">
        <f ca="1">INDEX(D$65:INDIRECT("D"&amp;$C$61),$C53)</f>
        <v>#N/A</v>
      </c>
      <c r="E53" s="69" t="e">
        <f ca="1">INDEX(INDIRECT(("'MemberID'!$C$6:C"&amp;MemberID!$C$1)),MATCH(D53,INDIRECT(("'MemberID'!$G$6:G"&amp;MemberID!$C$1)),0))</f>
        <v>#N/A</v>
      </c>
      <c r="F53" s="69" t="e">
        <f ca="1">INDEX(E$65:INDIRECT("E"&amp;$C$61),$C53)</f>
        <v>#N/A</v>
      </c>
      <c r="G53" t="e">
        <f ca="1">INDEX(F$65:INDIRECT("F"&amp;$C$61),$C53)</f>
        <v>#N/A</v>
      </c>
      <c r="H53" t="e">
        <f ca="1">INDEX(G$65:INDIRECT("G"&amp;$C$61),$C53)</f>
        <v>#N/A</v>
      </c>
      <c r="I53" t="e">
        <f ca="1">INDEX(H$65:INDIRECT("H"&amp;$C$61),$C53)</f>
        <v>#N/A</v>
      </c>
      <c r="J53" t="e">
        <f ca="1">INDEX(I$65:INDIRECT("I"&amp;$C$61),$C53)</f>
        <v>#N/A</v>
      </c>
      <c r="K53" s="7" t="e">
        <f ca="1">INDEX(J$65:INDIRECT("J"&amp;$C$61),$C53)</f>
        <v>#N/A</v>
      </c>
      <c r="L53" t="e">
        <f ca="1">INDEX(K$65:INDIRECT("K"&amp;$C$61),$C53)</f>
        <v>#N/A</v>
      </c>
      <c r="M53" t="e">
        <f ca="1">INDEX(L$65:INDIRECT("L"&amp;$C$61),$C53)</f>
        <v>#N/A</v>
      </c>
      <c r="N53" t="e">
        <f ca="1">INDEX(M$65:INDIRECT("M"&amp;$C$61),$C53)</f>
        <v>#N/A</v>
      </c>
      <c r="O53" t="e">
        <f ca="1">INDEX(N$65:INDIRECT("N"&amp;$C$61),$C53)</f>
        <v>#N/A</v>
      </c>
      <c r="P53" s="23" t="e">
        <f ca="1">INDEX(O$65:INDIRECT("O"&amp;$C$61),$C53)</f>
        <v>#N/A</v>
      </c>
      <c r="Q53" s="104"/>
      <c r="R53" s="74" t="s">
        <v>72</v>
      </c>
      <c r="S53" s="69" t="s">
        <v>36</v>
      </c>
      <c r="T53" s="74" t="e">
        <f t="array" aca="1" ref="T53" ca="1">MATCH(IF(ISBLANK($AE$11),SMALL(IF($E$65:INDIRECT("E"&amp;$C$61)=$AE$10,INDIRECT(AJ53&amp;65):INDIRECT(AJ53&amp;$C$61)),$AH53),IF(ISBLANK($AE$10),SMALL(IF($D$65:INDIRECT("D"&amp;$C$61)=$AE$11,INDIRECT(AJ53&amp;65):INDIRECT(AJ53&amp;$C$61)),$AH53),SMALL(IF(($E$65:INDIRECT("E"&amp;$C$61)=$AE$10)*($D$65:INDIRECT("D"&amp;$C$61)=$AE$11),INDIRECT(AJ53&amp;65):INDIRECT(AJ53&amp;$C$61)),$AH53))),INDIRECT(AJ53&amp;65):INDIRECT(AJ53&amp;$C$61),0)</f>
        <v>#NUM!</v>
      </c>
      <c r="U53" s="69" t="e">
        <f ca="1">INDEX(D$65:INDIRECT("D"&amp;$C$61),$T53)</f>
        <v>#NUM!</v>
      </c>
      <c r="V53" s="69" t="e">
        <f ca="1">INDEX(INDIRECT(("'MemberID'!$C$6:C"&amp;MemberID!$C$1)),MATCH(U53,INDIRECT(("'MemberID'!$G$6:G"&amp;MemberID!$C$1)),0))</f>
        <v>#NUM!</v>
      </c>
      <c r="W53" s="69" t="e">
        <f ca="1">INDEX(E$65:INDIRECT("E"&amp;$C$61),$T53)</f>
        <v>#NUM!</v>
      </c>
      <c r="X53" t="e">
        <f ca="1">INDEX(F$65:INDIRECT("F"&amp;$C$61),$T53)</f>
        <v>#NUM!</v>
      </c>
      <c r="Y53" t="e">
        <f ca="1">INDEX(G$65:INDIRECT("G"&amp;$C$61),$T53)</f>
        <v>#NUM!</v>
      </c>
      <c r="Z53" t="e">
        <f ca="1">INDEX(H$65:INDIRECT("H"&amp;$C$61),$T53)</f>
        <v>#NUM!</v>
      </c>
      <c r="AA53" t="e">
        <f ca="1">INDEX(I$65:INDIRECT("I"&amp;$C$61),$T53)</f>
        <v>#NUM!</v>
      </c>
      <c r="AB53" t="e">
        <f ca="1">INDEX(J$65:INDIRECT("J"&amp;$C$61),$T53)</f>
        <v>#NUM!</v>
      </c>
      <c r="AC53" t="e">
        <f ca="1">INDEX(K$65:INDIRECT("K"&amp;$C$61),$T53)</f>
        <v>#NUM!</v>
      </c>
      <c r="AD53" t="e">
        <f ca="1">INDEX(L$65:INDIRECT("L"&amp;$C$61),$T53)</f>
        <v>#NUM!</v>
      </c>
      <c r="AE53" t="e">
        <f ca="1">INDEX(M$65:INDIRECT("M"&amp;$C$61),$T53)</f>
        <v>#NUM!</v>
      </c>
      <c r="AF53" t="e">
        <f ca="1">INDEX(N$65:INDIRECT("N"&amp;$C$61),$T53)</f>
        <v>#NUM!</v>
      </c>
      <c r="AG53" s="23" t="e">
        <f t="array" aca="1" ref="AG53" ca="1">IF(ISBLANK($AE$11),SMALL(IF($E$65:INDIRECT("E"&amp;$C$61)=$AE$10,O$65:INDIRECT(AG$13&amp;$C$61)),$AH53),IF(ISBLANK($AE$10),SMALL(IF($D$65:INDIRECT("D"&amp;$C$61)=$AE$11,O$65:INDIRECT(AG$13&amp;$C$61)),$AH53),SMALL(IF(($E$65:INDIRECT("E"&amp;$C$61)=$AE$10)*($D$65:INDIRECT("D"&amp;$C$61)=$AE$11),O$65:INDIRECT(AG$13&amp;$C$61)),$AH53)))</f>
        <v>#NUM!</v>
      </c>
      <c r="AH53" s="69">
        <v>1</v>
      </c>
      <c r="AI53" s="69" t="str">
        <f t="shared" si="5"/>
        <v>O</v>
      </c>
      <c r="AJ53" s="69" t="str">
        <f t="shared" si="5"/>
        <v>V</v>
      </c>
    </row>
    <row r="54" spans="1:43" x14ac:dyDescent="0.25">
      <c r="A54" s="74" t="s">
        <v>73</v>
      </c>
      <c r="B54" s="69" t="s">
        <v>36</v>
      </c>
      <c r="C54" s="74" t="e">
        <f ca="1">W6</f>
        <v>#NUM!</v>
      </c>
      <c r="D54" s="69" t="e">
        <f ca="1">INDEX(D$65:INDIRECT("D"&amp;$C$61),$C54)</f>
        <v>#NUM!</v>
      </c>
      <c r="E54" s="69" t="e">
        <f ca="1">INDEX(INDIRECT(("'MemberID'!$C$6:C"&amp;MemberID!$C$1)),MATCH(D54,INDIRECT(("'MemberID'!$G$6:G"&amp;MemberID!$C$1)),0))</f>
        <v>#NUM!</v>
      </c>
      <c r="F54" s="69" t="e">
        <f ca="1">INDEX(E$65:INDIRECT("E"&amp;$C$61),$C54)</f>
        <v>#NUM!</v>
      </c>
      <c r="G54" t="e">
        <f ca="1">INDEX(F$65:INDIRECT("F"&amp;$C$61),$C54)</f>
        <v>#NUM!</v>
      </c>
      <c r="H54" t="e">
        <f ca="1">INDEX(G$65:INDIRECT("G"&amp;$C$61),$C54)</f>
        <v>#NUM!</v>
      </c>
      <c r="I54" t="e">
        <f ca="1">INDEX(H$65:INDIRECT("H"&amp;$C$61),$C54)</f>
        <v>#NUM!</v>
      </c>
      <c r="J54" t="e">
        <f ca="1">INDEX(I$65:INDIRECT("I"&amp;$C$61),$C54)</f>
        <v>#NUM!</v>
      </c>
      <c r="K54" s="7" t="e">
        <f ca="1">INDEX(J$65:INDIRECT("J"&amp;$C$61),$C54)</f>
        <v>#NUM!</v>
      </c>
      <c r="L54" t="e">
        <f ca="1">INDEX(K$65:INDIRECT("K"&amp;$C$61),$C54)</f>
        <v>#NUM!</v>
      </c>
      <c r="M54" t="e">
        <f ca="1">INDEX(L$65:INDIRECT("L"&amp;$C$61),$C54)</f>
        <v>#NUM!</v>
      </c>
      <c r="N54" t="e">
        <f ca="1">INDEX(M$65:INDIRECT("M"&amp;$C$61),$C54)</f>
        <v>#NUM!</v>
      </c>
      <c r="O54" t="e">
        <f ca="1">INDEX(N$65:INDIRECT("N"&amp;$C$61),$C54)</f>
        <v>#NUM!</v>
      </c>
      <c r="P54" s="23" t="e">
        <f ca="1">INDEX(O$65:INDIRECT("O"&amp;$C$61),$C54)</f>
        <v>#NUM!</v>
      </c>
      <c r="Q54" s="104"/>
      <c r="R54" s="74" t="s">
        <v>73</v>
      </c>
      <c r="S54" s="69" t="s">
        <v>36</v>
      </c>
      <c r="T54" s="74" t="e">
        <f t="array" aca="1" ref="T54" ca="1">MATCH(IF(ISBLANK($AE$11),SMALL(IF($E$65:INDIRECT("E"&amp;$C$61)=$AE$10,INDIRECT(AJ54&amp;65):INDIRECT(AJ54&amp;$C$61)),$AH54),IF(ISBLANK($AE$10),SMALL(IF($D$65:INDIRECT("D"&amp;$C$61)=$AE$11,INDIRECT(AJ54&amp;65):INDIRECT(AJ54&amp;$C$61)),$AH54),SMALL(IF(($E$65:INDIRECT("E"&amp;$C$61)=$AE$10)*($D$65:INDIRECT("D"&amp;$C$61)=$AE$11),INDIRECT(AJ54&amp;65):INDIRECT(AJ54&amp;$C$61)),$AH54))),INDIRECT(AJ54&amp;65):INDIRECT(AJ54&amp;$C$61),0)</f>
        <v>#NUM!</v>
      </c>
      <c r="U54" s="69" t="e">
        <f ca="1">INDEX(D$65:INDIRECT("D"&amp;$C$61),$T54)</f>
        <v>#NUM!</v>
      </c>
      <c r="V54" s="69" t="e">
        <f ca="1">INDEX(INDIRECT(("'MemberID'!$C$6:C"&amp;MemberID!$C$1)),MATCH(U54,INDIRECT(("'MemberID'!$G$6:G"&amp;MemberID!$C$1)),0))</f>
        <v>#NUM!</v>
      </c>
      <c r="W54" s="69" t="e">
        <f ca="1">INDEX(E$65:INDIRECT("E"&amp;$C$61),$T54)</f>
        <v>#NUM!</v>
      </c>
      <c r="X54" t="e">
        <f ca="1">INDEX(F$65:INDIRECT("F"&amp;$C$61),$T54)</f>
        <v>#NUM!</v>
      </c>
      <c r="Y54" t="e">
        <f ca="1">INDEX(G$65:INDIRECT("G"&amp;$C$61),$T54)</f>
        <v>#NUM!</v>
      </c>
      <c r="Z54" t="e">
        <f ca="1">INDEX(H$65:INDIRECT("H"&amp;$C$61),$T54)</f>
        <v>#NUM!</v>
      </c>
      <c r="AA54" t="e">
        <f ca="1">INDEX(I$65:INDIRECT("I"&amp;$C$61),$T54)</f>
        <v>#NUM!</v>
      </c>
      <c r="AB54" t="e">
        <f ca="1">INDEX(J$65:INDIRECT("J"&amp;$C$61),$T54)</f>
        <v>#NUM!</v>
      </c>
      <c r="AC54" t="e">
        <f ca="1">INDEX(K$65:INDIRECT("K"&amp;$C$61),$T54)</f>
        <v>#NUM!</v>
      </c>
      <c r="AD54" t="e">
        <f ca="1">INDEX(L$65:INDIRECT("L"&amp;$C$61),$T54)</f>
        <v>#NUM!</v>
      </c>
      <c r="AE54" t="e">
        <f ca="1">INDEX(M$65:INDIRECT("M"&amp;$C$61),$T54)</f>
        <v>#NUM!</v>
      </c>
      <c r="AF54" t="e">
        <f ca="1">INDEX(N$65:INDIRECT("N"&amp;$C$61),$T54)</f>
        <v>#NUM!</v>
      </c>
      <c r="AG54" s="23" t="e">
        <f t="array" aca="1" ref="AG54" ca="1">IF(ISBLANK($AE$11),SMALL(IF($E$65:INDIRECT("E"&amp;$C$61)=$AE$10,O$65:INDIRECT(AG$13&amp;$C$61)),$AH54),IF(ISBLANK($AE$10),SMALL(IF($D$65:INDIRECT("D"&amp;$C$61)=$AE$11,O$65:INDIRECT(AG$13&amp;$C$61)),$AH54),SMALL(IF(($E$65:INDIRECT("E"&amp;$C$61)=$AE$10)*($D$65:INDIRECT("D"&amp;$C$61)=$AE$11),O$65:INDIRECT(AG$13&amp;$C$61)),$AH54)))</f>
        <v>#NUM!</v>
      </c>
      <c r="AH54" s="69">
        <v>2</v>
      </c>
      <c r="AI54" s="69" t="str">
        <f t="shared" si="5"/>
        <v>O</v>
      </c>
      <c r="AJ54" s="69" t="str">
        <f t="shared" si="5"/>
        <v>V</v>
      </c>
    </row>
    <row r="55" spans="1:43" x14ac:dyDescent="0.25">
      <c r="A55" s="74" t="s">
        <v>74</v>
      </c>
      <c r="B55" s="69" t="s">
        <v>36</v>
      </c>
      <c r="C55" s="74" t="e">
        <f ca="1">AE6</f>
        <v>#NUM!</v>
      </c>
      <c r="D55" s="69" t="e">
        <f ca="1">INDEX(D$65:INDIRECT("D"&amp;$C$61),$C55)</f>
        <v>#NUM!</v>
      </c>
      <c r="E55" s="69" t="e">
        <f ca="1">INDEX(INDIRECT(("'MemberID'!$C$6:C"&amp;MemberID!$C$1)),MATCH(D55,INDIRECT(("'MemberID'!$G$6:G"&amp;MemberID!$C$1)),0))</f>
        <v>#NUM!</v>
      </c>
      <c r="F55" s="69" t="e">
        <f ca="1">INDEX(E$65:INDIRECT("E"&amp;$C$61),$C55)</f>
        <v>#NUM!</v>
      </c>
      <c r="G55" t="e">
        <f ca="1">INDEX(F$65:INDIRECT("F"&amp;$C$61),$C55)</f>
        <v>#NUM!</v>
      </c>
      <c r="H55" t="e">
        <f ca="1">INDEX(G$65:INDIRECT("G"&amp;$C$61),$C55)</f>
        <v>#NUM!</v>
      </c>
      <c r="I55" t="e">
        <f ca="1">INDEX(H$65:INDIRECT("H"&amp;$C$61),$C55)</f>
        <v>#NUM!</v>
      </c>
      <c r="J55" t="e">
        <f ca="1">INDEX(I$65:INDIRECT("I"&amp;$C$61),$C55)</f>
        <v>#NUM!</v>
      </c>
      <c r="K55" s="7" t="e">
        <f ca="1">INDEX(J$65:INDIRECT("J"&amp;$C$61),$C55)</f>
        <v>#NUM!</v>
      </c>
      <c r="L55" t="e">
        <f ca="1">INDEX(K$65:INDIRECT("K"&amp;$C$61),$C55)</f>
        <v>#NUM!</v>
      </c>
      <c r="M55" t="e">
        <f ca="1">INDEX(L$65:INDIRECT("L"&amp;$C$61),$C55)</f>
        <v>#NUM!</v>
      </c>
      <c r="N55" t="e">
        <f ca="1">INDEX(M$65:INDIRECT("M"&amp;$C$61),$C55)</f>
        <v>#NUM!</v>
      </c>
      <c r="O55" t="e">
        <f ca="1">INDEX(N$65:INDIRECT("N"&amp;$C$61),$C55)</f>
        <v>#NUM!</v>
      </c>
      <c r="P55" s="23" t="e">
        <f ca="1">INDEX(O$65:INDIRECT("O"&amp;$C$61),$C55)</f>
        <v>#NUM!</v>
      </c>
      <c r="Q55" s="104"/>
      <c r="R55" s="74" t="s">
        <v>74</v>
      </c>
      <c r="S55" s="69" t="s">
        <v>36</v>
      </c>
      <c r="T55" s="74" t="e">
        <f t="array" aca="1" ref="T55" ca="1">MATCH(IF(ISBLANK($AE$11),SMALL(IF($E$65:INDIRECT("E"&amp;$C$61)=$AE$10,INDIRECT(AJ55&amp;65):INDIRECT(AJ55&amp;$C$61)),$AH55),IF(ISBLANK($AE$10),SMALL(IF($D$65:INDIRECT("D"&amp;$C$61)=$AE$11,INDIRECT(AJ55&amp;65):INDIRECT(AJ55&amp;$C$61)),$AH55),SMALL(IF(($E$65:INDIRECT("E"&amp;$C$61)=$AE$10)*($D$65:INDIRECT("D"&amp;$C$61)=$AE$11),INDIRECT(AJ55&amp;65):INDIRECT(AJ55&amp;$C$61)),$AH55))),INDIRECT(AJ55&amp;65):INDIRECT(AJ55&amp;$C$61),0)</f>
        <v>#NUM!</v>
      </c>
      <c r="U55" s="69" t="e">
        <f ca="1">INDEX(D$65:INDIRECT("D"&amp;$C$61),$T55)</f>
        <v>#NUM!</v>
      </c>
      <c r="V55" s="69" t="e">
        <f ca="1">INDEX(INDIRECT(("'MemberID'!$C$6:C"&amp;MemberID!$C$1)),MATCH(U55,INDIRECT(("'MemberID'!$G$6:G"&amp;MemberID!$C$1)),0))</f>
        <v>#NUM!</v>
      </c>
      <c r="W55" s="69" t="e">
        <f ca="1">INDEX(E$65:INDIRECT("E"&amp;$C$61),$T55)</f>
        <v>#NUM!</v>
      </c>
      <c r="X55" t="e">
        <f ca="1">INDEX(F$65:INDIRECT("F"&amp;$C$61),$T55)</f>
        <v>#NUM!</v>
      </c>
      <c r="Y55" t="e">
        <f ca="1">INDEX(G$65:INDIRECT("G"&amp;$C$61),$T55)</f>
        <v>#NUM!</v>
      </c>
      <c r="Z55" t="e">
        <f ca="1">INDEX(H$65:INDIRECT("H"&amp;$C$61),$T55)</f>
        <v>#NUM!</v>
      </c>
      <c r="AA55" t="e">
        <f ca="1">INDEX(I$65:INDIRECT("I"&amp;$C$61),$T55)</f>
        <v>#NUM!</v>
      </c>
      <c r="AB55" t="e">
        <f ca="1">INDEX(J$65:INDIRECT("J"&amp;$C$61),$T55)</f>
        <v>#NUM!</v>
      </c>
      <c r="AC55" t="e">
        <f ca="1">INDEX(K$65:INDIRECT("K"&amp;$C$61),$T55)</f>
        <v>#NUM!</v>
      </c>
      <c r="AD55" t="e">
        <f ca="1">INDEX(L$65:INDIRECT("L"&amp;$C$61),$T55)</f>
        <v>#NUM!</v>
      </c>
      <c r="AE55" t="e">
        <f ca="1">INDEX(M$65:INDIRECT("M"&amp;$C$61),$T55)</f>
        <v>#NUM!</v>
      </c>
      <c r="AF55" t="e">
        <f ca="1">INDEX(N$65:INDIRECT("N"&amp;$C$61),$T55)</f>
        <v>#NUM!</v>
      </c>
      <c r="AG55" s="23" t="e">
        <f t="array" aca="1" ref="AG55" ca="1">IF(ISBLANK($AE$11),SMALL(IF($E$65:INDIRECT("E"&amp;$C$61)=$AE$10,O$65:INDIRECT(AG$13&amp;$C$61)),$AH55),IF(ISBLANK($AE$10),SMALL(IF($D$65:INDIRECT("D"&amp;$C$61)=$AE$11,O$65:INDIRECT(AG$13&amp;$C$61)),$AH55),SMALL(IF(($E$65:INDIRECT("E"&amp;$C$61)=$AE$10)*($D$65:INDIRECT("D"&amp;$C$61)=$AE$11),O$65:INDIRECT(AG$13&amp;$C$61)),$AH55)))</f>
        <v>#NUM!</v>
      </c>
      <c r="AH55" s="69">
        <v>3</v>
      </c>
      <c r="AI55" s="69" t="str">
        <f t="shared" si="5"/>
        <v>O</v>
      </c>
      <c r="AJ55" s="69" t="str">
        <f t="shared" si="5"/>
        <v>V</v>
      </c>
    </row>
    <row r="56" spans="1:43" x14ac:dyDescent="0.25">
      <c r="Q56" s="104"/>
    </row>
    <row r="57" spans="1:43" x14ac:dyDescent="0.25">
      <c r="E57" s="57"/>
      <c r="F57" s="57"/>
      <c r="G57" s="57"/>
      <c r="H57" s="57"/>
      <c r="Q57" s="104"/>
    </row>
    <row r="58" spans="1:43" x14ac:dyDescent="0.25">
      <c r="D58" s="7"/>
      <c r="E58" s="77"/>
      <c r="F58" s="77"/>
      <c r="G58" s="77"/>
      <c r="H58" s="77"/>
      <c r="I58" s="7"/>
      <c r="J58" s="7"/>
      <c r="K58" s="7"/>
      <c r="L58" s="7"/>
      <c r="M58" s="7"/>
      <c r="N58" s="7"/>
      <c r="O58" s="7"/>
      <c r="Q58" s="105"/>
      <c r="R58" s="7"/>
      <c r="S58" s="7"/>
      <c r="T58" s="7"/>
      <c r="U58" s="7"/>
      <c r="V58" s="7"/>
      <c r="W58" s="7"/>
      <c r="X58" s="7"/>
    </row>
    <row r="59" spans="1:43" x14ac:dyDescent="0.25">
      <c r="D59" s="66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8"/>
      <c r="Q59" s="105"/>
      <c r="R59" s="7"/>
      <c r="S59" s="7"/>
      <c r="T59" s="7"/>
      <c r="U59" s="7"/>
      <c r="V59" s="7"/>
      <c r="W59" s="7"/>
      <c r="X59" s="7"/>
    </row>
    <row r="60" spans="1:43" x14ac:dyDescent="0.25">
      <c r="D60" s="66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8"/>
      <c r="Q60" s="105"/>
      <c r="R60" s="7"/>
      <c r="S60" s="7"/>
      <c r="T60" s="7"/>
      <c r="U60" s="7"/>
      <c r="V60" s="7"/>
      <c r="W60" s="7"/>
      <c r="X60" s="7"/>
    </row>
    <row r="61" spans="1:43" x14ac:dyDescent="0.25">
      <c r="B61" t="s">
        <v>23</v>
      </c>
      <c r="C61" s="23">
        <f>LOOKUP(2,1/(NOT(ISBLANK(D:D))),ROW(D:D))</f>
        <v>64</v>
      </c>
      <c r="D61" s="66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8"/>
      <c r="Q61" s="105"/>
      <c r="R61" s="7"/>
      <c r="S61" s="7"/>
      <c r="T61" s="7"/>
      <c r="U61" s="7"/>
      <c r="V61" s="7"/>
      <c r="W61" s="7"/>
      <c r="X61" s="7"/>
    </row>
    <row r="62" spans="1:43" x14ac:dyDescent="0.25">
      <c r="Q62" s="104"/>
    </row>
    <row r="63" spans="1:43" x14ac:dyDescent="0.25">
      <c r="C63" s="7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Q63" s="22" t="s">
        <v>168</v>
      </c>
      <c r="R63" s="22"/>
      <c r="S63" s="22"/>
      <c r="T63" s="22"/>
      <c r="U63" s="22"/>
      <c r="V63" s="22"/>
      <c r="AQ63" s="1"/>
    </row>
    <row r="64" spans="1:43" x14ac:dyDescent="0.25">
      <c r="C64" s="7"/>
      <c r="D64" t="s">
        <v>0</v>
      </c>
      <c r="E64" s="28" t="s">
        <v>191</v>
      </c>
      <c r="F64" s="28" t="s">
        <v>192</v>
      </c>
      <c r="G64" s="28" t="s">
        <v>193</v>
      </c>
      <c r="H64" s="28" t="s">
        <v>194</v>
      </c>
      <c r="I64" t="s">
        <v>129</v>
      </c>
      <c r="J64" t="s">
        <v>5</v>
      </c>
      <c r="K64" t="s">
        <v>6</v>
      </c>
      <c r="L64" t="s">
        <v>7</v>
      </c>
      <c r="M64" t="s">
        <v>8</v>
      </c>
      <c r="N64" t="s">
        <v>9</v>
      </c>
      <c r="O64" t="s">
        <v>10</v>
      </c>
      <c r="Q64" s="69" t="s">
        <v>140</v>
      </c>
      <c r="R64" s="69" t="s">
        <v>141</v>
      </c>
      <c r="S64" s="69" t="s">
        <v>142</v>
      </c>
      <c r="T64" s="69" t="s">
        <v>143</v>
      </c>
      <c r="U64" s="69" t="s">
        <v>144</v>
      </c>
      <c r="V64" s="69" t="s">
        <v>145</v>
      </c>
    </row>
    <row r="65" spans="30:49" x14ac:dyDescent="0.25">
      <c r="AD65" s="1"/>
      <c r="AE65" s="1"/>
      <c r="AO65" s="1"/>
      <c r="AP65" s="1"/>
      <c r="AQ65" s="1"/>
      <c r="AR65" s="1"/>
      <c r="AS65" s="1"/>
      <c r="AT65" s="1"/>
      <c r="AU65" s="1"/>
      <c r="AW65" s="1"/>
    </row>
  </sheetData>
  <dataValidations count="2">
    <dataValidation type="list" showInputMessage="1" showErrorMessage="1" sqref="AE11" xr:uid="{2C9AAF99-ED39-48D8-B818-D8FB62FC1187}">
      <formula1>MemberList</formula1>
    </dataValidation>
    <dataValidation type="list" showInputMessage="1" showErrorMessage="1" sqref="AE10" xr:uid="{A0CF0F65-893A-4591-A5F1-A4F7122B38F1}">
      <formula1>StationList</formula1>
    </dataValidation>
  </dataValidation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66FF-9A99-474E-BD30-A55E45E109C2}">
  <sheetPr codeName="Sheet60"/>
  <dimension ref="A1:AZ64"/>
  <sheetViews>
    <sheetView zoomScale="70" zoomScaleNormal="70" workbookViewId="0"/>
  </sheetViews>
  <sheetFormatPr defaultRowHeight="15" x14ac:dyDescent="0.25"/>
  <cols>
    <col min="1" max="1" width="10.28515625" customWidth="1"/>
    <col min="2" max="2" width="11.7109375" customWidth="1"/>
    <col min="3" max="3" width="13.42578125" bestFit="1" customWidth="1"/>
    <col min="4" max="4" width="8.85546875" customWidth="1"/>
    <col min="5" max="6" width="14.85546875" bestFit="1" customWidth="1"/>
    <col min="7" max="8" width="20.5703125" bestFit="1" customWidth="1"/>
    <col min="9" max="10" width="35.7109375" customWidth="1"/>
    <col min="11" max="11" width="17.28515625" bestFit="1" customWidth="1"/>
    <col min="12" max="13" width="15.85546875" bestFit="1" customWidth="1"/>
    <col min="14" max="15" width="19.140625" bestFit="1" customWidth="1"/>
    <col min="16" max="16" width="18.85546875" customWidth="1"/>
    <col min="17" max="17" width="15.85546875" customWidth="1"/>
    <col min="18" max="21" width="15.85546875" bestFit="1" customWidth="1"/>
    <col min="22" max="22" width="16.85546875" bestFit="1" customWidth="1"/>
    <col min="23" max="23" width="16.7109375" bestFit="1" customWidth="1"/>
    <col min="24" max="24" width="13" bestFit="1" customWidth="1"/>
    <col min="25" max="25" width="20.5703125" bestFit="1" customWidth="1"/>
    <col min="26" max="26" width="14.85546875" bestFit="1" customWidth="1"/>
    <col min="27" max="27" width="35.7109375" customWidth="1"/>
    <col min="28" max="29" width="15.85546875" bestFit="1" customWidth="1"/>
    <col min="30" max="30" width="16.85546875" bestFit="1" customWidth="1"/>
    <col min="31" max="31" width="16.85546875" customWidth="1"/>
    <col min="32" max="33" width="15.85546875" bestFit="1" customWidth="1"/>
    <col min="34" max="34" width="12.5703125" customWidth="1"/>
    <col min="35" max="36" width="14.42578125" customWidth="1"/>
  </cols>
  <sheetData>
    <row r="1" spans="1:38" x14ac:dyDescent="0.25">
      <c r="A1" s="26" t="str">
        <f>'MODEL INTRO'!M19</f>
        <v>S2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</row>
    <row r="2" spans="1:38" x14ac:dyDescent="0.25">
      <c r="A2" s="27" t="str">
        <f>'STR1 Forces'!A2</f>
        <v>Column Forces</v>
      </c>
      <c r="I2" s="103" t="s">
        <v>63</v>
      </c>
      <c r="J2" s="25">
        <f ca="1">MAX(J$65:INDIRECT("G"&amp;$C$61))</f>
        <v>0</v>
      </c>
      <c r="K2" s="25">
        <f ca="1">MAX(K$65:INDIRECT("H"&amp;$C$61))</f>
        <v>0</v>
      </c>
      <c r="L2" s="25">
        <f ca="1">MAX(L$65:INDIRECT("I"&amp;$C$61))</f>
        <v>0</v>
      </c>
      <c r="M2" s="25">
        <f ca="1">MAX(M$65:INDIRECT("J"&amp;$C$61))</f>
        <v>0</v>
      </c>
      <c r="N2" s="25">
        <f ca="1">MAX(N$65:INDIRECT("K"&amp;$C$61))</f>
        <v>0</v>
      </c>
      <c r="O2" s="25">
        <f ca="1">MAX(O$65:INDIRECT("L"&amp;$C$61))</f>
        <v>0</v>
      </c>
      <c r="Q2" s="103" t="s">
        <v>64</v>
      </c>
      <c r="R2" s="25" t="e">
        <f ca="1">LARGE(J$65:INDIRECT("G"&amp;$C$61),2)</f>
        <v>#NUM!</v>
      </c>
      <c r="S2" s="25" t="e">
        <f ca="1">LARGE(K$65:INDIRECT("H"&amp;$C$61),2)</f>
        <v>#NUM!</v>
      </c>
      <c r="T2" s="25" t="e">
        <f ca="1">LARGE(L$65:INDIRECT("I"&amp;$C$61),2)</f>
        <v>#NUM!</v>
      </c>
      <c r="U2" s="25" t="e">
        <f ca="1">LARGE(M$65:INDIRECT("J"&amp;$C$61),2)</f>
        <v>#NUM!</v>
      </c>
      <c r="V2" s="25" t="e">
        <f ca="1">LARGE(N$65:INDIRECT("K"&amp;$C$61),2)</f>
        <v>#NUM!</v>
      </c>
      <c r="W2" s="25" t="e">
        <f ca="1">LARGE(O$65:INDIRECT("L"&amp;$C$61),2)</f>
        <v>#NUM!</v>
      </c>
      <c r="Y2" s="103" t="s">
        <v>65</v>
      </c>
      <c r="Z2" s="25" t="e">
        <f ca="1">LARGE(J$65:INDIRECT("G"&amp;$C$61),3)</f>
        <v>#NUM!</v>
      </c>
      <c r="AA2" s="25" t="e">
        <f ca="1">LARGE(K$65:INDIRECT("H"&amp;$C$61),3)</f>
        <v>#NUM!</v>
      </c>
      <c r="AB2" s="25" t="e">
        <f ca="1">LARGE(L$65:INDIRECT("I"&amp;$C$61),3)</f>
        <v>#NUM!</v>
      </c>
      <c r="AC2" s="25" t="e">
        <f ca="1">LARGE(M$65:INDIRECT("J"&amp;$C$61),3)</f>
        <v>#NUM!</v>
      </c>
      <c r="AD2" s="25" t="e">
        <f ca="1">LARGE(N$65:INDIRECT("K"&amp;$C$61),3)</f>
        <v>#NUM!</v>
      </c>
      <c r="AE2" s="25" t="e">
        <f ca="1">LARGE(O$65:INDIRECT("L"&amp;$C$61),3)</f>
        <v>#NUM!</v>
      </c>
      <c r="AI2" s="24" t="s">
        <v>163</v>
      </c>
    </row>
    <row r="3" spans="1:38" x14ac:dyDescent="0.25">
      <c r="A3" s="27" t="s">
        <v>171</v>
      </c>
      <c r="I3" s="103" t="s">
        <v>30</v>
      </c>
      <c r="J3" s="56" t="e">
        <f ca="1">MATCH(MAX(Q$65:INDIRECT(AB14&amp;$C$61)),Q$65:INDIRECT(AB14&amp;$C$61),0)</f>
        <v>#N/A</v>
      </c>
      <c r="K3" s="56" t="e">
        <f ca="1">MATCH(MAX(R$65:INDIRECT(AC14&amp;$C$61)),R$65:INDIRECT(AC14&amp;$C$61),0)</f>
        <v>#N/A</v>
      </c>
      <c r="L3" s="56" t="e">
        <f ca="1">MATCH(MAX(S$65:INDIRECT(AD14&amp;$C$61)),S$65:INDIRECT(AD14&amp;$C$61),0)</f>
        <v>#N/A</v>
      </c>
      <c r="M3" s="56" t="e">
        <f ca="1">MATCH(MAX(T$65:INDIRECT(AE14&amp;$C$61)),T$65:INDIRECT(AE14&amp;$C$61),0)</f>
        <v>#N/A</v>
      </c>
      <c r="N3" s="56" t="e">
        <f ca="1">MATCH(MAX(U$65:INDIRECT(AF14&amp;$C$61)),U$65:INDIRECT(AF14&amp;$C$61),0)</f>
        <v>#N/A</v>
      </c>
      <c r="O3" s="56" t="e">
        <f ca="1">MATCH(MAX(V$65:INDIRECT(AG14&amp;$C$61)),V$65:INDIRECT(AG14&amp;$C$61),0)</f>
        <v>#N/A</v>
      </c>
      <c r="Q3" s="103" t="s">
        <v>30</v>
      </c>
      <c r="R3" s="56" t="e">
        <f ca="1">MATCH(LARGE(Q$65:INDIRECT(AB14&amp;$C$61),2),Q$65:INDIRECT(AB14&amp;$C$61),0)</f>
        <v>#NUM!</v>
      </c>
      <c r="S3" s="56" t="e">
        <f ca="1">MATCH(LARGE(R$65:INDIRECT(AC14&amp;$C$61),2),R$65:INDIRECT(AC14&amp;$C$61),0)</f>
        <v>#NUM!</v>
      </c>
      <c r="T3" s="56" t="e">
        <f ca="1">MATCH(LARGE(S$65:INDIRECT(AD14&amp;$C$61),2),S$65:INDIRECT(AD14&amp;$C$61),0)</f>
        <v>#NUM!</v>
      </c>
      <c r="U3" s="56" t="e">
        <f ca="1">MATCH(LARGE(T$65:INDIRECT(AE14&amp;$C$61),2),T$65:INDIRECT(AE14&amp;$C$61),0)</f>
        <v>#NUM!</v>
      </c>
      <c r="V3" s="56" t="e">
        <f ca="1">MATCH(LARGE(U$65:INDIRECT(AF14&amp;$C$61),2),U$65:INDIRECT(AF14&amp;$C$61),0)</f>
        <v>#NUM!</v>
      </c>
      <c r="W3" s="56" t="e">
        <f ca="1">MATCH(LARGE(V$65:INDIRECT(AG14&amp;$C$61),2),V$65:INDIRECT(AG14&amp;$C$61),0)</f>
        <v>#NUM!</v>
      </c>
      <c r="Y3" s="103" t="s">
        <v>30</v>
      </c>
      <c r="Z3" s="56" t="e">
        <f ca="1">MATCH(LARGE(Q$65:INDIRECT(AB14&amp;$C$61),3),Q$65:INDIRECT(AB14&amp;$C$61),0)</f>
        <v>#NUM!</v>
      </c>
      <c r="AA3" s="56" t="e">
        <f ca="1">MATCH(LARGE(R$65:INDIRECT(AC14&amp;$C$61),3),R$65:INDIRECT(AC14&amp;$C$61),0)</f>
        <v>#NUM!</v>
      </c>
      <c r="AB3" s="56" t="e">
        <f ca="1">MATCH(LARGE(S$65:INDIRECT(AD14&amp;$C$61),3),S$65:INDIRECT(AD14&amp;$C$61),0)</f>
        <v>#NUM!</v>
      </c>
      <c r="AC3" s="56" t="e">
        <f ca="1">MATCH(LARGE(T$65:INDIRECT(AE14&amp;$C$61),3),T$65:INDIRECT(AE14&amp;$C$61),0)</f>
        <v>#NUM!</v>
      </c>
      <c r="AD3" s="56" t="e">
        <f ca="1">MATCH(LARGE(U$65:INDIRECT(AF14&amp;$C$61),3),U$65:INDIRECT(AF14&amp;$C$61),0)</f>
        <v>#NUM!</v>
      </c>
      <c r="AE3" s="56" t="e">
        <f ca="1">MATCH(LARGE(V$65:INDIRECT(AG14&amp;$C$61),3),V$65:INDIRECT(AG14&amp;$C$61),0)</f>
        <v>#NUM!</v>
      </c>
      <c r="AI3" s="24" t="s">
        <v>164</v>
      </c>
      <c r="AJ3" s="71" t="s">
        <v>146</v>
      </c>
    </row>
    <row r="4" spans="1:38" x14ac:dyDescent="0.25">
      <c r="I4" s="103"/>
      <c r="J4" s="67"/>
      <c r="K4" s="67"/>
      <c r="L4" s="67"/>
      <c r="M4" s="67"/>
      <c r="N4" s="67"/>
      <c r="O4" s="67"/>
      <c r="Q4" s="103"/>
      <c r="R4" s="67"/>
      <c r="S4" s="67"/>
      <c r="T4" s="67"/>
      <c r="U4" s="67"/>
      <c r="V4" s="67"/>
      <c r="W4" s="67"/>
      <c r="Y4" s="103"/>
      <c r="Z4" s="67"/>
      <c r="AA4" s="67"/>
      <c r="AB4" s="67"/>
      <c r="AC4" s="67"/>
      <c r="AD4" s="67"/>
      <c r="AE4" s="67"/>
      <c r="AI4" s="24" t="s">
        <v>165</v>
      </c>
      <c r="AJ4" s="71" t="s">
        <v>147</v>
      </c>
    </row>
    <row r="5" spans="1:38" x14ac:dyDescent="0.25">
      <c r="I5" s="103" t="s">
        <v>66</v>
      </c>
      <c r="J5" s="25">
        <f ca="1">MIN(J$65:INDIRECT("G"&amp;$C$61))</f>
        <v>0</v>
      </c>
      <c r="K5" s="25">
        <f ca="1">MIN(K$65:INDIRECT("H"&amp;$C$61))</f>
        <v>0</v>
      </c>
      <c r="L5" s="25">
        <f ca="1">MIN(L$65:INDIRECT("I"&amp;$C$61))</f>
        <v>0</v>
      </c>
      <c r="M5" s="25">
        <f ca="1">MIN(M$65:INDIRECT("J"&amp;$C$61))</f>
        <v>0</v>
      </c>
      <c r="N5" s="25">
        <f ca="1">MIN(N$65:INDIRECT("K"&amp;$C$61))</f>
        <v>0</v>
      </c>
      <c r="O5" s="25">
        <f ca="1">MIN(O$65:INDIRECT("L"&amp;$C$61))</f>
        <v>0</v>
      </c>
      <c r="Q5" s="103" t="s">
        <v>67</v>
      </c>
      <c r="R5" s="25" t="e">
        <f ca="1">SMALL(J$65:INDIRECT("G"&amp;$C$61),2)</f>
        <v>#NUM!</v>
      </c>
      <c r="S5" s="25" t="e">
        <f ca="1">SMALL(K$65:INDIRECT("H"&amp;$C$61),2)</f>
        <v>#NUM!</v>
      </c>
      <c r="T5" s="25" t="e">
        <f ca="1">SMALL(L$65:INDIRECT("I"&amp;$C$61),2)</f>
        <v>#NUM!</v>
      </c>
      <c r="U5" s="25" t="e">
        <f ca="1">SMALL(M$65:INDIRECT("J"&amp;$C$61),2)</f>
        <v>#NUM!</v>
      </c>
      <c r="V5" s="25" t="e">
        <f ca="1">SMALL(N$65:INDIRECT("K"&amp;$C$61),2)</f>
        <v>#NUM!</v>
      </c>
      <c r="W5" s="25" t="e">
        <f ca="1">SMALL(O$65:INDIRECT("L"&amp;$C$61),2)</f>
        <v>#NUM!</v>
      </c>
      <c r="Y5" s="103" t="s">
        <v>68</v>
      </c>
      <c r="Z5" s="25" t="e">
        <f ca="1">SMALL(J$65:INDIRECT("G"&amp;$C$61),3)</f>
        <v>#NUM!</v>
      </c>
      <c r="AA5" s="25" t="e">
        <f ca="1">SMALL(K$65:INDIRECT("H"&amp;$C$61),3)</f>
        <v>#NUM!</v>
      </c>
      <c r="AB5" s="25" t="e">
        <f ca="1">SMALL(L$65:INDIRECT("I"&amp;$C$61),3)</f>
        <v>#NUM!</v>
      </c>
      <c r="AC5" s="25" t="e">
        <f ca="1">SMALL(M$65:INDIRECT("J"&amp;$C$61),3)</f>
        <v>#NUM!</v>
      </c>
      <c r="AD5" s="25" t="e">
        <f ca="1">SMALL(N$65:INDIRECT("K"&amp;$C$61),3)</f>
        <v>#NUM!</v>
      </c>
      <c r="AE5" s="25" t="e">
        <f ca="1">SMALL(O$65:INDIRECT("L"&amp;$C$61),3)</f>
        <v>#NUM!</v>
      </c>
      <c r="AI5" s="24" t="s">
        <v>166</v>
      </c>
      <c r="AJ5" s="70" t="s">
        <v>148</v>
      </c>
    </row>
    <row r="6" spans="1:38" x14ac:dyDescent="0.25">
      <c r="I6" s="103" t="s">
        <v>30</v>
      </c>
      <c r="J6" s="56" t="e">
        <f ca="1">MATCH(MIN(Q$65:INDIRECT(AB14&amp;$C$61)),Q$65:INDIRECT(AB14&amp;$C$61),0)</f>
        <v>#N/A</v>
      </c>
      <c r="K6" s="56" t="e">
        <f ca="1">MATCH(MIN(R$65:INDIRECT(AC14&amp;$C$61)),R$65:INDIRECT(AC14&amp;$C$61),0)</f>
        <v>#N/A</v>
      </c>
      <c r="L6" s="56" t="e">
        <f ca="1">MATCH(MIN(S$65:INDIRECT(AD14&amp;$C$61)),S$65:INDIRECT(AD14&amp;$C$61),0)</f>
        <v>#N/A</v>
      </c>
      <c r="M6" s="56" t="e">
        <f ca="1">MATCH(MIN(T$65:INDIRECT(AE14&amp;$C$61)),T$65:INDIRECT(AE14&amp;$C$61),0)</f>
        <v>#N/A</v>
      </c>
      <c r="N6" s="56" t="e">
        <f ca="1">MATCH(MIN(U$65:INDIRECT(AF14&amp;$C$61)),U$65:INDIRECT(AF14&amp;$C$61),0)</f>
        <v>#N/A</v>
      </c>
      <c r="O6" s="56" t="e">
        <f ca="1">MATCH(MIN(V$65:INDIRECT(AG14&amp;$C$61)),V$65:INDIRECT(AG14&amp;$C$61),0)</f>
        <v>#N/A</v>
      </c>
      <c r="Q6" s="103" t="s">
        <v>30</v>
      </c>
      <c r="R6" s="56" t="e">
        <f ca="1">MATCH(SMALL(Q$65:INDIRECT(AB14&amp;$C$61),2),Q$65:INDIRECT(AB14&amp;$C$61),0)</f>
        <v>#NUM!</v>
      </c>
      <c r="S6" s="56" t="e">
        <f ca="1">MATCH(SMALL(R$65:INDIRECT(AC14&amp;$C$61),2),R$65:INDIRECT(AC14&amp;$C$61),0)</f>
        <v>#NUM!</v>
      </c>
      <c r="T6" s="56" t="e">
        <f ca="1">MATCH(SMALL(S$65:INDIRECT(AD14&amp;$C$61),2),S$65:INDIRECT(AD14&amp;$C$61),0)</f>
        <v>#NUM!</v>
      </c>
      <c r="U6" s="56" t="e">
        <f ca="1">MATCH(SMALL(T$65:INDIRECT(AE14&amp;$C$61),2),T$65:INDIRECT(AE14&amp;$C$61),0)</f>
        <v>#NUM!</v>
      </c>
      <c r="V6" s="56" t="e">
        <f ca="1">MATCH(SMALL(U$65:INDIRECT(AF14&amp;$C$61),2),U$65:INDIRECT(AF14&amp;$C$61),0)</f>
        <v>#NUM!</v>
      </c>
      <c r="W6" s="56" t="e">
        <f ca="1">MATCH(SMALL(V$65:INDIRECT(AG14&amp;$C$61),2),V$65:INDIRECT(AG14&amp;$C$61),0)</f>
        <v>#NUM!</v>
      </c>
      <c r="Y6" s="103" t="s">
        <v>30</v>
      </c>
      <c r="Z6" s="56" t="e">
        <f ca="1">MATCH(SMALL(Q$65:INDIRECT(AB14&amp;$C$61),3),Q$65:INDIRECT(AB14&amp;$C$61),0)</f>
        <v>#NUM!</v>
      </c>
      <c r="AA6" s="56" t="e">
        <f ca="1">MATCH(SMALL(R$65:INDIRECT(AC14&amp;$C$61),3),R$65:INDIRECT(AC14&amp;$C$61),0)</f>
        <v>#NUM!</v>
      </c>
      <c r="AB6" s="56" t="e">
        <f ca="1">MATCH(SMALL(S$65:INDIRECT(AD14&amp;$C$61),3),S$65:INDIRECT(AD14&amp;$C$61),0)</f>
        <v>#NUM!</v>
      </c>
      <c r="AC6" s="56" t="e">
        <f ca="1">MATCH(SMALL(T$65:INDIRECT(AE14&amp;$C$61),3),T$65:INDIRECT(AE14&amp;$C$61),0)</f>
        <v>#NUM!</v>
      </c>
      <c r="AD6" s="56" t="e">
        <f ca="1">MATCH(SMALL(U$65:INDIRECT(AF14&amp;$C$61),3),U$65:INDIRECT(AF14&amp;$C$61),0)</f>
        <v>#NUM!</v>
      </c>
      <c r="AE6" s="56" t="e">
        <f ca="1">MATCH(SMALL(V$65:INDIRECT(AG14&amp;$C$61),3),V$65:INDIRECT(AG14&amp;$C$61),0)</f>
        <v>#NUM!</v>
      </c>
      <c r="AI6" s="24" t="s">
        <v>167</v>
      </c>
      <c r="AJ6" s="70" t="s">
        <v>159</v>
      </c>
    </row>
    <row r="7" spans="1:38" x14ac:dyDescent="0.25">
      <c r="Q7" s="104"/>
      <c r="AJ7" s="72" t="s">
        <v>160</v>
      </c>
    </row>
    <row r="8" spans="1:38" x14ac:dyDescent="0.25">
      <c r="Q8" s="104"/>
      <c r="AJ8" t="s">
        <v>161</v>
      </c>
    </row>
    <row r="9" spans="1:38" x14ac:dyDescent="0.25">
      <c r="Q9" s="104"/>
    </row>
    <row r="10" spans="1:38" x14ac:dyDescent="0.25">
      <c r="Q10" s="104"/>
      <c r="AC10" s="23"/>
      <c r="AD10" s="64" t="s">
        <v>176</v>
      </c>
      <c r="AE10" s="76">
        <v>0</v>
      </c>
      <c r="AF10" t="s">
        <v>183</v>
      </c>
    </row>
    <row r="11" spans="1:38" x14ac:dyDescent="0.25">
      <c r="Q11" s="104"/>
      <c r="AC11" s="23"/>
      <c r="AD11" s="64" t="s">
        <v>177</v>
      </c>
      <c r="AE11" s="76">
        <v>2983</v>
      </c>
    </row>
    <row r="12" spans="1:38" x14ac:dyDescent="0.25">
      <c r="D12" s="24" t="s">
        <v>0</v>
      </c>
      <c r="E12" s="69" t="s">
        <v>266</v>
      </c>
      <c r="F12" s="28" t="s">
        <v>191</v>
      </c>
      <c r="G12" s="28" t="s">
        <v>192</v>
      </c>
      <c r="H12" s="28" t="s">
        <v>193</v>
      </c>
      <c r="I12" s="28" t="s">
        <v>194</v>
      </c>
      <c r="J12" t="s">
        <v>129</v>
      </c>
      <c r="K12" t="s">
        <v>5</v>
      </c>
      <c r="L12" t="s">
        <v>6</v>
      </c>
      <c r="M12" t="s">
        <v>7</v>
      </c>
      <c r="N12" t="s">
        <v>8</v>
      </c>
      <c r="O12" t="s">
        <v>9</v>
      </c>
      <c r="P12" t="s">
        <v>10</v>
      </c>
      <c r="Q12" s="104"/>
      <c r="T12" s="69" t="s">
        <v>122</v>
      </c>
      <c r="U12" s="69" t="s">
        <v>0</v>
      </c>
      <c r="V12" s="69" t="s">
        <v>266</v>
      </c>
      <c r="W12" s="28" t="s">
        <v>191</v>
      </c>
      <c r="X12" s="28" t="s">
        <v>192</v>
      </c>
      <c r="Y12" s="28" t="s">
        <v>193</v>
      </c>
      <c r="Z12" s="28" t="s">
        <v>194</v>
      </c>
      <c r="AA12" s="69" t="s">
        <v>129</v>
      </c>
      <c r="AB12" s="69" t="s">
        <v>123</v>
      </c>
      <c r="AC12" s="69" t="s">
        <v>124</v>
      </c>
      <c r="AD12" s="69" t="s">
        <v>125</v>
      </c>
      <c r="AE12" s="69" t="s">
        <v>126</v>
      </c>
      <c r="AF12" s="69" t="s">
        <v>127</v>
      </c>
      <c r="AG12" s="69" t="s">
        <v>128</v>
      </c>
      <c r="AH12" s="69" t="s">
        <v>153</v>
      </c>
      <c r="AI12" s="69" t="s">
        <v>149</v>
      </c>
      <c r="AJ12" s="69" t="s">
        <v>162</v>
      </c>
      <c r="AL12" s="86"/>
    </row>
    <row r="13" spans="1:38" x14ac:dyDescent="0.25">
      <c r="Q13" s="104"/>
      <c r="T13" s="24"/>
      <c r="AB13" s="69" t="s">
        <v>150</v>
      </c>
      <c r="AC13" s="69" t="s">
        <v>151</v>
      </c>
      <c r="AD13" s="69" t="s">
        <v>152</v>
      </c>
      <c r="AE13" s="69" t="s">
        <v>198</v>
      </c>
      <c r="AF13" s="69" t="s">
        <v>154</v>
      </c>
      <c r="AG13" s="69" t="s">
        <v>155</v>
      </c>
      <c r="AH13" s="69"/>
      <c r="AI13" s="69"/>
      <c r="AJ13" s="69"/>
    </row>
    <row r="14" spans="1:38" x14ac:dyDescent="0.25">
      <c r="C14" s="24" t="s">
        <v>30</v>
      </c>
      <c r="E14" s="69"/>
      <c r="Q14" s="104"/>
      <c r="T14" s="24"/>
      <c r="V14" s="69"/>
      <c r="AB14" s="69" t="s">
        <v>156</v>
      </c>
      <c r="AC14" s="69" t="s">
        <v>157</v>
      </c>
      <c r="AD14" s="69" t="s">
        <v>158</v>
      </c>
      <c r="AE14" s="69" t="s">
        <v>195</v>
      </c>
      <c r="AF14" s="69" t="s">
        <v>196</v>
      </c>
      <c r="AG14" s="69" t="s">
        <v>197</v>
      </c>
      <c r="AH14" s="69"/>
      <c r="AI14" s="69"/>
      <c r="AJ14" s="69"/>
    </row>
    <row r="15" spans="1:38" x14ac:dyDescent="0.25">
      <c r="A15" s="73" t="s">
        <v>69</v>
      </c>
      <c r="B15" s="69" t="s">
        <v>31</v>
      </c>
      <c r="C15" s="73" t="e">
        <f ca="1">J3</f>
        <v>#N/A</v>
      </c>
      <c r="D15" s="69" t="e">
        <f ca="1">INDEX(D$65:INDIRECT("D"&amp;$C$61),$C15)</f>
        <v>#N/A</v>
      </c>
      <c r="E15" s="69" t="e">
        <f ca="1">INDEX(INDIRECT(("'MemberID'!$C$6:C"&amp;MemberID!$C$1)),MATCH(D15,INDIRECT(("'MemberID'!$G$6:G"&amp;MemberID!$C$1)),0))</f>
        <v>#N/A</v>
      </c>
      <c r="F15" s="69" t="e">
        <f ca="1">INDEX(E$65:INDIRECT("E"&amp;$C$61),$C15)</f>
        <v>#N/A</v>
      </c>
      <c r="G15" t="e">
        <f ca="1">INDEX(F$65:INDIRECT("F"&amp;$C$61),$C15)</f>
        <v>#N/A</v>
      </c>
      <c r="H15" t="e">
        <f ca="1">INDEX(G$65:INDIRECT("G"&amp;$C$61),$C15)</f>
        <v>#N/A</v>
      </c>
      <c r="I15" t="e">
        <f ca="1">INDEX(H$65:INDIRECT("H"&amp;$C$61),$C15)</f>
        <v>#N/A</v>
      </c>
      <c r="J15" t="e">
        <f ca="1">INDEX(I$65:INDIRECT("I"&amp;$C$61),$C15)</f>
        <v>#N/A</v>
      </c>
      <c r="K15" s="23" t="e">
        <f ca="1">INDEX(J$65:INDIRECT("J"&amp;$C$61),$C15)</f>
        <v>#N/A</v>
      </c>
      <c r="L15" t="e">
        <f ca="1">INDEX(K$65:INDIRECT("K"&amp;$C$61),$C15)</f>
        <v>#N/A</v>
      </c>
      <c r="M15" t="e">
        <f ca="1">INDEX(L$65:INDIRECT("L"&amp;$C$61),$C15)</f>
        <v>#N/A</v>
      </c>
      <c r="N15" t="e">
        <f ca="1">INDEX(M$65:INDIRECT("M"&amp;$C$61),$C15)</f>
        <v>#N/A</v>
      </c>
      <c r="O15" t="e">
        <f ca="1">INDEX(N$65:INDIRECT("N"&amp;$C$61),$C15)</f>
        <v>#N/A</v>
      </c>
      <c r="P15" t="e">
        <f ca="1">INDEX(O$65:INDIRECT("O"&amp;$C$61),$C15)</f>
        <v>#N/A</v>
      </c>
      <c r="Q15" s="104"/>
      <c r="R15" s="73" t="s">
        <v>69</v>
      </c>
      <c r="S15" s="69" t="s">
        <v>31</v>
      </c>
      <c r="T15" s="73" t="e">
        <f t="array" aca="1" ref="T15" ca="1">MATCH(IF(ISBLANK($AE$11),LARGE(IF($E$65:INDIRECT("E"&amp;$C$61)=$AE$10,INDIRECT(AJ15&amp;65):INDIRECT(AJ15&amp;$C$61)),$AH15),IF(ISBLANK($AE$10),LARGE(IF($D$65:INDIRECT("D"&amp;$C$61)=$AE$11,INDIRECT(AJ15&amp;65):INDIRECT(AJ15&amp;$C$61)),$AH15),LARGE(IF(($E$65:INDIRECT("E"&amp;$C$61)=$AE$10)*($D$65:INDIRECT("D"&amp;$C$61)=$AE$11),INDIRECT(AJ15&amp;65):INDIRECT(AJ15&amp;$C$61)),$AH15))),INDIRECT(AJ15&amp;65):INDIRECT(AJ15&amp;$C$61),0)</f>
        <v>#NUM!</v>
      </c>
      <c r="U15" s="69" t="e">
        <f ca="1">INDEX(D$65:INDIRECT("D"&amp;$C$61),$T15)</f>
        <v>#NUM!</v>
      </c>
      <c r="V15" s="69" t="e">
        <f ca="1">INDEX(INDIRECT(("'MemberID'!$C$6:C"&amp;MemberID!$C$1)),MATCH(U15,INDIRECT(("'MemberID'!$G$6:G"&amp;MemberID!$C$1)),0))</f>
        <v>#NUM!</v>
      </c>
      <c r="W15" s="69" t="e">
        <f ca="1">INDEX(E$65:INDIRECT("E"&amp;$C$61),$T15)</f>
        <v>#NUM!</v>
      </c>
      <c r="X15" t="e">
        <f ca="1">INDEX(F$65:INDIRECT("F"&amp;$C$61),$T15)</f>
        <v>#NUM!</v>
      </c>
      <c r="Y15" t="e">
        <f ca="1">INDEX(G$65:INDIRECT("G"&amp;$C$61),$T15)</f>
        <v>#NUM!</v>
      </c>
      <c r="Z15" t="e">
        <f ca="1">INDEX(H$65:INDIRECT("H"&amp;$C$61),$T15)</f>
        <v>#NUM!</v>
      </c>
      <c r="AA15" t="e">
        <f ca="1">INDEX(I$65:INDIRECT("I"&amp;$C$61),$T15)</f>
        <v>#NUM!</v>
      </c>
      <c r="AB15" s="23" t="e">
        <f t="array" aca="1" ref="AB15" ca="1">IF(ISBLANK($AE$11),LARGE(IF($E$65:INDIRECT("E"&amp;$C$61)=$AE$10,J$65:INDIRECT(AB$13&amp;$C$61)),$AH15),IF(ISBLANK($AE$10),LARGE(IF($D$65:INDIRECT("D"&amp;$C$61)=$AE$11,J$65:INDIRECT(AB$13&amp;$C$61)),$AH15),LARGE(IF(($E$65:INDIRECT("E"&amp;$C$61)=$AE$10)*($D$65:INDIRECT("D"&amp;$C$61)=$AE$11),J$65:INDIRECT(AB$13&amp;$C$61)),$AH15)))</f>
        <v>#NUM!</v>
      </c>
      <c r="AC15" t="e">
        <f ca="1">INDEX(K$65:INDIRECT("K"&amp;$C$61),$T15)</f>
        <v>#NUM!</v>
      </c>
      <c r="AD15" t="e">
        <f ca="1">INDEX(L$65:INDIRECT("L"&amp;$C$61),$T15)</f>
        <v>#NUM!</v>
      </c>
      <c r="AE15" t="e">
        <f ca="1">INDEX(M$65:INDIRECT("M"&amp;$C$61),$T15)</f>
        <v>#NUM!</v>
      </c>
      <c r="AF15" t="e">
        <f ca="1">INDEX(N$65:INDIRECT("N"&amp;$C$61),$T15)</f>
        <v>#NUM!</v>
      </c>
      <c r="AG15" t="e">
        <f ca="1">INDEX(O$65:INDIRECT("O"&amp;$C$61),$T15)</f>
        <v>#NUM!</v>
      </c>
      <c r="AH15" s="69">
        <v>1</v>
      </c>
      <c r="AI15" s="69" t="s">
        <v>150</v>
      </c>
      <c r="AJ15" s="69" t="s">
        <v>156</v>
      </c>
    </row>
    <row r="16" spans="1:38" x14ac:dyDescent="0.25">
      <c r="A16" s="73" t="s">
        <v>70</v>
      </c>
      <c r="B16" s="69" t="s">
        <v>31</v>
      </c>
      <c r="C16" s="73" t="e">
        <f ca="1">R3</f>
        <v>#NUM!</v>
      </c>
      <c r="D16" s="69" t="e">
        <f ca="1">INDEX(D$65:INDIRECT("D"&amp;$C$61),$C16)</f>
        <v>#NUM!</v>
      </c>
      <c r="E16" s="69" t="e">
        <f ca="1">INDEX(INDIRECT(("'MemberID'!$C$6:C"&amp;MemberID!$C$1)),MATCH(D16,INDIRECT(("'MemberID'!$G$6:G"&amp;MemberID!$C$1)),0))</f>
        <v>#NUM!</v>
      </c>
      <c r="F16" s="69" t="e">
        <f ca="1">INDEX(E$65:INDIRECT("E"&amp;$C$61),$C16)</f>
        <v>#NUM!</v>
      </c>
      <c r="G16" t="e">
        <f ca="1">INDEX(F$65:INDIRECT("F"&amp;$C$61),$C16)</f>
        <v>#NUM!</v>
      </c>
      <c r="H16" t="e">
        <f ca="1">INDEX(G$65:INDIRECT("G"&amp;$C$61),$C16)</f>
        <v>#NUM!</v>
      </c>
      <c r="I16" t="e">
        <f ca="1">INDEX(H$65:INDIRECT("H"&amp;$C$61),$C16)</f>
        <v>#NUM!</v>
      </c>
      <c r="J16" t="e">
        <f ca="1">INDEX(I$65:INDIRECT("I"&amp;$C$61),$C16)</f>
        <v>#NUM!</v>
      </c>
      <c r="K16" s="23" t="e">
        <f ca="1">INDEX(J$65:INDIRECT("J"&amp;$C$61),$C16)</f>
        <v>#NUM!</v>
      </c>
      <c r="L16" t="e">
        <f ca="1">INDEX(K$65:INDIRECT("K"&amp;$C$61),$C16)</f>
        <v>#NUM!</v>
      </c>
      <c r="M16" t="e">
        <f ca="1">INDEX(L$65:INDIRECT("L"&amp;$C$61),$C16)</f>
        <v>#NUM!</v>
      </c>
      <c r="N16" t="e">
        <f ca="1">INDEX(M$65:INDIRECT("M"&amp;$C$61),$C16)</f>
        <v>#NUM!</v>
      </c>
      <c r="O16" t="e">
        <f ca="1">INDEX(N$65:INDIRECT("N"&amp;$C$61),$C16)</f>
        <v>#NUM!</v>
      </c>
      <c r="P16" t="e">
        <f ca="1">INDEX(O$65:INDIRECT("O"&amp;$C$61),$C16)</f>
        <v>#NUM!</v>
      </c>
      <c r="Q16" s="104"/>
      <c r="R16" s="73" t="s">
        <v>70</v>
      </c>
      <c r="S16" s="69" t="s">
        <v>31</v>
      </c>
      <c r="T16" s="73" t="e">
        <f t="array" aca="1" ref="T16" ca="1">MATCH(IF(ISBLANK($AE$11),LARGE(IF($E$65:INDIRECT("E"&amp;$C$61)=$AE$10,INDIRECT(AJ16&amp;65):INDIRECT(AJ16&amp;$C$61)),$AH16),IF(ISBLANK($AE$10),LARGE(IF($D$65:INDIRECT("D"&amp;$C$61)=$AE$11,INDIRECT(AJ16&amp;65):INDIRECT(AJ16&amp;$C$61)),$AH16),LARGE(IF(($E$65:INDIRECT("E"&amp;$C$61)=$AE$10)*($D$65:INDIRECT("D"&amp;$C$61)=$AE$11),INDIRECT(AJ16&amp;65):INDIRECT(AJ16&amp;$C$61)),$AH16))),INDIRECT(AJ16&amp;65):INDIRECT(AJ16&amp;$C$61),0)</f>
        <v>#NUM!</v>
      </c>
      <c r="U16" s="69" t="e">
        <f ca="1">INDEX(D$65:INDIRECT("D"&amp;$C$61),$T16)</f>
        <v>#NUM!</v>
      </c>
      <c r="V16" s="69" t="e">
        <f ca="1">INDEX(INDIRECT(("'MemberID'!$C$6:C"&amp;MemberID!$C$1)),MATCH(U16,INDIRECT(("'MemberID'!$G$6:G"&amp;MemberID!$C$1)),0))</f>
        <v>#NUM!</v>
      </c>
      <c r="W16" s="69" t="e">
        <f ca="1">INDEX(E$65:INDIRECT("E"&amp;$C$61),$T16)</f>
        <v>#NUM!</v>
      </c>
      <c r="X16" t="e">
        <f ca="1">INDEX(F$65:INDIRECT("F"&amp;$C$61),$T16)</f>
        <v>#NUM!</v>
      </c>
      <c r="Y16" t="e">
        <f ca="1">INDEX(G$65:INDIRECT("G"&amp;$C$61),$T16)</f>
        <v>#NUM!</v>
      </c>
      <c r="Z16" t="e">
        <f ca="1">INDEX(H$65:INDIRECT("H"&amp;$C$61),$T16)</f>
        <v>#NUM!</v>
      </c>
      <c r="AA16" t="e">
        <f ca="1">INDEX(I$65:INDIRECT("I"&amp;$C$61),$T16)</f>
        <v>#NUM!</v>
      </c>
      <c r="AB16" s="23" t="e">
        <f t="array" aca="1" ref="AB16" ca="1">IF(ISBLANK($AE$11),LARGE(IF($E$65:INDIRECT("E"&amp;$C$61)=$AE$10,J$65:INDIRECT(AB$13&amp;$C$61)),$AH16),IF(ISBLANK($AE$10),LARGE(IF($D$65:INDIRECT("D"&amp;$C$61)=$AE$11,J$65:INDIRECT(AB$13&amp;$C$61)),$AH16),LARGE(IF(($E$65:INDIRECT("E"&amp;$C$61)=$AE$10)*($D$65:INDIRECT("D"&amp;$C$61)=$AE$11),J$65:INDIRECT(AB$13&amp;$C$61)),$AH16)))</f>
        <v>#NUM!</v>
      </c>
      <c r="AC16" t="e">
        <f ca="1">INDEX(K$65:INDIRECT("K"&amp;$C$61),$T16)</f>
        <v>#NUM!</v>
      </c>
      <c r="AD16" t="e">
        <f ca="1">INDEX(L$65:INDIRECT("L"&amp;$C$61),$T16)</f>
        <v>#NUM!</v>
      </c>
      <c r="AE16" t="e">
        <f ca="1">INDEX(M$65:INDIRECT("M"&amp;$C$61),$T16)</f>
        <v>#NUM!</v>
      </c>
      <c r="AF16" t="e">
        <f ca="1">INDEX(N$65:INDIRECT("N"&amp;$C$61),$T16)</f>
        <v>#NUM!</v>
      </c>
      <c r="AG16" t="e">
        <f ca="1">INDEX(O$65:INDIRECT("O"&amp;$C$61),$T16)</f>
        <v>#NUM!</v>
      </c>
      <c r="AH16" s="69">
        <v>2</v>
      </c>
      <c r="AI16" s="69" t="str">
        <f>AI15</f>
        <v>J</v>
      </c>
      <c r="AJ16" s="69" t="str">
        <f>AJ15</f>
        <v>Q</v>
      </c>
    </row>
    <row r="17" spans="1:36" x14ac:dyDescent="0.25">
      <c r="A17" s="73" t="s">
        <v>71</v>
      </c>
      <c r="B17" s="69" t="s">
        <v>31</v>
      </c>
      <c r="C17" s="73" t="e">
        <f ca="1">Z3</f>
        <v>#NUM!</v>
      </c>
      <c r="D17" s="69" t="e">
        <f ca="1">INDEX(D$65:INDIRECT("D"&amp;$C$61),$C17)</f>
        <v>#NUM!</v>
      </c>
      <c r="E17" s="69" t="e">
        <f ca="1">INDEX(INDIRECT(("'MemberID'!$C$6:C"&amp;MemberID!$C$1)),MATCH(D17,INDIRECT(("'MemberID'!$G$6:G"&amp;MemberID!$C$1)),0))</f>
        <v>#NUM!</v>
      </c>
      <c r="F17" s="69" t="e">
        <f ca="1">INDEX(E$65:INDIRECT("E"&amp;$C$61),$C17)</f>
        <v>#NUM!</v>
      </c>
      <c r="G17" t="e">
        <f ca="1">INDEX(F$65:INDIRECT("F"&amp;$C$61),$C17)</f>
        <v>#NUM!</v>
      </c>
      <c r="H17" t="e">
        <f ca="1">INDEX(G$65:INDIRECT("G"&amp;$C$61),$C17)</f>
        <v>#NUM!</v>
      </c>
      <c r="I17" t="e">
        <f ca="1">INDEX(H$65:INDIRECT("H"&amp;$C$61),$C17)</f>
        <v>#NUM!</v>
      </c>
      <c r="J17" t="e">
        <f ca="1">INDEX(I$65:INDIRECT("I"&amp;$C$61),$C17)</f>
        <v>#NUM!</v>
      </c>
      <c r="K17" s="23" t="e">
        <f ca="1">INDEX(J$65:INDIRECT("J"&amp;$C$61),$C17)</f>
        <v>#NUM!</v>
      </c>
      <c r="L17" t="e">
        <f ca="1">INDEX(K$65:INDIRECT("K"&amp;$C$61),$C17)</f>
        <v>#NUM!</v>
      </c>
      <c r="M17" t="e">
        <f ca="1">INDEX(L$65:INDIRECT("L"&amp;$C$61),$C17)</f>
        <v>#NUM!</v>
      </c>
      <c r="N17" t="e">
        <f ca="1">INDEX(M$65:INDIRECT("M"&amp;$C$61),$C17)</f>
        <v>#NUM!</v>
      </c>
      <c r="O17" t="e">
        <f ca="1">INDEX(N$65:INDIRECT("N"&amp;$C$61),$C17)</f>
        <v>#NUM!</v>
      </c>
      <c r="P17" t="e">
        <f ca="1">INDEX(O$65:INDIRECT("O"&amp;$C$61),$C17)</f>
        <v>#NUM!</v>
      </c>
      <c r="Q17" s="104"/>
      <c r="R17" s="73" t="s">
        <v>71</v>
      </c>
      <c r="S17" s="69" t="s">
        <v>31</v>
      </c>
      <c r="T17" s="73" t="e">
        <f t="array" aca="1" ref="T17" ca="1">MATCH(IF(ISBLANK($AE$11),LARGE(IF($E$65:INDIRECT("E"&amp;$C$61)=$AE$10,INDIRECT(AJ17&amp;65):INDIRECT(AJ17&amp;$C$61)),$AH17),IF(ISBLANK($AE$10),LARGE(IF($D$65:INDIRECT("D"&amp;$C$61)=$AE$11,INDIRECT(AJ17&amp;65):INDIRECT(AJ17&amp;$C$61)),$AH17),LARGE(IF(($E$65:INDIRECT("E"&amp;$C$61)=$AE$10)*($D$65:INDIRECT("D"&amp;$C$61)=$AE$11),INDIRECT(AJ17&amp;65):INDIRECT(AJ17&amp;$C$61)),$AH17))),INDIRECT(AJ17&amp;65):INDIRECT(AJ17&amp;$C$61),0)</f>
        <v>#NUM!</v>
      </c>
      <c r="U17" s="69" t="e">
        <f ca="1">INDEX(D$65:INDIRECT("D"&amp;$C$61),$T17)</f>
        <v>#NUM!</v>
      </c>
      <c r="V17" s="69" t="e">
        <f ca="1">INDEX(INDIRECT(("'MemberID'!$C$6:C"&amp;MemberID!$C$1)),MATCH(U17,INDIRECT(("'MemberID'!$G$6:G"&amp;MemberID!$C$1)),0))</f>
        <v>#NUM!</v>
      </c>
      <c r="W17" s="69" t="e">
        <f ca="1">INDEX(E$65:INDIRECT("E"&amp;$C$61),$T17)</f>
        <v>#NUM!</v>
      </c>
      <c r="X17" t="e">
        <f ca="1">INDEX(F$65:INDIRECT("F"&amp;$C$61),$T17)</f>
        <v>#NUM!</v>
      </c>
      <c r="Y17" t="e">
        <f ca="1">INDEX(G$65:INDIRECT("G"&amp;$C$61),$T17)</f>
        <v>#NUM!</v>
      </c>
      <c r="Z17" t="e">
        <f ca="1">INDEX(H$65:INDIRECT("H"&amp;$C$61),$T17)</f>
        <v>#NUM!</v>
      </c>
      <c r="AA17" t="e">
        <f ca="1">INDEX(I$65:INDIRECT("I"&amp;$C$61),$T17)</f>
        <v>#NUM!</v>
      </c>
      <c r="AB17" s="23" t="e">
        <f t="array" aca="1" ref="AB17" ca="1">IF(ISBLANK($AE$11),LARGE(IF($E$65:INDIRECT("E"&amp;$C$61)=$AE$10,J$65:INDIRECT(AB$13&amp;$C$61)),$AH17),IF(ISBLANK($AE$10),LARGE(IF($D$65:INDIRECT("D"&amp;$C$61)=$AE$11,J$65:INDIRECT(AB$13&amp;$C$61)),$AH17),LARGE(IF(($E$65:INDIRECT("E"&amp;$C$61)=$AE$10)*($D$65:INDIRECT("D"&amp;$C$61)=$AE$11),J$65:INDIRECT(AB$13&amp;$C$61)),$AH17)))</f>
        <v>#NUM!</v>
      </c>
      <c r="AC17" t="e">
        <f ca="1">INDEX(K$65:INDIRECT("K"&amp;$C$61),$T17)</f>
        <v>#NUM!</v>
      </c>
      <c r="AD17" t="e">
        <f ca="1">INDEX(L$65:INDIRECT("L"&amp;$C$61),$T17)</f>
        <v>#NUM!</v>
      </c>
      <c r="AE17" t="e">
        <f ca="1">INDEX(M$65:INDIRECT("M"&amp;$C$61),$T17)</f>
        <v>#NUM!</v>
      </c>
      <c r="AF17" t="e">
        <f ca="1">INDEX(N$65:INDIRECT("N"&amp;$C$61),$T17)</f>
        <v>#NUM!</v>
      </c>
      <c r="AG17" t="e">
        <f ca="1">INDEX(O$65:INDIRECT("O"&amp;$C$61),$T17)</f>
        <v>#NUM!</v>
      </c>
      <c r="AH17" s="69">
        <v>3</v>
      </c>
      <c r="AI17" s="69" t="str">
        <f t="shared" ref="AI17:AJ20" si="0">AI16</f>
        <v>J</v>
      </c>
      <c r="AJ17" s="69" t="str">
        <f t="shared" si="0"/>
        <v>Q</v>
      </c>
    </row>
    <row r="18" spans="1:36" x14ac:dyDescent="0.25">
      <c r="A18" s="74" t="s">
        <v>72</v>
      </c>
      <c r="B18" s="69" t="s">
        <v>31</v>
      </c>
      <c r="C18" s="74" t="e">
        <f ca="1">J6</f>
        <v>#N/A</v>
      </c>
      <c r="D18" s="69" t="e">
        <f ca="1">INDEX(D$65:INDIRECT("D"&amp;$C$61),$C18)</f>
        <v>#N/A</v>
      </c>
      <c r="E18" s="69" t="e">
        <f ca="1">INDEX(INDIRECT(("'MemberID'!$C$6:C"&amp;MemberID!$C$1)),MATCH(D18,INDIRECT(("'MemberID'!$G$6:G"&amp;MemberID!$C$1)),0))</f>
        <v>#N/A</v>
      </c>
      <c r="F18" s="69" t="e">
        <f ca="1">INDEX(E$65:INDIRECT("E"&amp;$C$61),$C18)</f>
        <v>#N/A</v>
      </c>
      <c r="G18" t="e">
        <f ca="1">INDEX(F$65:INDIRECT("F"&amp;$C$61),$C18)</f>
        <v>#N/A</v>
      </c>
      <c r="H18" t="e">
        <f ca="1">INDEX(G$65:INDIRECT("G"&amp;$C$61),$C18)</f>
        <v>#N/A</v>
      </c>
      <c r="I18" t="e">
        <f ca="1">INDEX(H$65:INDIRECT("H"&amp;$C$61),$C18)</f>
        <v>#N/A</v>
      </c>
      <c r="J18" t="e">
        <f ca="1">INDEX(I$65:INDIRECT("I"&amp;$C$61),$C18)</f>
        <v>#N/A</v>
      </c>
      <c r="K18" s="23" t="e">
        <f ca="1">INDEX(J$65:INDIRECT("J"&amp;$C$61),$C18)</f>
        <v>#N/A</v>
      </c>
      <c r="L18" t="e">
        <f ca="1">INDEX(K$65:INDIRECT("K"&amp;$C$61),$C18)</f>
        <v>#N/A</v>
      </c>
      <c r="M18" t="e">
        <f ca="1">INDEX(L$65:INDIRECT("L"&amp;$C$61),$C18)</f>
        <v>#N/A</v>
      </c>
      <c r="N18" t="e">
        <f ca="1">INDEX(M$65:INDIRECT("M"&amp;$C$61),$C18)</f>
        <v>#N/A</v>
      </c>
      <c r="O18" t="e">
        <f ca="1">INDEX(N$65:INDIRECT("N"&amp;$C$61),$C18)</f>
        <v>#N/A</v>
      </c>
      <c r="P18" t="e">
        <f ca="1">INDEX(O$65:INDIRECT("O"&amp;$C$61),$C18)</f>
        <v>#N/A</v>
      </c>
      <c r="Q18" s="104"/>
      <c r="R18" s="74" t="s">
        <v>72</v>
      </c>
      <c r="S18" s="69" t="s">
        <v>31</v>
      </c>
      <c r="T18" s="74" t="e">
        <f t="array" aca="1" ref="T18" ca="1">MATCH(IF(ISBLANK($AE$11),SMALL(IF($E$65:INDIRECT("E"&amp;$C$61)=$AE$10,INDIRECT(AJ18&amp;65):INDIRECT(AJ18&amp;$C$61)),$AH18),IF(ISBLANK($AE$10),SMALL(IF($D$65:INDIRECT("D"&amp;$C$61)=$AE$11,INDIRECT(AJ18&amp;65):INDIRECT(AJ18&amp;$C$61)),$AH18),SMALL(IF(($E$65:INDIRECT("E"&amp;$C$61)=$AE$10)*($D$65:INDIRECT("D"&amp;$C$61)=$AE$11),INDIRECT(AJ18&amp;65):INDIRECT(AJ18&amp;$C$61)),$AH18))),INDIRECT(AJ18&amp;65):INDIRECT(AJ18&amp;$C$61),0)</f>
        <v>#NUM!</v>
      </c>
      <c r="U18" s="69" t="e">
        <f ca="1">INDEX(D$65:INDIRECT("D"&amp;$C$61),$T18)</f>
        <v>#NUM!</v>
      </c>
      <c r="V18" s="69" t="e">
        <f ca="1">INDEX(INDIRECT(("'MemberID'!$C$6:C"&amp;MemberID!$C$1)),MATCH(U18,INDIRECT(("'MemberID'!$G$6:G"&amp;MemberID!$C$1)),0))</f>
        <v>#NUM!</v>
      </c>
      <c r="W18" s="69" t="e">
        <f ca="1">INDEX(E$65:INDIRECT("E"&amp;$C$61),$T18)</f>
        <v>#NUM!</v>
      </c>
      <c r="X18" t="e">
        <f ca="1">INDEX(F$65:INDIRECT("F"&amp;$C$61),$T18)</f>
        <v>#NUM!</v>
      </c>
      <c r="Y18" t="e">
        <f ca="1">INDEX(G$65:INDIRECT("G"&amp;$C$61),$T18)</f>
        <v>#NUM!</v>
      </c>
      <c r="Z18" t="e">
        <f ca="1">INDEX(H$65:INDIRECT("H"&amp;$C$61),$T18)</f>
        <v>#NUM!</v>
      </c>
      <c r="AA18" t="e">
        <f ca="1">INDEX(I$65:INDIRECT("I"&amp;$C$61),$T18)</f>
        <v>#NUM!</v>
      </c>
      <c r="AB18" s="23" t="e">
        <f t="array" aca="1" ref="AB18" ca="1">IF(ISBLANK($AE$11),SMALL(IF($E$65:INDIRECT("E"&amp;$C$61)=$AE$10,J$65:INDIRECT(AB$13&amp;$C$61)),$AH18),IF(ISBLANK($AE$10),SMALL(IF($D$65:INDIRECT("D"&amp;$C$61)=$AE$11,J$65:INDIRECT(AB$13&amp;$C$61)),$AH18),SMALL(IF(($E$65:INDIRECT("E"&amp;$C$61)=$AE$10)*($D$65:INDIRECT("D"&amp;$C$61)=$AE$11),J$65:INDIRECT(AB$13&amp;$C$61)),$AH18)))</f>
        <v>#NUM!</v>
      </c>
      <c r="AC18" t="e">
        <f ca="1">INDEX(K$65:INDIRECT("K"&amp;$C$61),$T18)</f>
        <v>#NUM!</v>
      </c>
      <c r="AD18" t="e">
        <f ca="1">INDEX(L$65:INDIRECT("L"&amp;$C$61),$T18)</f>
        <v>#NUM!</v>
      </c>
      <c r="AE18" t="e">
        <f ca="1">INDEX(M$65:INDIRECT("M"&amp;$C$61),$T18)</f>
        <v>#NUM!</v>
      </c>
      <c r="AF18" t="e">
        <f ca="1">INDEX(N$65:INDIRECT("N"&amp;$C$61),$T18)</f>
        <v>#NUM!</v>
      </c>
      <c r="AG18" t="e">
        <f ca="1">INDEX(O$65:INDIRECT("O"&amp;$C$61),$T18)</f>
        <v>#NUM!</v>
      </c>
      <c r="AH18" s="69">
        <v>1</v>
      </c>
      <c r="AI18" s="69" t="str">
        <f t="shared" si="0"/>
        <v>J</v>
      </c>
      <c r="AJ18" s="69" t="str">
        <f t="shared" si="0"/>
        <v>Q</v>
      </c>
    </row>
    <row r="19" spans="1:36" x14ac:dyDescent="0.25">
      <c r="A19" s="74" t="s">
        <v>73</v>
      </c>
      <c r="B19" s="69" t="s">
        <v>31</v>
      </c>
      <c r="C19" s="74" t="e">
        <f ca="1">R6</f>
        <v>#NUM!</v>
      </c>
      <c r="D19" s="69" t="e">
        <f ca="1">INDEX(D$65:INDIRECT("D"&amp;$C$61),$C19)</f>
        <v>#NUM!</v>
      </c>
      <c r="E19" s="69" t="e">
        <f ca="1">INDEX(INDIRECT(("'MemberID'!$C$6:C"&amp;MemberID!$C$1)),MATCH(D19,INDIRECT(("'MemberID'!$G$6:G"&amp;MemberID!$C$1)),0))</f>
        <v>#NUM!</v>
      </c>
      <c r="F19" s="69" t="e">
        <f ca="1">INDEX(E$65:INDIRECT("E"&amp;$C$61),$C19)</f>
        <v>#NUM!</v>
      </c>
      <c r="G19" t="e">
        <f ca="1">INDEX(F$65:INDIRECT("F"&amp;$C$61),$C19)</f>
        <v>#NUM!</v>
      </c>
      <c r="H19" t="e">
        <f ca="1">INDEX(G$65:INDIRECT("G"&amp;$C$61),$C19)</f>
        <v>#NUM!</v>
      </c>
      <c r="I19" t="e">
        <f ca="1">INDEX(H$65:INDIRECT("H"&amp;$C$61),$C19)</f>
        <v>#NUM!</v>
      </c>
      <c r="J19" t="e">
        <f ca="1">INDEX(I$65:INDIRECT("I"&amp;$C$61),$C19)</f>
        <v>#NUM!</v>
      </c>
      <c r="K19" s="23" t="e">
        <f ca="1">INDEX(J$65:INDIRECT("J"&amp;$C$61),$C19)</f>
        <v>#NUM!</v>
      </c>
      <c r="L19" t="e">
        <f ca="1">INDEX(K$65:INDIRECT("K"&amp;$C$61),$C19)</f>
        <v>#NUM!</v>
      </c>
      <c r="M19" t="e">
        <f ca="1">INDEX(L$65:INDIRECT("L"&amp;$C$61),$C19)</f>
        <v>#NUM!</v>
      </c>
      <c r="N19" t="e">
        <f ca="1">INDEX(M$65:INDIRECT("M"&amp;$C$61),$C19)</f>
        <v>#NUM!</v>
      </c>
      <c r="O19" t="e">
        <f ca="1">INDEX(N$65:INDIRECT("N"&amp;$C$61),$C19)</f>
        <v>#NUM!</v>
      </c>
      <c r="P19" t="e">
        <f ca="1">INDEX(O$65:INDIRECT("O"&amp;$C$61),$C19)</f>
        <v>#NUM!</v>
      </c>
      <c r="Q19" s="104"/>
      <c r="R19" s="74" t="s">
        <v>73</v>
      </c>
      <c r="S19" s="69" t="s">
        <v>31</v>
      </c>
      <c r="T19" s="74" t="e">
        <f t="array" aca="1" ref="T19" ca="1">MATCH(IF(ISBLANK($AE$11),SMALL(IF($E$65:INDIRECT("E"&amp;$C$61)=$AE$10,INDIRECT(AJ19&amp;65):INDIRECT(AJ19&amp;$C$61)),$AH19),IF(ISBLANK($AE$10),SMALL(IF($D$65:INDIRECT("D"&amp;$C$61)=$AE$11,INDIRECT(AJ19&amp;65):INDIRECT(AJ19&amp;$C$61)),$AH19),SMALL(IF(($E$65:INDIRECT("E"&amp;$C$61)=$AE$10)*($D$65:INDIRECT("D"&amp;$C$61)=$AE$11),INDIRECT(AJ19&amp;65):INDIRECT(AJ19&amp;$C$61)),$AH19))),INDIRECT(AJ19&amp;65):INDIRECT(AJ19&amp;$C$61),0)</f>
        <v>#NUM!</v>
      </c>
      <c r="U19" s="69" t="e">
        <f ca="1">INDEX(D$65:INDIRECT("D"&amp;$C$61),$T19)</f>
        <v>#NUM!</v>
      </c>
      <c r="V19" s="69" t="e">
        <f ca="1">INDEX(INDIRECT(("'MemberID'!$C$6:C"&amp;MemberID!$C$1)),MATCH(U19,INDIRECT(("'MemberID'!$G$6:G"&amp;MemberID!$C$1)),0))</f>
        <v>#NUM!</v>
      </c>
      <c r="W19" s="69" t="e">
        <f ca="1">INDEX(E$65:INDIRECT("E"&amp;$C$61),$T19)</f>
        <v>#NUM!</v>
      </c>
      <c r="X19" t="e">
        <f ca="1">INDEX(F$65:INDIRECT("F"&amp;$C$61),$T19)</f>
        <v>#NUM!</v>
      </c>
      <c r="Y19" t="e">
        <f ca="1">INDEX(G$65:INDIRECT("G"&amp;$C$61),$T19)</f>
        <v>#NUM!</v>
      </c>
      <c r="Z19" t="e">
        <f ca="1">INDEX(H$65:INDIRECT("H"&amp;$C$61),$T19)</f>
        <v>#NUM!</v>
      </c>
      <c r="AA19" t="e">
        <f ca="1">INDEX(I$65:INDIRECT("I"&amp;$C$61),$T19)</f>
        <v>#NUM!</v>
      </c>
      <c r="AB19" s="23" t="e">
        <f t="array" aca="1" ref="AB19" ca="1">IF(ISBLANK($AE$11),SMALL(IF($E$65:INDIRECT("E"&amp;$C$61)=$AE$10,J$65:INDIRECT(AB$13&amp;$C$61)),$AH19),IF(ISBLANK($AE$10),SMALL(IF($D$65:INDIRECT("D"&amp;$C$61)=$AE$11,J$65:INDIRECT(AB$13&amp;$C$61)),$AH19),SMALL(IF(($E$65:INDIRECT("E"&amp;$C$61)=$AE$10)*($D$65:INDIRECT("D"&amp;$C$61)=$AE$11),J$65:INDIRECT(AB$13&amp;$C$61)),$AH19)))</f>
        <v>#NUM!</v>
      </c>
      <c r="AC19" t="e">
        <f ca="1">INDEX(K$65:INDIRECT("K"&amp;$C$61),$T19)</f>
        <v>#NUM!</v>
      </c>
      <c r="AD19" t="e">
        <f ca="1">INDEX(L$65:INDIRECT("L"&amp;$C$61),$T19)</f>
        <v>#NUM!</v>
      </c>
      <c r="AE19" t="e">
        <f ca="1">INDEX(M$65:INDIRECT("M"&amp;$C$61),$T19)</f>
        <v>#NUM!</v>
      </c>
      <c r="AF19" t="e">
        <f ca="1">INDEX(N$65:INDIRECT("N"&amp;$C$61),$T19)</f>
        <v>#NUM!</v>
      </c>
      <c r="AG19" t="e">
        <f ca="1">INDEX(O$65:INDIRECT("O"&amp;$C$61),$T19)</f>
        <v>#NUM!</v>
      </c>
      <c r="AH19" s="69">
        <v>2</v>
      </c>
      <c r="AI19" s="69" t="str">
        <f t="shared" si="0"/>
        <v>J</v>
      </c>
      <c r="AJ19" s="69" t="str">
        <f t="shared" si="0"/>
        <v>Q</v>
      </c>
    </row>
    <row r="20" spans="1:36" x14ac:dyDescent="0.25">
      <c r="A20" s="74" t="s">
        <v>74</v>
      </c>
      <c r="B20" s="69" t="s">
        <v>31</v>
      </c>
      <c r="C20" s="74" t="e">
        <f ca="1">Z6</f>
        <v>#NUM!</v>
      </c>
      <c r="D20" s="69" t="e">
        <f ca="1">INDEX(D$65:INDIRECT("D"&amp;$C$61),$C20)</f>
        <v>#NUM!</v>
      </c>
      <c r="E20" s="69" t="e">
        <f ca="1">INDEX(INDIRECT(("'MemberID'!$C$6:C"&amp;MemberID!$C$1)),MATCH(D20,INDIRECT(("'MemberID'!$G$6:G"&amp;MemberID!$C$1)),0))</f>
        <v>#NUM!</v>
      </c>
      <c r="F20" s="69" t="e">
        <f ca="1">INDEX(E$65:INDIRECT("E"&amp;$C$61),$C20)</f>
        <v>#NUM!</v>
      </c>
      <c r="G20" t="e">
        <f ca="1">INDEX(F$65:INDIRECT("F"&amp;$C$61),$C20)</f>
        <v>#NUM!</v>
      </c>
      <c r="H20" t="e">
        <f ca="1">INDEX(G$65:INDIRECT("G"&amp;$C$61),$C20)</f>
        <v>#NUM!</v>
      </c>
      <c r="I20" t="e">
        <f ca="1">INDEX(H$65:INDIRECT("H"&amp;$C$61),$C20)</f>
        <v>#NUM!</v>
      </c>
      <c r="J20" t="e">
        <f ca="1">INDEX(I$65:INDIRECT("I"&amp;$C$61),$C20)</f>
        <v>#NUM!</v>
      </c>
      <c r="K20" s="23" t="e">
        <f ca="1">INDEX(J$65:INDIRECT("J"&amp;$C$61),$C20)</f>
        <v>#NUM!</v>
      </c>
      <c r="L20" t="e">
        <f ca="1">INDEX(K$65:INDIRECT("K"&amp;$C$61),$C20)</f>
        <v>#NUM!</v>
      </c>
      <c r="M20" t="e">
        <f ca="1">INDEX(L$65:INDIRECT("L"&amp;$C$61),$C20)</f>
        <v>#NUM!</v>
      </c>
      <c r="N20" t="e">
        <f ca="1">INDEX(M$65:INDIRECT("M"&amp;$C$61),$C20)</f>
        <v>#NUM!</v>
      </c>
      <c r="O20" t="e">
        <f ca="1">INDEX(N$65:INDIRECT("N"&amp;$C$61),$C20)</f>
        <v>#NUM!</v>
      </c>
      <c r="P20" t="e">
        <f ca="1">INDEX(O$65:INDIRECT("O"&amp;$C$61),$C20)</f>
        <v>#NUM!</v>
      </c>
      <c r="Q20" s="104"/>
      <c r="R20" s="74" t="s">
        <v>74</v>
      </c>
      <c r="S20" s="69" t="s">
        <v>31</v>
      </c>
      <c r="T20" s="74" t="e">
        <f t="array" aca="1" ref="T20" ca="1">MATCH(IF(ISBLANK($AE$11),SMALL(IF($E$65:INDIRECT("E"&amp;$C$61)=$AE$10,INDIRECT(AJ20&amp;65):INDIRECT(AJ20&amp;$C$61)),$AH20),IF(ISBLANK($AE$10),SMALL(IF($D$65:INDIRECT("D"&amp;$C$61)=$AE$11,INDIRECT(AJ20&amp;65):INDIRECT(AJ20&amp;$C$61)),$AH20),SMALL(IF(($E$65:INDIRECT("E"&amp;$C$61)=$AE$10)*($D$65:INDIRECT("D"&amp;$C$61)=$AE$11),INDIRECT(AJ20&amp;65):INDIRECT(AJ20&amp;$C$61)),$AH20))),INDIRECT(AJ20&amp;65):INDIRECT(AJ20&amp;$C$61),0)</f>
        <v>#NUM!</v>
      </c>
      <c r="U20" s="69" t="e">
        <f ca="1">INDEX(D$65:INDIRECT("D"&amp;$C$61),$T20)</f>
        <v>#NUM!</v>
      </c>
      <c r="V20" s="69" t="e">
        <f ca="1">INDEX(INDIRECT(("'MemberID'!$C$6:C"&amp;MemberID!$C$1)),MATCH(U20,INDIRECT(("'MemberID'!$G$6:G"&amp;MemberID!$C$1)),0))</f>
        <v>#NUM!</v>
      </c>
      <c r="W20" s="69" t="e">
        <f ca="1">INDEX(E$65:INDIRECT("E"&amp;$C$61),$T20)</f>
        <v>#NUM!</v>
      </c>
      <c r="X20" t="e">
        <f ca="1">INDEX(F$65:INDIRECT("F"&amp;$C$61),$T20)</f>
        <v>#NUM!</v>
      </c>
      <c r="Y20" t="e">
        <f ca="1">INDEX(G$65:INDIRECT("G"&amp;$C$61),$T20)</f>
        <v>#NUM!</v>
      </c>
      <c r="Z20" t="e">
        <f ca="1">INDEX(H$65:INDIRECT("H"&amp;$C$61),$T20)</f>
        <v>#NUM!</v>
      </c>
      <c r="AA20" t="e">
        <f ca="1">INDEX(I$65:INDIRECT("I"&amp;$C$61),$T20)</f>
        <v>#NUM!</v>
      </c>
      <c r="AB20" s="23" t="e">
        <f t="array" aca="1" ref="AB20" ca="1">IF(ISBLANK($AE$11),SMALL(IF($E$65:INDIRECT("E"&amp;$C$61)=$AE$10,J$65:INDIRECT(AB$13&amp;$C$61)),$AH20),IF(ISBLANK($AE$10),SMALL(IF($D$65:INDIRECT("D"&amp;$C$61)=$AE$11,J$65:INDIRECT(AB$13&amp;$C$61)),$AH20),SMALL(IF(($E$65:INDIRECT("E"&amp;$C$61)=$AE$10)*($D$65:INDIRECT("D"&amp;$C$61)=$AE$11),J$65:INDIRECT(AB$13&amp;$C$61)),$AH20)))</f>
        <v>#NUM!</v>
      </c>
      <c r="AC20" t="e">
        <f ca="1">INDEX(K$65:INDIRECT("K"&amp;$C$61),$T20)</f>
        <v>#NUM!</v>
      </c>
      <c r="AD20" t="e">
        <f ca="1">INDEX(L$65:INDIRECT("L"&amp;$C$61),$T20)</f>
        <v>#NUM!</v>
      </c>
      <c r="AE20" t="e">
        <f ca="1">INDEX(M$65:INDIRECT("M"&amp;$C$61),$T20)</f>
        <v>#NUM!</v>
      </c>
      <c r="AF20" t="e">
        <f ca="1">INDEX(N$65:INDIRECT("N"&amp;$C$61),$T20)</f>
        <v>#NUM!</v>
      </c>
      <c r="AG20" t="e">
        <f ca="1">INDEX(O$65:INDIRECT("O"&amp;$C$61),$T20)</f>
        <v>#NUM!</v>
      </c>
      <c r="AH20" s="69">
        <v>3</v>
      </c>
      <c r="AI20" s="69" t="str">
        <f t="shared" si="0"/>
        <v>J</v>
      </c>
      <c r="AJ20" s="69" t="str">
        <f t="shared" si="0"/>
        <v>Q</v>
      </c>
    </row>
    <row r="21" spans="1:36" x14ac:dyDescent="0.25">
      <c r="A21" s="5"/>
      <c r="B21" s="69"/>
      <c r="C21" s="69"/>
      <c r="D21" s="69"/>
      <c r="E21" s="69"/>
      <c r="F21" s="69"/>
      <c r="J21" s="7"/>
      <c r="K21" s="7"/>
      <c r="L21" s="7"/>
      <c r="Q21" s="104"/>
      <c r="R21" s="5"/>
      <c r="S21" s="69"/>
      <c r="T21" s="69"/>
      <c r="V21" s="69"/>
      <c r="W21" s="69"/>
      <c r="AH21" s="69"/>
      <c r="AI21" s="69"/>
      <c r="AJ21" s="69"/>
    </row>
    <row r="22" spans="1:36" x14ac:dyDescent="0.25">
      <c r="A22" s="73" t="s">
        <v>69</v>
      </c>
      <c r="B22" s="69" t="s">
        <v>32</v>
      </c>
      <c r="C22" s="73" t="e">
        <f ca="1">K3</f>
        <v>#N/A</v>
      </c>
      <c r="D22" s="69" t="e">
        <f ca="1">INDEX(D$65:INDIRECT("D"&amp;$C$61),$C22)</f>
        <v>#N/A</v>
      </c>
      <c r="E22" s="69" t="e">
        <f ca="1">INDEX(INDIRECT(("'MemberID'!$C$6:C"&amp;MemberID!$C$1)),MATCH(D22,INDIRECT(("'MemberID'!$G$6:G"&amp;MemberID!$C$1)),0))</f>
        <v>#N/A</v>
      </c>
      <c r="F22" s="69" t="e">
        <f ca="1">INDEX(E$65:INDIRECT("E"&amp;$C$61),$C22)</f>
        <v>#N/A</v>
      </c>
      <c r="G22" t="e">
        <f ca="1">INDEX(F$65:INDIRECT("F"&amp;$C$61),$C22)</f>
        <v>#N/A</v>
      </c>
      <c r="H22" t="e">
        <f ca="1">INDEX(G$65:INDIRECT("G"&amp;$C$61),$C22)</f>
        <v>#N/A</v>
      </c>
      <c r="I22" t="e">
        <f ca="1">INDEX(H$65:INDIRECT("H"&amp;$C$61),$C22)</f>
        <v>#N/A</v>
      </c>
      <c r="J22" t="e">
        <f ca="1">INDEX(I$65:INDIRECT("I"&amp;$C$61),$C22)</f>
        <v>#N/A</v>
      </c>
      <c r="K22" s="7" t="e">
        <f ca="1">INDEX(J$65:INDIRECT("J"&amp;$C$61),$C22)</f>
        <v>#N/A</v>
      </c>
      <c r="L22" s="23" t="e">
        <f ca="1">INDEX(K$65:INDIRECT("K"&amp;$C$61),$C22)</f>
        <v>#N/A</v>
      </c>
      <c r="M22" t="e">
        <f ca="1">INDEX(L$65:INDIRECT("L"&amp;$C$61),$C22)</f>
        <v>#N/A</v>
      </c>
      <c r="N22" t="e">
        <f ca="1">INDEX(M$65:INDIRECT("M"&amp;$C$61),$C22)</f>
        <v>#N/A</v>
      </c>
      <c r="O22" t="e">
        <f ca="1">INDEX(N$65:INDIRECT("N"&amp;$C$61),$C22)</f>
        <v>#N/A</v>
      </c>
      <c r="P22" t="e">
        <f ca="1">INDEX(O$65:INDIRECT("O"&amp;$C$61),$C22)</f>
        <v>#N/A</v>
      </c>
      <c r="Q22" s="104"/>
      <c r="R22" s="73" t="s">
        <v>69</v>
      </c>
      <c r="S22" s="69" t="s">
        <v>32</v>
      </c>
      <c r="T22" s="73" t="e">
        <f t="array" aca="1" ref="T22" ca="1">MATCH(IF(ISBLANK($AE$11),LARGE(IF($E$65:INDIRECT("E"&amp;$C$61)=$AE$10,INDIRECT(AJ22&amp;65):INDIRECT(AJ22&amp;$C$61)),$AH22),IF(ISBLANK($AE$10),LARGE(IF($D$65:INDIRECT("D"&amp;$C$61)=$AE$11,INDIRECT(AJ22&amp;65):INDIRECT(AJ22&amp;$C$61)),$AH22),LARGE(IF(($E$65:INDIRECT("E"&amp;$C$61)=$AE$10)*($D$65:INDIRECT("D"&amp;$C$61)=$AE$11),INDIRECT(AJ22&amp;65):INDIRECT(AJ22&amp;$C$61)),$AH22))),INDIRECT(AJ22&amp;65):INDIRECT(AJ22&amp;$C$61),0)</f>
        <v>#NUM!</v>
      </c>
      <c r="U22" s="69" t="e">
        <f ca="1">INDEX(D$65:INDIRECT("D"&amp;$C$61),$T22)</f>
        <v>#NUM!</v>
      </c>
      <c r="V22" s="69" t="e">
        <f ca="1">INDEX(INDIRECT(("'MemberID'!$C$6:C"&amp;MemberID!$C$1)),MATCH(U22,INDIRECT(("'MemberID'!$G$6:G"&amp;MemberID!$C$1)),0))</f>
        <v>#NUM!</v>
      </c>
      <c r="W22" s="69" t="e">
        <f ca="1">INDEX(E$65:INDIRECT("E"&amp;$C$61),$T22)</f>
        <v>#NUM!</v>
      </c>
      <c r="X22" t="e">
        <f ca="1">INDEX(F$65:INDIRECT("F"&amp;$C$61),$T22)</f>
        <v>#NUM!</v>
      </c>
      <c r="Y22" t="e">
        <f ca="1">INDEX(G$65:INDIRECT("G"&amp;$C$61),$T22)</f>
        <v>#NUM!</v>
      </c>
      <c r="Z22" t="e">
        <f ca="1">INDEX(H$65:INDIRECT("H"&amp;$C$61),$T22)</f>
        <v>#NUM!</v>
      </c>
      <c r="AA22" t="e">
        <f ca="1">INDEX(I$65:INDIRECT("I"&amp;$C$61),$T22)</f>
        <v>#NUM!</v>
      </c>
      <c r="AB22" t="e">
        <f ca="1">INDEX(J$65:INDIRECT("J"&amp;$C$61),$T22)</f>
        <v>#NUM!</v>
      </c>
      <c r="AC22" s="23" t="e">
        <f t="array" aca="1" ref="AC22" ca="1">IF(ISBLANK($AE$11),LARGE(IF($E$65:INDIRECT("E"&amp;$C$61)=$AE$10,K$65:INDIRECT(AC$13&amp;$C$61)),$AH22),IF(ISBLANK($AE$10),LARGE(IF($D$65:INDIRECT("D"&amp;$C$61)=$AE$11,K$65:INDIRECT(AC$13&amp;$C$61)),$AH22),LARGE(IF(($E$65:INDIRECT("E"&amp;$C$61)=$AE$10)*($D$65:INDIRECT("D"&amp;$C$61)=$AE$11),K$65:INDIRECT(AC$13&amp;$C$61)),$AH22)))</f>
        <v>#NUM!</v>
      </c>
      <c r="AD22" t="e">
        <f ca="1">INDEX(L$65:INDIRECT("L"&amp;$C$61),$T22)</f>
        <v>#NUM!</v>
      </c>
      <c r="AE22" t="e">
        <f ca="1">INDEX(M$65:INDIRECT("M"&amp;$C$61),$T22)</f>
        <v>#NUM!</v>
      </c>
      <c r="AF22" t="e">
        <f ca="1">INDEX(N$65:INDIRECT("N"&amp;$C$61),$T22)</f>
        <v>#NUM!</v>
      </c>
      <c r="AG22" t="e">
        <f ca="1">INDEX(O$65:INDIRECT("O"&amp;$C$61),$T22)</f>
        <v>#NUM!</v>
      </c>
      <c r="AH22" s="69">
        <v>1</v>
      </c>
      <c r="AI22" s="69" t="s">
        <v>151</v>
      </c>
      <c r="AJ22" s="69" t="s">
        <v>157</v>
      </c>
    </row>
    <row r="23" spans="1:36" x14ac:dyDescent="0.25">
      <c r="A23" s="73" t="s">
        <v>70</v>
      </c>
      <c r="B23" s="69" t="s">
        <v>32</v>
      </c>
      <c r="C23" s="73" t="e">
        <f ca="1">S3</f>
        <v>#NUM!</v>
      </c>
      <c r="D23" s="69" t="e">
        <f ca="1">INDEX(D$65:INDIRECT("D"&amp;$C$61),$C23)</f>
        <v>#NUM!</v>
      </c>
      <c r="E23" s="69" t="e">
        <f ca="1">INDEX(INDIRECT(("'MemberID'!$C$6:C"&amp;MemberID!$C$1)),MATCH(D23,INDIRECT(("'MemberID'!$G$6:G"&amp;MemberID!$C$1)),0))</f>
        <v>#NUM!</v>
      </c>
      <c r="F23" s="69" t="e">
        <f ca="1">INDEX(E$65:INDIRECT("E"&amp;$C$61),$C23)</f>
        <v>#NUM!</v>
      </c>
      <c r="G23" t="e">
        <f ca="1">INDEX(F$65:INDIRECT("F"&amp;$C$61),$C23)</f>
        <v>#NUM!</v>
      </c>
      <c r="H23" t="e">
        <f ca="1">INDEX(G$65:INDIRECT("G"&amp;$C$61),$C23)</f>
        <v>#NUM!</v>
      </c>
      <c r="I23" t="e">
        <f ca="1">INDEX(H$65:INDIRECT("H"&amp;$C$61),$C23)</f>
        <v>#NUM!</v>
      </c>
      <c r="J23" t="e">
        <f ca="1">INDEX(I$65:INDIRECT("I"&amp;$C$61),$C23)</f>
        <v>#NUM!</v>
      </c>
      <c r="K23" s="7" t="e">
        <f ca="1">INDEX(J$65:INDIRECT("J"&amp;$C$61),$C23)</f>
        <v>#NUM!</v>
      </c>
      <c r="L23" s="23" t="e">
        <f ca="1">INDEX(K$65:INDIRECT("K"&amp;$C$61),$C23)</f>
        <v>#NUM!</v>
      </c>
      <c r="M23" t="e">
        <f ca="1">INDEX(L$65:INDIRECT("L"&amp;$C$61),$C23)</f>
        <v>#NUM!</v>
      </c>
      <c r="N23" t="e">
        <f ca="1">INDEX(M$65:INDIRECT("M"&amp;$C$61),$C23)</f>
        <v>#NUM!</v>
      </c>
      <c r="O23" t="e">
        <f ca="1">INDEX(N$65:INDIRECT("N"&amp;$C$61),$C23)</f>
        <v>#NUM!</v>
      </c>
      <c r="P23" t="e">
        <f ca="1">INDEX(O$65:INDIRECT("O"&amp;$C$61),$C23)</f>
        <v>#NUM!</v>
      </c>
      <c r="Q23" s="104"/>
      <c r="R23" s="73" t="s">
        <v>70</v>
      </c>
      <c r="S23" s="69" t="s">
        <v>32</v>
      </c>
      <c r="T23" s="73" t="e">
        <f t="array" aca="1" ref="T23" ca="1">MATCH(IF(ISBLANK($AE$11),LARGE(IF($E$65:INDIRECT("E"&amp;$C$61)=$AE$10,INDIRECT(AJ23&amp;65):INDIRECT(AJ23&amp;$C$61)),$AH23),IF(ISBLANK($AE$10),LARGE(IF($D$65:INDIRECT("D"&amp;$C$61)=$AE$11,INDIRECT(AJ23&amp;65):INDIRECT(AJ23&amp;$C$61)),$AH23),LARGE(IF(($E$65:INDIRECT("E"&amp;$C$61)=$AE$10)*($D$65:INDIRECT("D"&amp;$C$61)=$AE$11),INDIRECT(AJ23&amp;65):INDIRECT(AJ23&amp;$C$61)),$AH23))),INDIRECT(AJ23&amp;65):INDIRECT(AJ23&amp;$C$61),0)</f>
        <v>#NUM!</v>
      </c>
      <c r="U23" s="69" t="e">
        <f ca="1">INDEX(D$65:INDIRECT("D"&amp;$C$61),$T23)</f>
        <v>#NUM!</v>
      </c>
      <c r="V23" s="69" t="e">
        <f ca="1">INDEX(INDIRECT(("'MemberID'!$C$6:C"&amp;MemberID!$C$1)),MATCH(U23,INDIRECT(("'MemberID'!$G$6:G"&amp;MemberID!$C$1)),0))</f>
        <v>#NUM!</v>
      </c>
      <c r="W23" s="69" t="e">
        <f ca="1">INDEX(E$65:INDIRECT("E"&amp;$C$61),$T23)</f>
        <v>#NUM!</v>
      </c>
      <c r="X23" t="e">
        <f ca="1">INDEX(F$65:INDIRECT("F"&amp;$C$61),$T23)</f>
        <v>#NUM!</v>
      </c>
      <c r="Y23" t="e">
        <f ca="1">INDEX(G$65:INDIRECT("G"&amp;$C$61),$T23)</f>
        <v>#NUM!</v>
      </c>
      <c r="Z23" t="e">
        <f ca="1">INDEX(H$65:INDIRECT("H"&amp;$C$61),$T23)</f>
        <v>#NUM!</v>
      </c>
      <c r="AA23" t="e">
        <f ca="1">INDEX(I$65:INDIRECT("I"&amp;$C$61),$T23)</f>
        <v>#NUM!</v>
      </c>
      <c r="AB23" t="e">
        <f ca="1">INDEX(J$65:INDIRECT("J"&amp;$C$61),$T23)</f>
        <v>#NUM!</v>
      </c>
      <c r="AC23" s="23" t="e">
        <f t="array" aca="1" ref="AC23" ca="1">IF(ISBLANK($AE$11),LARGE(IF($E$65:INDIRECT("E"&amp;$C$61)=$AE$10,K$65:INDIRECT(AC$13&amp;$C$61)),$AH23),IF(ISBLANK($AE$10),LARGE(IF($D$65:INDIRECT("D"&amp;$C$61)=$AE$11,K$65:INDIRECT(AC$13&amp;$C$61)),$AH23),LARGE(IF(($E$65:INDIRECT("E"&amp;$C$61)=$AE$10)*($D$65:INDIRECT("D"&amp;$C$61)=$AE$11),K$65:INDIRECT(AC$13&amp;$C$61)),$AH23)))</f>
        <v>#NUM!</v>
      </c>
      <c r="AD23" t="e">
        <f ca="1">INDEX(L$65:INDIRECT("L"&amp;$C$61),$T23)</f>
        <v>#NUM!</v>
      </c>
      <c r="AE23" t="e">
        <f ca="1">INDEX(M$65:INDIRECT("M"&amp;$C$61),$T23)</f>
        <v>#NUM!</v>
      </c>
      <c r="AF23" t="e">
        <f ca="1">INDEX(N$65:INDIRECT("N"&amp;$C$61),$T23)</f>
        <v>#NUM!</v>
      </c>
      <c r="AG23" t="e">
        <f ca="1">INDEX(O$65:INDIRECT("O"&amp;$C$61),$T23)</f>
        <v>#NUM!</v>
      </c>
      <c r="AH23" s="69">
        <v>2</v>
      </c>
      <c r="AI23" s="69" t="str">
        <f>AI22</f>
        <v>K</v>
      </c>
      <c r="AJ23" s="69" t="str">
        <f>AJ22</f>
        <v>R</v>
      </c>
    </row>
    <row r="24" spans="1:36" x14ac:dyDescent="0.25">
      <c r="A24" s="73" t="s">
        <v>71</v>
      </c>
      <c r="B24" s="69" t="s">
        <v>32</v>
      </c>
      <c r="C24" s="73" t="e">
        <f ca="1">AA3</f>
        <v>#NUM!</v>
      </c>
      <c r="D24" s="69" t="e">
        <f ca="1">INDEX(D$65:INDIRECT("D"&amp;$C$61),$C24)</f>
        <v>#NUM!</v>
      </c>
      <c r="E24" s="69" t="e">
        <f ca="1">INDEX(INDIRECT(("'MemberID'!$C$6:C"&amp;MemberID!$C$1)),MATCH(D24,INDIRECT(("'MemberID'!$G$6:G"&amp;MemberID!$C$1)),0))</f>
        <v>#NUM!</v>
      </c>
      <c r="F24" s="69" t="e">
        <f ca="1">INDEX(E$65:INDIRECT("E"&amp;$C$61),$C24)</f>
        <v>#NUM!</v>
      </c>
      <c r="G24" t="e">
        <f ca="1">INDEX(F$65:INDIRECT("F"&amp;$C$61),$C24)</f>
        <v>#NUM!</v>
      </c>
      <c r="H24" t="e">
        <f ca="1">INDEX(G$65:INDIRECT("G"&amp;$C$61),$C24)</f>
        <v>#NUM!</v>
      </c>
      <c r="I24" t="e">
        <f ca="1">INDEX(H$65:INDIRECT("H"&amp;$C$61),$C24)</f>
        <v>#NUM!</v>
      </c>
      <c r="J24" t="e">
        <f ca="1">INDEX(I$65:INDIRECT("I"&amp;$C$61),$C24)</f>
        <v>#NUM!</v>
      </c>
      <c r="K24" s="7" t="e">
        <f ca="1">INDEX(J$65:INDIRECT("J"&amp;$C$61),$C24)</f>
        <v>#NUM!</v>
      </c>
      <c r="L24" s="23" t="e">
        <f ca="1">INDEX(K$65:INDIRECT("K"&amp;$C$61),$C24)</f>
        <v>#NUM!</v>
      </c>
      <c r="M24" t="e">
        <f ca="1">INDEX(L$65:INDIRECT("L"&amp;$C$61),$C24)</f>
        <v>#NUM!</v>
      </c>
      <c r="N24" t="e">
        <f ca="1">INDEX(M$65:INDIRECT("M"&amp;$C$61),$C24)</f>
        <v>#NUM!</v>
      </c>
      <c r="O24" t="e">
        <f ca="1">INDEX(N$65:INDIRECT("N"&amp;$C$61),$C24)</f>
        <v>#NUM!</v>
      </c>
      <c r="P24" t="e">
        <f ca="1">INDEX(O$65:INDIRECT("O"&amp;$C$61),$C24)</f>
        <v>#NUM!</v>
      </c>
      <c r="Q24" s="104"/>
      <c r="R24" s="73" t="s">
        <v>71</v>
      </c>
      <c r="S24" s="69" t="s">
        <v>32</v>
      </c>
      <c r="T24" s="73" t="e">
        <f t="array" aca="1" ref="T24" ca="1">MATCH(IF(ISBLANK($AE$11),LARGE(IF($E$65:INDIRECT("E"&amp;$C$61)=$AE$10,INDIRECT(AJ24&amp;65):INDIRECT(AJ24&amp;$C$61)),$AH24),IF(ISBLANK($AE$10),LARGE(IF($D$65:INDIRECT("D"&amp;$C$61)=$AE$11,INDIRECT(AJ24&amp;65):INDIRECT(AJ24&amp;$C$61)),$AH24),LARGE(IF(($E$65:INDIRECT("E"&amp;$C$61)=$AE$10)*($D$65:INDIRECT("D"&amp;$C$61)=$AE$11),INDIRECT(AJ24&amp;65):INDIRECT(AJ24&amp;$C$61)),$AH24))),INDIRECT(AJ24&amp;65):INDIRECT(AJ24&amp;$C$61),0)</f>
        <v>#NUM!</v>
      </c>
      <c r="U24" s="69" t="e">
        <f ca="1">INDEX(D$65:INDIRECT("D"&amp;$C$61),$T24)</f>
        <v>#NUM!</v>
      </c>
      <c r="V24" s="69" t="e">
        <f ca="1">INDEX(INDIRECT(("'MemberID'!$C$6:C"&amp;MemberID!$C$1)),MATCH(U24,INDIRECT(("'MemberID'!$G$6:G"&amp;MemberID!$C$1)),0))</f>
        <v>#NUM!</v>
      </c>
      <c r="W24" s="69" t="e">
        <f ca="1">INDEX(E$65:INDIRECT("E"&amp;$C$61),$T24)</f>
        <v>#NUM!</v>
      </c>
      <c r="X24" t="e">
        <f ca="1">INDEX(F$65:INDIRECT("F"&amp;$C$61),$T24)</f>
        <v>#NUM!</v>
      </c>
      <c r="Y24" t="e">
        <f ca="1">INDEX(G$65:INDIRECT("G"&amp;$C$61),$T24)</f>
        <v>#NUM!</v>
      </c>
      <c r="Z24" t="e">
        <f ca="1">INDEX(H$65:INDIRECT("H"&amp;$C$61),$T24)</f>
        <v>#NUM!</v>
      </c>
      <c r="AA24" t="e">
        <f ca="1">INDEX(I$65:INDIRECT("I"&amp;$C$61),$T24)</f>
        <v>#NUM!</v>
      </c>
      <c r="AB24" t="e">
        <f ca="1">INDEX(J$65:INDIRECT("J"&amp;$C$61),$T24)</f>
        <v>#NUM!</v>
      </c>
      <c r="AC24" s="23" t="e">
        <f t="array" aca="1" ref="AC24" ca="1">IF(ISBLANK($AE$11),LARGE(IF($E$65:INDIRECT("E"&amp;$C$61)=$AE$10,K$65:INDIRECT(AC$13&amp;$C$61)),$AH24),IF(ISBLANK($AE$10),LARGE(IF($D$65:INDIRECT("D"&amp;$C$61)=$AE$11,K$65:INDIRECT(AC$13&amp;$C$61)),$AH24),LARGE(IF(($E$65:INDIRECT("E"&amp;$C$61)=$AE$10)*($D$65:INDIRECT("D"&amp;$C$61)=$AE$11),K$65:INDIRECT(AC$13&amp;$C$61)),$AH24)))</f>
        <v>#NUM!</v>
      </c>
      <c r="AD24" t="e">
        <f ca="1">INDEX(L$65:INDIRECT("L"&amp;$C$61),$T24)</f>
        <v>#NUM!</v>
      </c>
      <c r="AE24" t="e">
        <f ca="1">INDEX(M$65:INDIRECT("M"&amp;$C$61),$T24)</f>
        <v>#NUM!</v>
      </c>
      <c r="AF24" t="e">
        <f ca="1">INDEX(N$65:INDIRECT("N"&amp;$C$61),$T24)</f>
        <v>#NUM!</v>
      </c>
      <c r="AG24" t="e">
        <f ca="1">INDEX(O$65:INDIRECT("O"&amp;$C$61),$T24)</f>
        <v>#NUM!</v>
      </c>
      <c r="AH24" s="69">
        <v>3</v>
      </c>
      <c r="AI24" s="69" t="str">
        <f t="shared" ref="AI24:AJ27" si="1">AI23</f>
        <v>K</v>
      </c>
      <c r="AJ24" s="69" t="str">
        <f t="shared" si="1"/>
        <v>R</v>
      </c>
    </row>
    <row r="25" spans="1:36" x14ac:dyDescent="0.25">
      <c r="A25" s="74" t="s">
        <v>72</v>
      </c>
      <c r="B25" s="69" t="s">
        <v>32</v>
      </c>
      <c r="C25" s="74" t="e">
        <f ca="1">K6</f>
        <v>#N/A</v>
      </c>
      <c r="D25" s="69" t="e">
        <f ca="1">INDEX(D$65:INDIRECT("D"&amp;$C$61),$C25)</f>
        <v>#N/A</v>
      </c>
      <c r="E25" s="69" t="e">
        <f ca="1">INDEX(INDIRECT(("'MemberID'!$C$6:C"&amp;MemberID!$C$1)),MATCH(D25,INDIRECT(("'MemberID'!$G$6:G"&amp;MemberID!$C$1)),0))</f>
        <v>#N/A</v>
      </c>
      <c r="F25" s="69" t="e">
        <f ca="1">INDEX(E$65:INDIRECT("E"&amp;$C$61),$C25)</f>
        <v>#N/A</v>
      </c>
      <c r="G25" t="e">
        <f ca="1">INDEX(F$65:INDIRECT("F"&amp;$C$61),$C25)</f>
        <v>#N/A</v>
      </c>
      <c r="H25" t="e">
        <f ca="1">INDEX(G$65:INDIRECT("G"&amp;$C$61),$C25)</f>
        <v>#N/A</v>
      </c>
      <c r="I25" t="e">
        <f ca="1">INDEX(H$65:INDIRECT("H"&amp;$C$61),$C25)</f>
        <v>#N/A</v>
      </c>
      <c r="J25" t="e">
        <f ca="1">INDEX(I$65:INDIRECT("I"&amp;$C$61),$C25)</f>
        <v>#N/A</v>
      </c>
      <c r="K25" s="7" t="e">
        <f ca="1">INDEX(J$65:INDIRECT("J"&amp;$C$61),$C25)</f>
        <v>#N/A</v>
      </c>
      <c r="L25" s="23" t="e">
        <f ca="1">INDEX(K$65:INDIRECT("K"&amp;$C$61),$C25)</f>
        <v>#N/A</v>
      </c>
      <c r="M25" t="e">
        <f ca="1">INDEX(L$65:INDIRECT("L"&amp;$C$61),$C25)</f>
        <v>#N/A</v>
      </c>
      <c r="N25" t="e">
        <f ca="1">INDEX(M$65:INDIRECT("M"&amp;$C$61),$C25)</f>
        <v>#N/A</v>
      </c>
      <c r="O25" t="e">
        <f ca="1">INDEX(N$65:INDIRECT("N"&amp;$C$61),$C25)</f>
        <v>#N/A</v>
      </c>
      <c r="P25" t="e">
        <f ca="1">INDEX(O$65:INDIRECT("O"&amp;$C$61),$C25)</f>
        <v>#N/A</v>
      </c>
      <c r="Q25" s="104"/>
      <c r="R25" s="74" t="s">
        <v>72</v>
      </c>
      <c r="S25" s="69" t="s">
        <v>32</v>
      </c>
      <c r="T25" s="74" t="e">
        <f t="array" aca="1" ref="T25" ca="1">MATCH(IF(ISBLANK($AE$11),SMALL(IF($E$65:INDIRECT("E"&amp;$C$61)=$AE$10,INDIRECT(AJ25&amp;65):INDIRECT(AJ25&amp;$C$61)),$AH25),IF(ISBLANK($AE$10),SMALL(IF($D$65:INDIRECT("D"&amp;$C$61)=$AE$11,INDIRECT(AJ25&amp;65):INDIRECT(AJ25&amp;$C$61)),$AH25),SMALL(IF(($E$65:INDIRECT("E"&amp;$C$61)=$AE$10)*($D$65:INDIRECT("D"&amp;$C$61)=$AE$11),INDIRECT(AJ25&amp;65):INDIRECT(AJ25&amp;$C$61)),$AH25))),INDIRECT(AJ25&amp;65):INDIRECT(AJ25&amp;$C$61),0)</f>
        <v>#NUM!</v>
      </c>
      <c r="U25" s="69" t="e">
        <f ca="1">INDEX(D$65:INDIRECT("D"&amp;$C$61),$T25)</f>
        <v>#NUM!</v>
      </c>
      <c r="V25" s="69" t="e">
        <f ca="1">INDEX(INDIRECT(("'MemberID'!$C$6:C"&amp;MemberID!$C$1)),MATCH(U25,INDIRECT(("'MemberID'!$G$6:G"&amp;MemberID!$C$1)),0))</f>
        <v>#NUM!</v>
      </c>
      <c r="W25" s="69" t="e">
        <f ca="1">INDEX(E$65:INDIRECT("E"&amp;$C$61),$T25)</f>
        <v>#NUM!</v>
      </c>
      <c r="X25" t="e">
        <f ca="1">INDEX(F$65:INDIRECT("F"&amp;$C$61),$T25)</f>
        <v>#NUM!</v>
      </c>
      <c r="Y25" t="e">
        <f ca="1">INDEX(G$65:INDIRECT("G"&amp;$C$61),$T25)</f>
        <v>#NUM!</v>
      </c>
      <c r="Z25" t="e">
        <f ca="1">INDEX(H$65:INDIRECT("H"&amp;$C$61),$T25)</f>
        <v>#NUM!</v>
      </c>
      <c r="AA25" t="e">
        <f ca="1">INDEX(I$65:INDIRECT("I"&amp;$C$61),$T25)</f>
        <v>#NUM!</v>
      </c>
      <c r="AB25" t="e">
        <f ca="1">INDEX(J$65:INDIRECT("J"&amp;$C$61),$T25)</f>
        <v>#NUM!</v>
      </c>
      <c r="AC25" s="23" t="e">
        <f t="array" aca="1" ref="AC25" ca="1">IF(ISBLANK($AE$11),SMALL(IF($E$65:INDIRECT("E"&amp;$C$61)=$AE$10,K$65:INDIRECT(AC$13&amp;$C$61)),$AH25),IF(ISBLANK($AE$10),SMALL(IF($D$65:INDIRECT("D"&amp;$C$61)=$AE$11,K$65:INDIRECT(AC$13&amp;$C$61)),$AH25),SMALL(IF(($E$65:INDIRECT("E"&amp;$C$61)=$AE$10)*($D$65:INDIRECT("D"&amp;$C$61)=$AE$11),K$65:INDIRECT(AC$13&amp;$C$61)),$AH25)))</f>
        <v>#NUM!</v>
      </c>
      <c r="AD25" t="e">
        <f ca="1">INDEX(L$65:INDIRECT("L"&amp;$C$61),$T25)</f>
        <v>#NUM!</v>
      </c>
      <c r="AE25" t="e">
        <f ca="1">INDEX(M$65:INDIRECT("M"&amp;$C$61),$T25)</f>
        <v>#NUM!</v>
      </c>
      <c r="AF25" t="e">
        <f ca="1">INDEX(N$65:INDIRECT("N"&amp;$C$61),$T25)</f>
        <v>#NUM!</v>
      </c>
      <c r="AG25" t="e">
        <f ca="1">INDEX(O$65:INDIRECT("O"&amp;$C$61),$T25)</f>
        <v>#NUM!</v>
      </c>
      <c r="AH25" s="69">
        <v>1</v>
      </c>
      <c r="AI25" s="69" t="str">
        <f t="shared" si="1"/>
        <v>K</v>
      </c>
      <c r="AJ25" s="69" t="str">
        <f t="shared" si="1"/>
        <v>R</v>
      </c>
    </row>
    <row r="26" spans="1:36" x14ac:dyDescent="0.25">
      <c r="A26" s="74" t="s">
        <v>73</v>
      </c>
      <c r="B26" s="69" t="s">
        <v>32</v>
      </c>
      <c r="C26" s="74" t="e">
        <f ca="1">S6</f>
        <v>#NUM!</v>
      </c>
      <c r="D26" s="69" t="e">
        <f ca="1">INDEX(D$65:INDIRECT("D"&amp;$C$61),$C26)</f>
        <v>#NUM!</v>
      </c>
      <c r="E26" s="69" t="e">
        <f ca="1">INDEX(INDIRECT(("'MemberID'!$C$6:C"&amp;MemberID!$C$1)),MATCH(D26,INDIRECT(("'MemberID'!$G$6:G"&amp;MemberID!$C$1)),0))</f>
        <v>#NUM!</v>
      </c>
      <c r="F26" s="69" t="e">
        <f ca="1">INDEX(E$65:INDIRECT("E"&amp;$C$61),$C26)</f>
        <v>#NUM!</v>
      </c>
      <c r="G26" t="e">
        <f ca="1">INDEX(F$65:INDIRECT("F"&amp;$C$61),$C26)</f>
        <v>#NUM!</v>
      </c>
      <c r="H26" t="e">
        <f ca="1">INDEX(G$65:INDIRECT("G"&amp;$C$61),$C26)</f>
        <v>#NUM!</v>
      </c>
      <c r="I26" t="e">
        <f ca="1">INDEX(H$65:INDIRECT("H"&amp;$C$61),$C26)</f>
        <v>#NUM!</v>
      </c>
      <c r="J26" t="e">
        <f ca="1">INDEX(I$65:INDIRECT("I"&amp;$C$61),$C26)</f>
        <v>#NUM!</v>
      </c>
      <c r="K26" s="7" t="e">
        <f ca="1">INDEX(J$65:INDIRECT("J"&amp;$C$61),$C26)</f>
        <v>#NUM!</v>
      </c>
      <c r="L26" s="23" t="e">
        <f ca="1">INDEX(K$65:INDIRECT("K"&amp;$C$61),$C26)</f>
        <v>#NUM!</v>
      </c>
      <c r="M26" t="e">
        <f ca="1">INDEX(L$65:INDIRECT("L"&amp;$C$61),$C26)</f>
        <v>#NUM!</v>
      </c>
      <c r="N26" t="e">
        <f ca="1">INDEX(M$65:INDIRECT("M"&amp;$C$61),$C26)</f>
        <v>#NUM!</v>
      </c>
      <c r="O26" t="e">
        <f ca="1">INDEX(N$65:INDIRECT("N"&amp;$C$61),$C26)</f>
        <v>#NUM!</v>
      </c>
      <c r="P26" t="e">
        <f ca="1">INDEX(O$65:INDIRECT("O"&amp;$C$61),$C26)</f>
        <v>#NUM!</v>
      </c>
      <c r="Q26" s="104"/>
      <c r="R26" s="74" t="s">
        <v>73</v>
      </c>
      <c r="S26" s="69" t="s">
        <v>32</v>
      </c>
      <c r="T26" s="74" t="e">
        <f t="array" aca="1" ref="T26" ca="1">MATCH(IF(ISBLANK($AE$11),SMALL(IF($E$65:INDIRECT("E"&amp;$C$61)=$AE$10,INDIRECT(AJ26&amp;65):INDIRECT(AJ26&amp;$C$61)),$AH26),IF(ISBLANK($AE$10),SMALL(IF($D$65:INDIRECT("D"&amp;$C$61)=$AE$11,INDIRECT(AJ26&amp;65):INDIRECT(AJ26&amp;$C$61)),$AH26),SMALL(IF(($E$65:INDIRECT("E"&amp;$C$61)=$AE$10)*($D$65:INDIRECT("D"&amp;$C$61)=$AE$11),INDIRECT(AJ26&amp;65):INDIRECT(AJ26&amp;$C$61)),$AH26))),INDIRECT(AJ26&amp;65):INDIRECT(AJ26&amp;$C$61),0)</f>
        <v>#NUM!</v>
      </c>
      <c r="U26" s="69" t="e">
        <f ca="1">INDEX(D$65:INDIRECT("D"&amp;$C$61),$T26)</f>
        <v>#NUM!</v>
      </c>
      <c r="V26" s="69" t="e">
        <f ca="1">INDEX(INDIRECT(("'MemberID'!$C$6:C"&amp;MemberID!$C$1)),MATCH(U26,INDIRECT(("'MemberID'!$G$6:G"&amp;MemberID!$C$1)),0))</f>
        <v>#NUM!</v>
      </c>
      <c r="W26" s="69" t="e">
        <f ca="1">INDEX(E$65:INDIRECT("E"&amp;$C$61),$T26)</f>
        <v>#NUM!</v>
      </c>
      <c r="X26" t="e">
        <f ca="1">INDEX(F$65:INDIRECT("F"&amp;$C$61),$T26)</f>
        <v>#NUM!</v>
      </c>
      <c r="Y26" t="e">
        <f ca="1">INDEX(G$65:INDIRECT("G"&amp;$C$61),$T26)</f>
        <v>#NUM!</v>
      </c>
      <c r="Z26" t="e">
        <f ca="1">INDEX(H$65:INDIRECT("H"&amp;$C$61),$T26)</f>
        <v>#NUM!</v>
      </c>
      <c r="AA26" t="e">
        <f ca="1">INDEX(I$65:INDIRECT("I"&amp;$C$61),$T26)</f>
        <v>#NUM!</v>
      </c>
      <c r="AB26" t="e">
        <f ca="1">INDEX(J$65:INDIRECT("J"&amp;$C$61),$T26)</f>
        <v>#NUM!</v>
      </c>
      <c r="AC26" s="23" t="e">
        <f t="array" aca="1" ref="AC26" ca="1">IF(ISBLANK($AE$11),SMALL(IF($E$65:INDIRECT("E"&amp;$C$61)=$AE$10,K$65:INDIRECT(AC$13&amp;$C$61)),$AH26),IF(ISBLANK($AE$10),SMALL(IF($D$65:INDIRECT("D"&amp;$C$61)=$AE$11,K$65:INDIRECT(AC$13&amp;$C$61)),$AH26),SMALL(IF(($E$65:INDIRECT("E"&amp;$C$61)=$AE$10)*($D$65:INDIRECT("D"&amp;$C$61)=$AE$11),K$65:INDIRECT(AC$13&amp;$C$61)),$AH26)))</f>
        <v>#NUM!</v>
      </c>
      <c r="AD26" t="e">
        <f ca="1">INDEX(L$65:INDIRECT("L"&amp;$C$61),$T26)</f>
        <v>#NUM!</v>
      </c>
      <c r="AE26" t="e">
        <f ca="1">INDEX(M$65:INDIRECT("M"&amp;$C$61),$T26)</f>
        <v>#NUM!</v>
      </c>
      <c r="AF26" t="e">
        <f ca="1">INDEX(N$65:INDIRECT("N"&amp;$C$61),$T26)</f>
        <v>#NUM!</v>
      </c>
      <c r="AG26" t="e">
        <f ca="1">INDEX(O$65:INDIRECT("O"&amp;$C$61),$T26)</f>
        <v>#NUM!</v>
      </c>
      <c r="AH26" s="69">
        <v>2</v>
      </c>
      <c r="AI26" s="69" t="str">
        <f t="shared" si="1"/>
        <v>K</v>
      </c>
      <c r="AJ26" s="69" t="str">
        <f t="shared" si="1"/>
        <v>R</v>
      </c>
    </row>
    <row r="27" spans="1:36" x14ac:dyDescent="0.25">
      <c r="A27" s="74" t="s">
        <v>74</v>
      </c>
      <c r="B27" s="69" t="s">
        <v>32</v>
      </c>
      <c r="C27" s="74" t="e">
        <f ca="1">AA6</f>
        <v>#NUM!</v>
      </c>
      <c r="D27" s="69" t="e">
        <f ca="1">INDEX(D$65:INDIRECT("D"&amp;$C$61),$C27)</f>
        <v>#NUM!</v>
      </c>
      <c r="E27" s="69" t="e">
        <f ca="1">INDEX(INDIRECT(("'MemberID'!$C$6:C"&amp;MemberID!$C$1)),MATCH(D27,INDIRECT(("'MemberID'!$G$6:G"&amp;MemberID!$C$1)),0))</f>
        <v>#NUM!</v>
      </c>
      <c r="F27" s="69" t="e">
        <f ca="1">INDEX(E$65:INDIRECT("E"&amp;$C$61),$C27)</f>
        <v>#NUM!</v>
      </c>
      <c r="G27" t="e">
        <f ca="1">INDEX(F$65:INDIRECT("F"&amp;$C$61),$C27)</f>
        <v>#NUM!</v>
      </c>
      <c r="H27" t="e">
        <f ca="1">INDEX(G$65:INDIRECT("G"&amp;$C$61),$C27)</f>
        <v>#NUM!</v>
      </c>
      <c r="I27" t="e">
        <f ca="1">INDEX(H$65:INDIRECT("H"&amp;$C$61),$C27)</f>
        <v>#NUM!</v>
      </c>
      <c r="J27" t="e">
        <f ca="1">INDEX(I$65:INDIRECT("I"&amp;$C$61),$C27)</f>
        <v>#NUM!</v>
      </c>
      <c r="K27" s="7" t="e">
        <f ca="1">INDEX(J$65:INDIRECT("J"&amp;$C$61),$C27)</f>
        <v>#NUM!</v>
      </c>
      <c r="L27" s="23" t="e">
        <f ca="1">INDEX(K$65:INDIRECT("K"&amp;$C$61),$C27)</f>
        <v>#NUM!</v>
      </c>
      <c r="M27" t="e">
        <f ca="1">INDEX(L$65:INDIRECT("L"&amp;$C$61),$C27)</f>
        <v>#NUM!</v>
      </c>
      <c r="N27" t="e">
        <f ca="1">INDEX(M$65:INDIRECT("M"&amp;$C$61),$C27)</f>
        <v>#NUM!</v>
      </c>
      <c r="O27" t="e">
        <f ca="1">INDEX(N$65:INDIRECT("N"&amp;$C$61),$C27)</f>
        <v>#NUM!</v>
      </c>
      <c r="P27" t="e">
        <f ca="1">INDEX(O$65:INDIRECT("O"&amp;$C$61),$C27)</f>
        <v>#NUM!</v>
      </c>
      <c r="Q27" s="104"/>
      <c r="R27" s="74" t="s">
        <v>74</v>
      </c>
      <c r="S27" s="69" t="s">
        <v>32</v>
      </c>
      <c r="T27" s="74" t="e">
        <f t="array" aca="1" ref="T27" ca="1">MATCH(IF(ISBLANK($AE$11),SMALL(IF($E$65:INDIRECT("E"&amp;$C$61)=$AE$10,INDIRECT(AJ27&amp;65):INDIRECT(AJ27&amp;$C$61)),$AH27),IF(ISBLANK($AE$10),SMALL(IF($D$65:INDIRECT("D"&amp;$C$61)=$AE$11,INDIRECT(AJ27&amp;65):INDIRECT(AJ27&amp;$C$61)),$AH27),SMALL(IF(($E$65:INDIRECT("E"&amp;$C$61)=$AE$10)*($D$65:INDIRECT("D"&amp;$C$61)=$AE$11),INDIRECT(AJ27&amp;65):INDIRECT(AJ27&amp;$C$61)),$AH27))),INDIRECT(AJ27&amp;65):INDIRECT(AJ27&amp;$C$61),0)</f>
        <v>#NUM!</v>
      </c>
      <c r="U27" s="69" t="e">
        <f ca="1">INDEX(D$65:INDIRECT("D"&amp;$C$61),$T27)</f>
        <v>#NUM!</v>
      </c>
      <c r="V27" s="69" t="e">
        <f ca="1">INDEX(INDIRECT(("'MemberID'!$C$6:C"&amp;MemberID!$C$1)),MATCH(U27,INDIRECT(("'MemberID'!$G$6:G"&amp;MemberID!$C$1)),0))</f>
        <v>#NUM!</v>
      </c>
      <c r="W27" s="69" t="e">
        <f ca="1">INDEX(E$65:INDIRECT("E"&amp;$C$61),$T27)</f>
        <v>#NUM!</v>
      </c>
      <c r="X27" t="e">
        <f ca="1">INDEX(F$65:INDIRECT("F"&amp;$C$61),$T27)</f>
        <v>#NUM!</v>
      </c>
      <c r="Y27" t="e">
        <f ca="1">INDEX(G$65:INDIRECT("G"&amp;$C$61),$T27)</f>
        <v>#NUM!</v>
      </c>
      <c r="Z27" t="e">
        <f ca="1">INDEX(H$65:INDIRECT("H"&amp;$C$61),$T27)</f>
        <v>#NUM!</v>
      </c>
      <c r="AA27" t="e">
        <f ca="1">INDEX(I$65:INDIRECT("I"&amp;$C$61),$T27)</f>
        <v>#NUM!</v>
      </c>
      <c r="AB27" t="e">
        <f ca="1">INDEX(J$65:INDIRECT("J"&amp;$C$61),$T27)</f>
        <v>#NUM!</v>
      </c>
      <c r="AC27" s="23" t="e">
        <f t="array" aca="1" ref="AC27" ca="1">IF(ISBLANK($AE$11),SMALL(IF($E$65:INDIRECT("E"&amp;$C$61)=$AE$10,K$65:INDIRECT(AC$13&amp;$C$61)),$AH27),IF(ISBLANK($AE$10),SMALL(IF($D$65:INDIRECT("D"&amp;$C$61)=$AE$11,K$65:INDIRECT(AC$13&amp;$C$61)),$AH27),SMALL(IF(($E$65:INDIRECT("E"&amp;$C$61)=$AE$10)*($D$65:INDIRECT("D"&amp;$C$61)=$AE$11),K$65:INDIRECT(AC$13&amp;$C$61)),$AH27)))</f>
        <v>#NUM!</v>
      </c>
      <c r="AD27" t="e">
        <f ca="1">INDEX(L$65:INDIRECT("L"&amp;$C$61),$T27)</f>
        <v>#NUM!</v>
      </c>
      <c r="AE27" t="e">
        <f ca="1">INDEX(M$65:INDIRECT("M"&amp;$C$61),$T27)</f>
        <v>#NUM!</v>
      </c>
      <c r="AF27" t="e">
        <f ca="1">INDEX(N$65:INDIRECT("N"&amp;$C$61),$T27)</f>
        <v>#NUM!</v>
      </c>
      <c r="AG27" t="e">
        <f ca="1">INDEX(O$65:INDIRECT("O"&amp;$C$61),$T27)</f>
        <v>#NUM!</v>
      </c>
      <c r="AH27" s="69">
        <v>3</v>
      </c>
      <c r="AI27" s="69" t="str">
        <f t="shared" si="1"/>
        <v>K</v>
      </c>
      <c r="AJ27" s="69" t="str">
        <f t="shared" si="1"/>
        <v>R</v>
      </c>
    </row>
    <row r="28" spans="1:36" x14ac:dyDescent="0.25">
      <c r="A28" s="5"/>
      <c r="B28" s="69"/>
      <c r="C28" s="69"/>
      <c r="D28" s="69"/>
      <c r="E28" s="69"/>
      <c r="F28" s="69"/>
      <c r="J28" s="7"/>
      <c r="K28" s="7"/>
      <c r="L28" s="7"/>
      <c r="M28" s="7"/>
      <c r="N28" s="7"/>
      <c r="O28" s="7"/>
      <c r="P28" s="7"/>
      <c r="Q28" s="104"/>
      <c r="R28" s="5"/>
      <c r="S28" s="69"/>
      <c r="T28" s="69"/>
      <c r="V28" s="69"/>
      <c r="W28" s="69"/>
      <c r="AH28" s="69"/>
      <c r="AI28" s="69"/>
      <c r="AJ28" s="69"/>
    </row>
    <row r="29" spans="1:36" x14ac:dyDescent="0.25">
      <c r="A29" s="73" t="s">
        <v>69</v>
      </c>
      <c r="B29" s="69" t="s">
        <v>33</v>
      </c>
      <c r="C29" s="73" t="e">
        <f ca="1">L3</f>
        <v>#N/A</v>
      </c>
      <c r="D29" s="69" t="e">
        <f ca="1">INDEX(D$65:INDIRECT("D"&amp;$C$61),$C29)</f>
        <v>#N/A</v>
      </c>
      <c r="E29" s="69" t="e">
        <f ca="1">INDEX(INDIRECT(("'MemberID'!$C$6:C"&amp;MemberID!$C$1)),MATCH(D29,INDIRECT(("'MemberID'!$G$6:G"&amp;MemberID!$C$1)),0))</f>
        <v>#N/A</v>
      </c>
      <c r="F29" s="69" t="e">
        <f ca="1">INDEX(E$65:INDIRECT("E"&amp;$C$61),$C29)</f>
        <v>#N/A</v>
      </c>
      <c r="G29" t="e">
        <f ca="1">INDEX(F$65:INDIRECT("F"&amp;$C$61),$C29)</f>
        <v>#N/A</v>
      </c>
      <c r="H29" t="e">
        <f ca="1">INDEX(G$65:INDIRECT("G"&amp;$C$61),$C29)</f>
        <v>#N/A</v>
      </c>
      <c r="I29" t="e">
        <f ca="1">INDEX(H$65:INDIRECT("H"&amp;$C$61),$C29)</f>
        <v>#N/A</v>
      </c>
      <c r="J29" t="e">
        <f ca="1">INDEX(I$65:INDIRECT("I"&amp;$C$61),$C29)</f>
        <v>#N/A</v>
      </c>
      <c r="K29" s="7" t="e">
        <f ca="1">INDEX(J$65:INDIRECT("J"&amp;$C$61),$C29)</f>
        <v>#N/A</v>
      </c>
      <c r="L29" t="e">
        <f ca="1">INDEX(K$65:INDIRECT("K"&amp;$C$61),$C29)</f>
        <v>#N/A</v>
      </c>
      <c r="M29" s="23" t="e">
        <f ca="1">INDEX(L$65:INDIRECT("L"&amp;$C$61),$C29)</f>
        <v>#N/A</v>
      </c>
      <c r="N29" t="e">
        <f ca="1">INDEX(M$65:INDIRECT("M"&amp;$C$61),$C29)</f>
        <v>#N/A</v>
      </c>
      <c r="O29" t="e">
        <f ca="1">INDEX(N$65:INDIRECT("N"&amp;$C$61),$C29)</f>
        <v>#N/A</v>
      </c>
      <c r="P29" t="e">
        <f ca="1">INDEX(O$65:INDIRECT("O"&amp;$C$61),$C29)</f>
        <v>#N/A</v>
      </c>
      <c r="Q29" s="104"/>
      <c r="R29" s="73" t="s">
        <v>69</v>
      </c>
      <c r="S29" s="69" t="s">
        <v>33</v>
      </c>
      <c r="T29" s="73" t="e">
        <f t="array" aca="1" ref="T29" ca="1">MATCH(IF(ISBLANK($AE$11),LARGE(IF($E$65:INDIRECT("E"&amp;$C$61)=$AE$10,INDIRECT(AJ29&amp;65):INDIRECT(AJ29&amp;$C$61)),$AH29),IF(ISBLANK($AE$10),LARGE(IF($D$65:INDIRECT("D"&amp;$C$61)=$AE$11,INDIRECT(AJ29&amp;65):INDIRECT(AJ29&amp;$C$61)),$AH29),LARGE(IF(($E$65:INDIRECT("E"&amp;$C$61)=$AE$10)*($D$65:INDIRECT("D"&amp;$C$61)=$AE$11),INDIRECT(AJ29&amp;65):INDIRECT(AJ29&amp;$C$61)),$AH29))),INDIRECT(AJ29&amp;65):INDIRECT(AJ29&amp;$C$61),0)</f>
        <v>#NUM!</v>
      </c>
      <c r="U29" s="69" t="e">
        <f ca="1">INDEX(D$65:INDIRECT("D"&amp;$C$61),$T29)</f>
        <v>#NUM!</v>
      </c>
      <c r="V29" s="69" t="e">
        <f ca="1">INDEX(INDIRECT(("'MemberID'!$C$6:C"&amp;MemberID!$C$1)),MATCH(U29,INDIRECT(("'MemberID'!$G$6:G"&amp;MemberID!$C$1)),0))</f>
        <v>#NUM!</v>
      </c>
      <c r="W29" s="69" t="e">
        <f ca="1">INDEX(E$65:INDIRECT("E"&amp;$C$61),$T29)</f>
        <v>#NUM!</v>
      </c>
      <c r="X29" t="e">
        <f ca="1">INDEX(F$65:INDIRECT("F"&amp;$C$61),$T29)</f>
        <v>#NUM!</v>
      </c>
      <c r="Y29" t="e">
        <f ca="1">INDEX(G$65:INDIRECT("G"&amp;$C$61),$T29)</f>
        <v>#NUM!</v>
      </c>
      <c r="Z29" t="e">
        <f ca="1">INDEX(H$65:INDIRECT("H"&amp;$C$61),$T29)</f>
        <v>#NUM!</v>
      </c>
      <c r="AA29" t="e">
        <f ca="1">INDEX(I$65:INDIRECT("I"&amp;$C$61),$T29)</f>
        <v>#NUM!</v>
      </c>
      <c r="AB29" t="e">
        <f ca="1">INDEX(J$65:INDIRECT("J"&amp;$C$61),$T29)</f>
        <v>#NUM!</v>
      </c>
      <c r="AC29" t="e">
        <f ca="1">INDEX(K$65:INDIRECT("K"&amp;$C$61),$T29)</f>
        <v>#NUM!</v>
      </c>
      <c r="AD29" s="23" t="e">
        <f t="array" aca="1" ref="AD29" ca="1">IF(ISBLANK($AE$11),LARGE(IF($E$65:INDIRECT("E"&amp;$C$61)=$AE$10,L$65:INDIRECT(AD$13&amp;$C$61)),$AH29),IF(ISBLANK($AE$10),LARGE(IF($D$65:INDIRECT("D"&amp;$C$61)=$AE$11,L$65:INDIRECT(AD$13&amp;$C$61)),$AH29),LARGE(IF(($E$65:INDIRECT("E"&amp;$C$61)=$AE$10)*($D$65:INDIRECT("D"&amp;$C$61)=$AE$11),L$65:INDIRECT(AD$13&amp;$C$61)),$AH29)))</f>
        <v>#NUM!</v>
      </c>
      <c r="AE29" t="e">
        <f ca="1">INDEX(M$65:INDIRECT("M"&amp;$C$61),$T29)</f>
        <v>#NUM!</v>
      </c>
      <c r="AF29" t="e">
        <f ca="1">INDEX(N$65:INDIRECT("N"&amp;$C$61),$T29)</f>
        <v>#NUM!</v>
      </c>
      <c r="AG29" t="e">
        <f ca="1">INDEX(O$65:INDIRECT("O"&amp;$C$61),$T29)</f>
        <v>#NUM!</v>
      </c>
      <c r="AH29" s="69">
        <v>1</v>
      </c>
      <c r="AI29" s="69" t="s">
        <v>152</v>
      </c>
      <c r="AJ29" s="69" t="s">
        <v>158</v>
      </c>
    </row>
    <row r="30" spans="1:36" x14ac:dyDescent="0.25">
      <c r="A30" s="73" t="s">
        <v>70</v>
      </c>
      <c r="B30" s="69" t="s">
        <v>33</v>
      </c>
      <c r="C30" s="73" t="e">
        <f ca="1">T3</f>
        <v>#NUM!</v>
      </c>
      <c r="D30" s="69" t="e">
        <f ca="1">INDEX(D$65:INDIRECT("D"&amp;$C$61),$C30)</f>
        <v>#NUM!</v>
      </c>
      <c r="E30" s="69" t="e">
        <f ca="1">INDEX(INDIRECT(("'MemberID'!$C$6:C"&amp;MemberID!$C$1)),MATCH(D30,INDIRECT(("'MemberID'!$G$6:G"&amp;MemberID!$C$1)),0))</f>
        <v>#NUM!</v>
      </c>
      <c r="F30" s="69" t="e">
        <f ca="1">INDEX(E$65:INDIRECT("E"&amp;$C$61),$C30)</f>
        <v>#NUM!</v>
      </c>
      <c r="G30" t="e">
        <f ca="1">INDEX(F$65:INDIRECT("F"&amp;$C$61),$C30)</f>
        <v>#NUM!</v>
      </c>
      <c r="H30" t="e">
        <f ca="1">INDEX(G$65:INDIRECT("G"&amp;$C$61),$C30)</f>
        <v>#NUM!</v>
      </c>
      <c r="I30" t="e">
        <f ca="1">INDEX(H$65:INDIRECT("H"&amp;$C$61),$C30)</f>
        <v>#NUM!</v>
      </c>
      <c r="J30" t="e">
        <f ca="1">INDEX(I$65:INDIRECT("I"&amp;$C$61),$C30)</f>
        <v>#NUM!</v>
      </c>
      <c r="K30" s="7" t="e">
        <f ca="1">INDEX(J$65:INDIRECT("J"&amp;$C$61),$C30)</f>
        <v>#NUM!</v>
      </c>
      <c r="L30" t="e">
        <f ca="1">INDEX(K$65:INDIRECT("K"&amp;$C$61),$C30)</f>
        <v>#NUM!</v>
      </c>
      <c r="M30" s="23" t="e">
        <f ca="1">INDEX(L$65:INDIRECT("L"&amp;$C$61),$C30)</f>
        <v>#NUM!</v>
      </c>
      <c r="N30" t="e">
        <f ca="1">INDEX(M$65:INDIRECT("M"&amp;$C$61),$C30)</f>
        <v>#NUM!</v>
      </c>
      <c r="O30" t="e">
        <f ca="1">INDEX(N$65:INDIRECT("N"&amp;$C$61),$C30)</f>
        <v>#NUM!</v>
      </c>
      <c r="P30" t="e">
        <f ca="1">INDEX(O$65:INDIRECT("O"&amp;$C$61),$C30)</f>
        <v>#NUM!</v>
      </c>
      <c r="Q30" s="104"/>
      <c r="R30" s="73" t="s">
        <v>70</v>
      </c>
      <c r="S30" s="69" t="s">
        <v>33</v>
      </c>
      <c r="T30" s="73" t="e">
        <f t="array" aca="1" ref="T30" ca="1">MATCH(IF(ISBLANK($AE$11),LARGE(IF($E$65:INDIRECT("E"&amp;$C$61)=$AE$10,INDIRECT(AJ30&amp;65):INDIRECT(AJ30&amp;$C$61)),$AH30),IF(ISBLANK($AE$10),LARGE(IF($D$65:INDIRECT("D"&amp;$C$61)=$AE$11,INDIRECT(AJ30&amp;65):INDIRECT(AJ30&amp;$C$61)),$AH30),LARGE(IF(($E$65:INDIRECT("E"&amp;$C$61)=$AE$10)*($D$65:INDIRECT("D"&amp;$C$61)=$AE$11),INDIRECT(AJ30&amp;65):INDIRECT(AJ30&amp;$C$61)),$AH30))),INDIRECT(AJ30&amp;65):INDIRECT(AJ30&amp;$C$61),0)</f>
        <v>#NUM!</v>
      </c>
      <c r="U30" s="69" t="e">
        <f ca="1">INDEX(D$65:INDIRECT("D"&amp;$C$61),$T30)</f>
        <v>#NUM!</v>
      </c>
      <c r="V30" s="69" t="e">
        <f ca="1">INDEX(INDIRECT(("'MemberID'!$C$6:C"&amp;MemberID!$C$1)),MATCH(U30,INDIRECT(("'MemberID'!$G$6:G"&amp;MemberID!$C$1)),0))</f>
        <v>#NUM!</v>
      </c>
      <c r="W30" s="69" t="e">
        <f ca="1">INDEX(E$65:INDIRECT("E"&amp;$C$61),$T30)</f>
        <v>#NUM!</v>
      </c>
      <c r="X30" t="e">
        <f ca="1">INDEX(F$65:INDIRECT("F"&amp;$C$61),$T30)</f>
        <v>#NUM!</v>
      </c>
      <c r="Y30" t="e">
        <f ca="1">INDEX(G$65:INDIRECT("G"&amp;$C$61),$T30)</f>
        <v>#NUM!</v>
      </c>
      <c r="Z30" t="e">
        <f ca="1">INDEX(H$65:INDIRECT("H"&amp;$C$61),$T30)</f>
        <v>#NUM!</v>
      </c>
      <c r="AA30" t="e">
        <f ca="1">INDEX(I$65:INDIRECT("I"&amp;$C$61),$T30)</f>
        <v>#NUM!</v>
      </c>
      <c r="AB30" t="e">
        <f ca="1">INDEX(J$65:INDIRECT("J"&amp;$C$61),$T30)</f>
        <v>#NUM!</v>
      </c>
      <c r="AC30" t="e">
        <f ca="1">INDEX(K$65:INDIRECT("K"&amp;$C$61),$T30)</f>
        <v>#NUM!</v>
      </c>
      <c r="AD30" s="23" t="e">
        <f t="array" aca="1" ref="AD30" ca="1">IF(ISBLANK($AE$11),LARGE(IF($E$65:INDIRECT("E"&amp;$C$61)=$AE$10,L$65:INDIRECT(AD$13&amp;$C$61)),$AH30),IF(ISBLANK($AE$10),LARGE(IF($D$65:INDIRECT("D"&amp;$C$61)=$AE$11,L$65:INDIRECT(AD$13&amp;$C$61)),$AH30),LARGE(IF(($E$65:INDIRECT("E"&amp;$C$61)=$AE$10)*($D$65:INDIRECT("D"&amp;$C$61)=$AE$11),L$65:INDIRECT(AD$13&amp;$C$61)),$AH30)))</f>
        <v>#NUM!</v>
      </c>
      <c r="AE30" t="e">
        <f ca="1">INDEX(M$65:INDIRECT("M"&amp;$C$61),$T30)</f>
        <v>#NUM!</v>
      </c>
      <c r="AF30" t="e">
        <f ca="1">INDEX(N$65:INDIRECT("N"&amp;$C$61),$T30)</f>
        <v>#NUM!</v>
      </c>
      <c r="AG30" t="e">
        <f ca="1">INDEX(O$65:INDIRECT("O"&amp;$C$61),$T30)</f>
        <v>#NUM!</v>
      </c>
      <c r="AH30" s="69">
        <v>2</v>
      </c>
      <c r="AI30" s="69" t="str">
        <f>AI29</f>
        <v>L</v>
      </c>
      <c r="AJ30" s="69" t="str">
        <f>AJ29</f>
        <v>S</v>
      </c>
    </row>
    <row r="31" spans="1:36" x14ac:dyDescent="0.25">
      <c r="A31" s="73" t="s">
        <v>71</v>
      </c>
      <c r="B31" s="69" t="s">
        <v>33</v>
      </c>
      <c r="C31" s="73" t="e">
        <f ca="1">AB3</f>
        <v>#NUM!</v>
      </c>
      <c r="D31" s="69" t="e">
        <f ca="1">INDEX(D$65:INDIRECT("D"&amp;$C$61),$C31)</f>
        <v>#NUM!</v>
      </c>
      <c r="E31" s="69" t="e">
        <f ca="1">INDEX(INDIRECT(("'MemberID'!$C$6:C"&amp;MemberID!$C$1)),MATCH(D31,INDIRECT(("'MemberID'!$G$6:G"&amp;MemberID!$C$1)),0))</f>
        <v>#NUM!</v>
      </c>
      <c r="F31" s="69" t="e">
        <f ca="1">INDEX(E$65:INDIRECT("E"&amp;$C$61),$C31)</f>
        <v>#NUM!</v>
      </c>
      <c r="G31" t="e">
        <f ca="1">INDEX(F$65:INDIRECT("F"&amp;$C$61),$C31)</f>
        <v>#NUM!</v>
      </c>
      <c r="H31" t="e">
        <f ca="1">INDEX(G$65:INDIRECT("G"&amp;$C$61),$C31)</f>
        <v>#NUM!</v>
      </c>
      <c r="I31" t="e">
        <f ca="1">INDEX(H$65:INDIRECT("H"&amp;$C$61),$C31)</f>
        <v>#NUM!</v>
      </c>
      <c r="J31" t="e">
        <f ca="1">INDEX(I$65:INDIRECT("I"&amp;$C$61),$C31)</f>
        <v>#NUM!</v>
      </c>
      <c r="K31" s="7" t="e">
        <f ca="1">INDEX(J$65:INDIRECT("J"&amp;$C$61),$C31)</f>
        <v>#NUM!</v>
      </c>
      <c r="L31" t="e">
        <f ca="1">INDEX(K$65:INDIRECT("K"&amp;$C$61),$C31)</f>
        <v>#NUM!</v>
      </c>
      <c r="M31" s="23" t="e">
        <f ca="1">INDEX(L$65:INDIRECT("L"&amp;$C$61),$C31)</f>
        <v>#NUM!</v>
      </c>
      <c r="N31" t="e">
        <f ca="1">INDEX(M$65:INDIRECT("M"&amp;$C$61),$C31)</f>
        <v>#NUM!</v>
      </c>
      <c r="O31" t="e">
        <f ca="1">INDEX(N$65:INDIRECT("N"&amp;$C$61),$C31)</f>
        <v>#NUM!</v>
      </c>
      <c r="P31" t="e">
        <f ca="1">INDEX(O$65:INDIRECT("O"&amp;$C$61),$C31)</f>
        <v>#NUM!</v>
      </c>
      <c r="Q31" s="104"/>
      <c r="R31" s="73" t="s">
        <v>71</v>
      </c>
      <c r="S31" s="69" t="s">
        <v>33</v>
      </c>
      <c r="T31" s="73" t="e">
        <f t="array" aca="1" ref="T31" ca="1">MATCH(IF(ISBLANK($AE$11),LARGE(IF($E$65:INDIRECT("E"&amp;$C$61)=$AE$10,INDIRECT(AJ31&amp;65):INDIRECT(AJ31&amp;$C$61)),$AH31),IF(ISBLANK($AE$10),LARGE(IF($D$65:INDIRECT("D"&amp;$C$61)=$AE$11,INDIRECT(AJ31&amp;65):INDIRECT(AJ31&amp;$C$61)),$AH31),LARGE(IF(($E$65:INDIRECT("E"&amp;$C$61)=$AE$10)*($D$65:INDIRECT("D"&amp;$C$61)=$AE$11),INDIRECT(AJ31&amp;65):INDIRECT(AJ31&amp;$C$61)),$AH31))),INDIRECT(AJ31&amp;65):INDIRECT(AJ31&amp;$C$61),0)</f>
        <v>#NUM!</v>
      </c>
      <c r="U31" s="69" t="e">
        <f ca="1">INDEX(D$65:INDIRECT("D"&amp;$C$61),$T31)</f>
        <v>#NUM!</v>
      </c>
      <c r="V31" s="69" t="e">
        <f ca="1">INDEX(INDIRECT(("'MemberID'!$C$6:C"&amp;MemberID!$C$1)),MATCH(U31,INDIRECT(("'MemberID'!$G$6:G"&amp;MemberID!$C$1)),0))</f>
        <v>#NUM!</v>
      </c>
      <c r="W31" s="69" t="e">
        <f ca="1">INDEX(E$65:INDIRECT("E"&amp;$C$61),$T31)</f>
        <v>#NUM!</v>
      </c>
      <c r="X31" t="e">
        <f ca="1">INDEX(F$65:INDIRECT("F"&amp;$C$61),$T31)</f>
        <v>#NUM!</v>
      </c>
      <c r="Y31" t="e">
        <f ca="1">INDEX(G$65:INDIRECT("G"&amp;$C$61),$T31)</f>
        <v>#NUM!</v>
      </c>
      <c r="Z31" t="e">
        <f ca="1">INDEX(H$65:INDIRECT("H"&amp;$C$61),$T31)</f>
        <v>#NUM!</v>
      </c>
      <c r="AA31" t="e">
        <f ca="1">INDEX(I$65:INDIRECT("I"&amp;$C$61),$T31)</f>
        <v>#NUM!</v>
      </c>
      <c r="AB31" t="e">
        <f ca="1">INDEX(J$65:INDIRECT("J"&amp;$C$61),$T31)</f>
        <v>#NUM!</v>
      </c>
      <c r="AC31" t="e">
        <f ca="1">INDEX(K$65:INDIRECT("K"&amp;$C$61),$T31)</f>
        <v>#NUM!</v>
      </c>
      <c r="AD31" s="23" t="e">
        <f t="array" aca="1" ref="AD31" ca="1">IF(ISBLANK($AE$11),LARGE(IF($E$65:INDIRECT("E"&amp;$C$61)=$AE$10,L$65:INDIRECT(AD$13&amp;$C$61)),$AH31),IF(ISBLANK($AE$10),LARGE(IF($D$65:INDIRECT("D"&amp;$C$61)=$AE$11,L$65:INDIRECT(AD$13&amp;$C$61)),$AH31),LARGE(IF(($E$65:INDIRECT("E"&amp;$C$61)=$AE$10)*($D$65:INDIRECT("D"&amp;$C$61)=$AE$11),L$65:INDIRECT(AD$13&amp;$C$61)),$AH31)))</f>
        <v>#NUM!</v>
      </c>
      <c r="AE31" t="e">
        <f ca="1">INDEX(M$65:INDIRECT("M"&amp;$C$61),$T31)</f>
        <v>#NUM!</v>
      </c>
      <c r="AF31" t="e">
        <f ca="1">INDEX(N$65:INDIRECT("N"&amp;$C$61),$T31)</f>
        <v>#NUM!</v>
      </c>
      <c r="AG31" t="e">
        <f ca="1">INDEX(O$65:INDIRECT("O"&amp;$C$61),$T31)</f>
        <v>#NUM!</v>
      </c>
      <c r="AH31" s="69">
        <v>3</v>
      </c>
      <c r="AI31" s="69" t="str">
        <f t="shared" ref="AI31:AJ34" si="2">AI30</f>
        <v>L</v>
      </c>
      <c r="AJ31" s="69" t="str">
        <f t="shared" si="2"/>
        <v>S</v>
      </c>
    </row>
    <row r="32" spans="1:36" x14ac:dyDescent="0.25">
      <c r="A32" s="74" t="s">
        <v>72</v>
      </c>
      <c r="B32" s="69" t="s">
        <v>33</v>
      </c>
      <c r="C32" s="74" t="e">
        <f ca="1">L6</f>
        <v>#N/A</v>
      </c>
      <c r="D32" s="69" t="e">
        <f ca="1">INDEX(D$65:INDIRECT("D"&amp;$C$61),$C32)</f>
        <v>#N/A</v>
      </c>
      <c r="E32" s="69" t="e">
        <f ca="1">INDEX(INDIRECT(("'MemberID'!$C$6:C"&amp;MemberID!$C$1)),MATCH(D32,INDIRECT(("'MemberID'!$G$6:G"&amp;MemberID!$C$1)),0))</f>
        <v>#N/A</v>
      </c>
      <c r="F32" s="69" t="e">
        <f ca="1">INDEX(E$65:INDIRECT("E"&amp;$C$61),$C32)</f>
        <v>#N/A</v>
      </c>
      <c r="G32" t="e">
        <f ca="1">INDEX(F$65:INDIRECT("F"&amp;$C$61),$C32)</f>
        <v>#N/A</v>
      </c>
      <c r="H32" t="e">
        <f ca="1">INDEX(G$65:INDIRECT("G"&amp;$C$61),$C32)</f>
        <v>#N/A</v>
      </c>
      <c r="I32" t="e">
        <f ca="1">INDEX(H$65:INDIRECT("H"&amp;$C$61),$C32)</f>
        <v>#N/A</v>
      </c>
      <c r="J32" t="e">
        <f ca="1">INDEX(I$65:INDIRECT("I"&amp;$C$61),$C32)</f>
        <v>#N/A</v>
      </c>
      <c r="K32" s="7" t="e">
        <f ca="1">INDEX(J$65:INDIRECT("J"&amp;$C$61),$C32)</f>
        <v>#N/A</v>
      </c>
      <c r="L32" t="e">
        <f ca="1">INDEX(K$65:INDIRECT("K"&amp;$C$61),$C32)</f>
        <v>#N/A</v>
      </c>
      <c r="M32" s="23" t="e">
        <f ca="1">INDEX(L$65:INDIRECT("L"&amp;$C$61),$C32)</f>
        <v>#N/A</v>
      </c>
      <c r="N32" t="e">
        <f ca="1">INDEX(M$65:INDIRECT("M"&amp;$C$61),$C32)</f>
        <v>#N/A</v>
      </c>
      <c r="O32" t="e">
        <f ca="1">INDEX(N$65:INDIRECT("N"&amp;$C$61),$C32)</f>
        <v>#N/A</v>
      </c>
      <c r="P32" t="e">
        <f ca="1">INDEX(O$65:INDIRECT("O"&amp;$C$61),$C32)</f>
        <v>#N/A</v>
      </c>
      <c r="Q32" s="104"/>
      <c r="R32" s="74" t="s">
        <v>72</v>
      </c>
      <c r="S32" s="69" t="s">
        <v>33</v>
      </c>
      <c r="T32" s="74" t="e">
        <f t="array" aca="1" ref="T32" ca="1">MATCH(IF(ISBLANK($AE$11),SMALL(IF($E$65:INDIRECT("E"&amp;$C$61)=$AE$10,INDIRECT(AJ32&amp;65):INDIRECT(AJ32&amp;$C$61)),$AH32),IF(ISBLANK($AE$10),SMALL(IF($D$65:INDIRECT("D"&amp;$C$61)=$AE$11,INDIRECT(AJ32&amp;65):INDIRECT(AJ32&amp;$C$61)),$AH32),SMALL(IF(($E$65:INDIRECT("E"&amp;$C$61)=$AE$10)*($D$65:INDIRECT("D"&amp;$C$61)=$AE$11),INDIRECT(AJ32&amp;65):INDIRECT(AJ32&amp;$C$61)),$AH32))),INDIRECT(AJ32&amp;65):INDIRECT(AJ32&amp;$C$61),0)</f>
        <v>#NUM!</v>
      </c>
      <c r="U32" s="69" t="e">
        <f ca="1">INDEX(D$65:INDIRECT("D"&amp;$C$61),$T32)</f>
        <v>#NUM!</v>
      </c>
      <c r="V32" s="69" t="e">
        <f ca="1">INDEX(INDIRECT(("'MemberID'!$C$6:C"&amp;MemberID!$C$1)),MATCH(U32,INDIRECT(("'MemberID'!$G$6:G"&amp;MemberID!$C$1)),0))</f>
        <v>#NUM!</v>
      </c>
      <c r="W32" s="69" t="e">
        <f ca="1">INDEX(E$65:INDIRECT("E"&amp;$C$61),$T32)</f>
        <v>#NUM!</v>
      </c>
      <c r="X32" t="e">
        <f ca="1">INDEX(F$65:INDIRECT("F"&amp;$C$61),$T32)</f>
        <v>#NUM!</v>
      </c>
      <c r="Y32" t="e">
        <f ca="1">INDEX(G$65:INDIRECT("G"&amp;$C$61),$T32)</f>
        <v>#NUM!</v>
      </c>
      <c r="Z32" t="e">
        <f ca="1">INDEX(H$65:INDIRECT("H"&amp;$C$61),$T32)</f>
        <v>#NUM!</v>
      </c>
      <c r="AA32" t="e">
        <f ca="1">INDEX(I$65:INDIRECT("I"&amp;$C$61),$T32)</f>
        <v>#NUM!</v>
      </c>
      <c r="AB32" t="e">
        <f ca="1">INDEX(J$65:INDIRECT("J"&amp;$C$61),$T32)</f>
        <v>#NUM!</v>
      </c>
      <c r="AC32" t="e">
        <f ca="1">INDEX(K$65:INDIRECT("K"&amp;$C$61),$T32)</f>
        <v>#NUM!</v>
      </c>
      <c r="AD32" s="23" t="e">
        <f t="array" aca="1" ref="AD32" ca="1">IF(ISBLANK($AE$11),SMALL(IF($E$65:INDIRECT("E"&amp;$C$61)=$AE$10,L$65:INDIRECT(AD$13&amp;$C$61)),$AH32),IF(ISBLANK($AE$10),SMALL(IF($D$65:INDIRECT("D"&amp;$C$61)=$AE$11,L$65:INDIRECT(AD$13&amp;$C$61)),$AH32),SMALL(IF(($E$65:INDIRECT("E"&amp;$C$61)=$AE$10)*($D$65:INDIRECT("D"&amp;$C$61)=$AE$11),L$65:INDIRECT(AD$13&amp;$C$61)),$AH32)))</f>
        <v>#NUM!</v>
      </c>
      <c r="AE32" t="e">
        <f ca="1">INDEX(M$65:INDIRECT("M"&amp;$C$61),$T32)</f>
        <v>#NUM!</v>
      </c>
      <c r="AF32" t="e">
        <f ca="1">INDEX(N$65:INDIRECT("N"&amp;$C$61),$T32)</f>
        <v>#NUM!</v>
      </c>
      <c r="AG32" t="e">
        <f ca="1">INDEX(O$65:INDIRECT("O"&amp;$C$61),$T32)</f>
        <v>#NUM!</v>
      </c>
      <c r="AH32" s="69">
        <v>1</v>
      </c>
      <c r="AI32" s="69" t="str">
        <f t="shared" si="2"/>
        <v>L</v>
      </c>
      <c r="AJ32" s="69" t="str">
        <f t="shared" si="2"/>
        <v>S</v>
      </c>
    </row>
    <row r="33" spans="1:52" x14ac:dyDescent="0.25">
      <c r="A33" s="74" t="s">
        <v>73</v>
      </c>
      <c r="B33" s="69" t="s">
        <v>33</v>
      </c>
      <c r="C33" s="74" t="e">
        <f ca="1">T6</f>
        <v>#NUM!</v>
      </c>
      <c r="D33" s="69" t="e">
        <f ca="1">INDEX(D$65:INDIRECT("D"&amp;$C$61),$C33)</f>
        <v>#NUM!</v>
      </c>
      <c r="E33" s="69" t="e">
        <f ca="1">INDEX(INDIRECT(("'MemberID'!$C$6:C"&amp;MemberID!$C$1)),MATCH(D33,INDIRECT(("'MemberID'!$G$6:G"&amp;MemberID!$C$1)),0))</f>
        <v>#NUM!</v>
      </c>
      <c r="F33" s="69" t="e">
        <f ca="1">INDEX(E$65:INDIRECT("E"&amp;$C$61),$C33)</f>
        <v>#NUM!</v>
      </c>
      <c r="G33" t="e">
        <f ca="1">INDEX(F$65:INDIRECT("F"&amp;$C$61),$C33)</f>
        <v>#NUM!</v>
      </c>
      <c r="H33" t="e">
        <f ca="1">INDEX(G$65:INDIRECT("G"&amp;$C$61),$C33)</f>
        <v>#NUM!</v>
      </c>
      <c r="I33" t="e">
        <f ca="1">INDEX(H$65:INDIRECT("H"&amp;$C$61),$C33)</f>
        <v>#NUM!</v>
      </c>
      <c r="J33" t="e">
        <f ca="1">INDEX(I$65:INDIRECT("I"&amp;$C$61),$C33)</f>
        <v>#NUM!</v>
      </c>
      <c r="K33" s="7" t="e">
        <f ca="1">INDEX(J$65:INDIRECT("J"&amp;$C$61),$C33)</f>
        <v>#NUM!</v>
      </c>
      <c r="L33" t="e">
        <f ca="1">INDEX(K$65:INDIRECT("K"&amp;$C$61),$C33)</f>
        <v>#NUM!</v>
      </c>
      <c r="M33" s="23" t="e">
        <f ca="1">INDEX(L$65:INDIRECT("L"&amp;$C$61),$C33)</f>
        <v>#NUM!</v>
      </c>
      <c r="N33" t="e">
        <f ca="1">INDEX(M$65:INDIRECT("M"&amp;$C$61),$C33)</f>
        <v>#NUM!</v>
      </c>
      <c r="O33" t="e">
        <f ca="1">INDEX(N$65:INDIRECT("N"&amp;$C$61),$C33)</f>
        <v>#NUM!</v>
      </c>
      <c r="P33" t="e">
        <f ca="1">INDEX(O$65:INDIRECT("O"&amp;$C$61),$C33)</f>
        <v>#NUM!</v>
      </c>
      <c r="Q33" s="104"/>
      <c r="R33" s="74" t="s">
        <v>73</v>
      </c>
      <c r="S33" s="69" t="s">
        <v>33</v>
      </c>
      <c r="T33" s="74" t="e">
        <f t="array" aca="1" ref="T33" ca="1">MATCH(IF(ISBLANK($AE$11),SMALL(IF($E$65:INDIRECT("E"&amp;$C$61)=$AE$10,INDIRECT(AJ33&amp;65):INDIRECT(AJ33&amp;$C$61)),$AH33),IF(ISBLANK($AE$10),SMALL(IF($D$65:INDIRECT("D"&amp;$C$61)=$AE$11,INDIRECT(AJ33&amp;65):INDIRECT(AJ33&amp;$C$61)),$AH33),SMALL(IF(($E$65:INDIRECT("E"&amp;$C$61)=$AE$10)*($D$65:INDIRECT("D"&amp;$C$61)=$AE$11),INDIRECT(AJ33&amp;65):INDIRECT(AJ33&amp;$C$61)),$AH33))),INDIRECT(AJ33&amp;65):INDIRECT(AJ33&amp;$C$61),0)</f>
        <v>#NUM!</v>
      </c>
      <c r="U33" s="69" t="e">
        <f ca="1">INDEX(D$65:INDIRECT("D"&amp;$C$61),$T33)</f>
        <v>#NUM!</v>
      </c>
      <c r="V33" s="69" t="e">
        <f ca="1">INDEX(INDIRECT(("'MemberID'!$C$6:C"&amp;MemberID!$C$1)),MATCH(U33,INDIRECT(("'MemberID'!$G$6:G"&amp;MemberID!$C$1)),0))</f>
        <v>#NUM!</v>
      </c>
      <c r="W33" s="69" t="e">
        <f ca="1">INDEX(E$65:INDIRECT("E"&amp;$C$61),$T33)</f>
        <v>#NUM!</v>
      </c>
      <c r="X33" t="e">
        <f ca="1">INDEX(F$65:INDIRECT("F"&amp;$C$61),$T33)</f>
        <v>#NUM!</v>
      </c>
      <c r="Y33" t="e">
        <f ca="1">INDEX(G$65:INDIRECT("G"&amp;$C$61),$T33)</f>
        <v>#NUM!</v>
      </c>
      <c r="Z33" t="e">
        <f ca="1">INDEX(H$65:INDIRECT("H"&amp;$C$61),$T33)</f>
        <v>#NUM!</v>
      </c>
      <c r="AA33" t="e">
        <f ca="1">INDEX(I$65:INDIRECT("I"&amp;$C$61),$T33)</f>
        <v>#NUM!</v>
      </c>
      <c r="AB33" t="e">
        <f ca="1">INDEX(J$65:INDIRECT("J"&amp;$C$61),$T33)</f>
        <v>#NUM!</v>
      </c>
      <c r="AC33" t="e">
        <f ca="1">INDEX(K$65:INDIRECT("K"&amp;$C$61),$T33)</f>
        <v>#NUM!</v>
      </c>
      <c r="AD33" s="23" t="e">
        <f t="array" aca="1" ref="AD33" ca="1">IF(ISBLANK($AE$11),SMALL(IF($E$65:INDIRECT("E"&amp;$C$61)=$AE$10,L$65:INDIRECT(AD$13&amp;$C$61)),$AH33),IF(ISBLANK($AE$10),SMALL(IF($D$65:INDIRECT("D"&amp;$C$61)=$AE$11,L$65:INDIRECT(AD$13&amp;$C$61)),$AH33),SMALL(IF(($E$65:INDIRECT("E"&amp;$C$61)=$AE$10)*($D$65:INDIRECT("D"&amp;$C$61)=$AE$11),L$65:INDIRECT(AD$13&amp;$C$61)),$AH33)))</f>
        <v>#NUM!</v>
      </c>
      <c r="AE33" t="e">
        <f ca="1">INDEX(M$65:INDIRECT("M"&amp;$C$61),$T33)</f>
        <v>#NUM!</v>
      </c>
      <c r="AF33" t="e">
        <f ca="1">INDEX(N$65:INDIRECT("N"&amp;$C$61),$T33)</f>
        <v>#NUM!</v>
      </c>
      <c r="AG33" t="e">
        <f ca="1">INDEX(O$65:INDIRECT("O"&amp;$C$61),$T33)</f>
        <v>#NUM!</v>
      </c>
      <c r="AH33" s="69">
        <v>2</v>
      </c>
      <c r="AI33" s="69" t="str">
        <f t="shared" si="2"/>
        <v>L</v>
      </c>
      <c r="AJ33" s="69" t="str">
        <f t="shared" si="2"/>
        <v>S</v>
      </c>
    </row>
    <row r="34" spans="1:52" x14ac:dyDescent="0.25">
      <c r="A34" s="74" t="s">
        <v>74</v>
      </c>
      <c r="B34" s="69" t="s">
        <v>33</v>
      </c>
      <c r="C34" s="74" t="e">
        <f ca="1">AB6</f>
        <v>#NUM!</v>
      </c>
      <c r="D34" s="69" t="e">
        <f ca="1">INDEX(D$65:INDIRECT("D"&amp;$C$61),$C34)</f>
        <v>#NUM!</v>
      </c>
      <c r="E34" s="69" t="e">
        <f ca="1">INDEX(INDIRECT(("'MemberID'!$C$6:C"&amp;MemberID!$C$1)),MATCH(D34,INDIRECT(("'MemberID'!$G$6:G"&amp;MemberID!$C$1)),0))</f>
        <v>#NUM!</v>
      </c>
      <c r="F34" s="69" t="e">
        <f ca="1">INDEX(E$65:INDIRECT("E"&amp;$C$61),$C34)</f>
        <v>#NUM!</v>
      </c>
      <c r="G34" t="e">
        <f ca="1">INDEX(F$65:INDIRECT("F"&amp;$C$61),$C34)</f>
        <v>#NUM!</v>
      </c>
      <c r="H34" t="e">
        <f ca="1">INDEX(G$65:INDIRECT("G"&amp;$C$61),$C34)</f>
        <v>#NUM!</v>
      </c>
      <c r="I34" t="e">
        <f ca="1">INDEX(H$65:INDIRECT("H"&amp;$C$61),$C34)</f>
        <v>#NUM!</v>
      </c>
      <c r="J34" t="e">
        <f ca="1">INDEX(I$65:INDIRECT("I"&amp;$C$61),$C34)</f>
        <v>#NUM!</v>
      </c>
      <c r="K34" s="7" t="e">
        <f ca="1">INDEX(J$65:INDIRECT("J"&amp;$C$61),$C34)</f>
        <v>#NUM!</v>
      </c>
      <c r="L34" t="e">
        <f ca="1">INDEX(K$65:INDIRECT("K"&amp;$C$61),$C34)</f>
        <v>#NUM!</v>
      </c>
      <c r="M34" s="23" t="e">
        <f ca="1">INDEX(L$65:INDIRECT("L"&amp;$C$61),$C34)</f>
        <v>#NUM!</v>
      </c>
      <c r="N34" t="e">
        <f ca="1">INDEX(M$65:INDIRECT("M"&amp;$C$61),$C34)</f>
        <v>#NUM!</v>
      </c>
      <c r="O34" t="e">
        <f ca="1">INDEX(N$65:INDIRECT("N"&amp;$C$61),$C34)</f>
        <v>#NUM!</v>
      </c>
      <c r="P34" t="e">
        <f ca="1">INDEX(O$65:INDIRECT("O"&amp;$C$61),$C34)</f>
        <v>#NUM!</v>
      </c>
      <c r="Q34" s="104"/>
      <c r="R34" s="74" t="s">
        <v>74</v>
      </c>
      <c r="S34" s="69" t="s">
        <v>33</v>
      </c>
      <c r="T34" s="74" t="e">
        <f t="array" aca="1" ref="T34" ca="1">MATCH(IF(ISBLANK($AE$11),SMALL(IF($E$65:INDIRECT("E"&amp;$C$61)=$AE$10,INDIRECT(AJ34&amp;65):INDIRECT(AJ34&amp;$C$61)),$AH34),IF(ISBLANK($AE$10),SMALL(IF($D$65:INDIRECT("D"&amp;$C$61)=$AE$11,INDIRECT(AJ34&amp;65):INDIRECT(AJ34&amp;$C$61)),$AH34),SMALL(IF(($E$65:INDIRECT("E"&amp;$C$61)=$AE$10)*($D$65:INDIRECT("D"&amp;$C$61)=$AE$11),INDIRECT(AJ34&amp;65):INDIRECT(AJ34&amp;$C$61)),$AH34))),INDIRECT(AJ34&amp;65):INDIRECT(AJ34&amp;$C$61),0)</f>
        <v>#NUM!</v>
      </c>
      <c r="U34" s="69" t="e">
        <f ca="1">INDEX(D$65:INDIRECT("D"&amp;$C$61),$T34)</f>
        <v>#NUM!</v>
      </c>
      <c r="V34" s="69" t="e">
        <f ca="1">INDEX(INDIRECT(("'MemberID'!$C$6:C"&amp;MemberID!$C$1)),MATCH(U34,INDIRECT(("'MemberID'!$G$6:G"&amp;MemberID!$C$1)),0))</f>
        <v>#NUM!</v>
      </c>
      <c r="W34" s="69" t="e">
        <f ca="1">INDEX(E$65:INDIRECT("E"&amp;$C$61),$T34)</f>
        <v>#NUM!</v>
      </c>
      <c r="X34" t="e">
        <f ca="1">INDEX(F$65:INDIRECT("F"&amp;$C$61),$T34)</f>
        <v>#NUM!</v>
      </c>
      <c r="Y34" t="e">
        <f ca="1">INDEX(G$65:INDIRECT("G"&amp;$C$61),$T34)</f>
        <v>#NUM!</v>
      </c>
      <c r="Z34" t="e">
        <f ca="1">INDEX(H$65:INDIRECT("H"&amp;$C$61),$T34)</f>
        <v>#NUM!</v>
      </c>
      <c r="AA34" t="e">
        <f ca="1">INDEX(I$65:INDIRECT("I"&amp;$C$61),$T34)</f>
        <v>#NUM!</v>
      </c>
      <c r="AB34" t="e">
        <f ca="1">INDEX(J$65:INDIRECT("J"&amp;$C$61),$T34)</f>
        <v>#NUM!</v>
      </c>
      <c r="AC34" t="e">
        <f ca="1">INDEX(K$65:INDIRECT("K"&amp;$C$61),$T34)</f>
        <v>#NUM!</v>
      </c>
      <c r="AD34" s="23" t="e">
        <f t="array" aca="1" ref="AD34" ca="1">IF(ISBLANK($AE$11),SMALL(IF($E$65:INDIRECT("E"&amp;$C$61)=$AE$10,L$65:INDIRECT(AD$13&amp;$C$61)),$AH34),IF(ISBLANK($AE$10),SMALL(IF($D$65:INDIRECT("D"&amp;$C$61)=$AE$11,L$65:INDIRECT(AD$13&amp;$C$61)),$AH34),SMALL(IF(($E$65:INDIRECT("E"&amp;$C$61)=$AE$10)*($D$65:INDIRECT("D"&amp;$C$61)=$AE$11),L$65:INDIRECT(AD$13&amp;$C$61)),$AH34)))</f>
        <v>#NUM!</v>
      </c>
      <c r="AE34" t="e">
        <f ca="1">INDEX(M$65:INDIRECT("M"&amp;$C$61),$T34)</f>
        <v>#NUM!</v>
      </c>
      <c r="AF34" t="e">
        <f ca="1">INDEX(N$65:INDIRECT("N"&amp;$C$61),$T34)</f>
        <v>#NUM!</v>
      </c>
      <c r="AG34" t="e">
        <f ca="1">INDEX(O$65:INDIRECT("O"&amp;$C$61),$T34)</f>
        <v>#NUM!</v>
      </c>
      <c r="AH34" s="69">
        <v>3</v>
      </c>
      <c r="AI34" s="69" t="str">
        <f t="shared" si="2"/>
        <v>L</v>
      </c>
      <c r="AJ34" s="69" t="str">
        <f t="shared" si="2"/>
        <v>S</v>
      </c>
    </row>
    <row r="35" spans="1:52" x14ac:dyDescent="0.25">
      <c r="A35" s="5"/>
      <c r="B35" s="69"/>
      <c r="C35" s="69"/>
      <c r="D35" s="69"/>
      <c r="E35" s="69"/>
      <c r="F35" s="69"/>
      <c r="K35" s="7"/>
      <c r="Q35" s="104"/>
      <c r="R35" s="5"/>
      <c r="S35" s="69"/>
      <c r="T35" s="69"/>
      <c r="V35" s="69"/>
      <c r="W35" s="69"/>
      <c r="AH35" s="69"/>
      <c r="AI35" s="69"/>
      <c r="AJ35" s="69"/>
    </row>
    <row r="36" spans="1:52" x14ac:dyDescent="0.25">
      <c r="A36" s="73" t="s">
        <v>69</v>
      </c>
      <c r="B36" s="69" t="s">
        <v>34</v>
      </c>
      <c r="C36" s="73" t="e">
        <f ca="1">M3</f>
        <v>#N/A</v>
      </c>
      <c r="D36" s="69" t="e">
        <f ca="1">INDEX(D$65:INDIRECT("D"&amp;$C$61),$C36)</f>
        <v>#N/A</v>
      </c>
      <c r="E36" s="69" t="e">
        <f ca="1">INDEX(INDIRECT(("'MemberID'!$C$6:C"&amp;MemberID!$C$1)),MATCH(D36,INDIRECT(("'MemberID'!$G$6:G"&amp;MemberID!$C$1)),0))</f>
        <v>#N/A</v>
      </c>
      <c r="F36" s="69" t="e">
        <f ca="1">INDEX(E$65:INDIRECT("E"&amp;$C$61),$C36)</f>
        <v>#N/A</v>
      </c>
      <c r="G36" t="e">
        <f ca="1">INDEX(F$65:INDIRECT("F"&amp;$C$61),$C36)</f>
        <v>#N/A</v>
      </c>
      <c r="H36" t="e">
        <f ca="1">INDEX(G$65:INDIRECT("G"&amp;$C$61),$C36)</f>
        <v>#N/A</v>
      </c>
      <c r="I36" t="e">
        <f ca="1">INDEX(H$65:INDIRECT("H"&amp;$C$61),$C36)</f>
        <v>#N/A</v>
      </c>
      <c r="J36" t="e">
        <f ca="1">INDEX(I$65:INDIRECT("I"&amp;$C$61),$C36)</f>
        <v>#N/A</v>
      </c>
      <c r="K36" s="7" t="e">
        <f ca="1">INDEX(J$65:INDIRECT("J"&amp;$C$61),$C36)</f>
        <v>#N/A</v>
      </c>
      <c r="L36" t="e">
        <f ca="1">INDEX(K$65:INDIRECT("K"&amp;$C$61),$C36)</f>
        <v>#N/A</v>
      </c>
      <c r="M36" t="e">
        <f ca="1">INDEX(L$65:INDIRECT("L"&amp;$C$61),$C36)</f>
        <v>#N/A</v>
      </c>
      <c r="N36" s="23" t="e">
        <f ca="1">INDEX(M$65:INDIRECT("M"&amp;$C$61),$C36)</f>
        <v>#N/A</v>
      </c>
      <c r="O36" t="e">
        <f ca="1">INDEX(N$65:INDIRECT("N"&amp;$C$61),$C36)</f>
        <v>#N/A</v>
      </c>
      <c r="P36" t="e">
        <f ca="1">INDEX(O$65:INDIRECT("O"&amp;$C$61),$C36)</f>
        <v>#N/A</v>
      </c>
      <c r="Q36" s="104"/>
      <c r="R36" s="73" t="s">
        <v>69</v>
      </c>
      <c r="S36" s="69" t="s">
        <v>34</v>
      </c>
      <c r="T36" s="73" t="e">
        <f t="array" aca="1" ref="T36" ca="1">MATCH(IF(ISBLANK($AE$11),LARGE(IF($E$65:INDIRECT("E"&amp;$C$61)=$AE$10,INDIRECT(AJ36&amp;65):INDIRECT(AJ36&amp;$C$61)),$AH36),IF(ISBLANK($AE$10),LARGE(IF($D$65:INDIRECT("D"&amp;$C$61)=$AE$11,INDIRECT(AJ36&amp;65):INDIRECT(AJ36&amp;$C$61)),$AH36),LARGE(IF(($E$65:INDIRECT("E"&amp;$C$61)=$AE$10)*($D$65:INDIRECT("D"&amp;$C$61)=$AE$11),INDIRECT(AJ36&amp;65):INDIRECT(AJ36&amp;$C$61)),$AH36))),INDIRECT(AJ36&amp;65):INDIRECT(AJ36&amp;$C$61),0)</f>
        <v>#NUM!</v>
      </c>
      <c r="U36" s="69" t="e">
        <f ca="1">INDEX(D$65:INDIRECT("D"&amp;$C$61),$T36)</f>
        <v>#NUM!</v>
      </c>
      <c r="V36" s="69" t="e">
        <f ca="1">INDEX(INDIRECT(("'MemberID'!$C$6:C"&amp;MemberID!$C$1)),MATCH(U36,INDIRECT(("'MemberID'!$G$6:G"&amp;MemberID!$C$1)),0))</f>
        <v>#NUM!</v>
      </c>
      <c r="W36" s="69" t="e">
        <f ca="1">INDEX(E$65:INDIRECT("E"&amp;$C$61),$T36)</f>
        <v>#NUM!</v>
      </c>
      <c r="X36" t="e">
        <f ca="1">INDEX(F$65:INDIRECT("F"&amp;$C$61),$T36)</f>
        <v>#NUM!</v>
      </c>
      <c r="Y36" t="e">
        <f ca="1">INDEX(G$65:INDIRECT("G"&amp;$C$61),$T36)</f>
        <v>#NUM!</v>
      </c>
      <c r="Z36" t="e">
        <f ca="1">INDEX(H$65:INDIRECT("H"&amp;$C$61),$T36)</f>
        <v>#NUM!</v>
      </c>
      <c r="AA36" t="e">
        <f ca="1">INDEX(I$65:INDIRECT("I"&amp;$C$61),$T36)</f>
        <v>#NUM!</v>
      </c>
      <c r="AB36" t="e">
        <f ca="1">INDEX(J$65:INDIRECT("J"&amp;$C$61),$T36)</f>
        <v>#NUM!</v>
      </c>
      <c r="AC36" t="e">
        <f ca="1">INDEX(K$65:INDIRECT("K"&amp;$C$61),$T36)</f>
        <v>#NUM!</v>
      </c>
      <c r="AD36" t="e">
        <f ca="1">INDEX(L$65:INDIRECT("L"&amp;$C$61),$T36)</f>
        <v>#NUM!</v>
      </c>
      <c r="AE36" s="23" t="e">
        <f t="array" aca="1" ref="AE36" ca="1">IF(ISBLANK($AE$11),LARGE(IF($E$65:INDIRECT("E"&amp;$C$61)=$AE$10,M$65:INDIRECT(AE$13&amp;$C$61)),$AH36),IF(ISBLANK($AE$10),LARGE(IF($D$65:INDIRECT("D"&amp;$C$61)=$AE$11,M$65:INDIRECT(AE$13&amp;$C$61)),$AH36),LARGE(IF(($E$65:INDIRECT("E"&amp;$C$61)=$AE$10)*($D$65:INDIRECT("D"&amp;$C$61)=$AE$11),M$65:INDIRECT(AE$13&amp;$C$61)),$AH36)))</f>
        <v>#NUM!</v>
      </c>
      <c r="AF36" t="e">
        <f ca="1">INDEX(N$65:INDIRECT("N"&amp;$C$61),$T36)</f>
        <v>#NUM!</v>
      </c>
      <c r="AG36" t="e">
        <f ca="1">INDEX(O$65:INDIRECT("O"&amp;$C$61),$T36)</f>
        <v>#NUM!</v>
      </c>
      <c r="AH36" s="69">
        <v>1</v>
      </c>
      <c r="AI36" s="69" t="s">
        <v>198</v>
      </c>
      <c r="AJ36" s="69" t="s">
        <v>195</v>
      </c>
    </row>
    <row r="37" spans="1:52" x14ac:dyDescent="0.25">
      <c r="A37" s="73" t="s">
        <v>70</v>
      </c>
      <c r="B37" s="69" t="s">
        <v>34</v>
      </c>
      <c r="C37" s="73" t="e">
        <f ca="1">U3</f>
        <v>#NUM!</v>
      </c>
      <c r="D37" s="69" t="e">
        <f ca="1">INDEX(D$65:INDIRECT("D"&amp;$C$61),$C37)</f>
        <v>#NUM!</v>
      </c>
      <c r="E37" s="69" t="e">
        <f ca="1">INDEX(INDIRECT(("'MemberID'!$C$6:C"&amp;MemberID!$C$1)),MATCH(D37,INDIRECT(("'MemberID'!$G$6:G"&amp;MemberID!$C$1)),0))</f>
        <v>#NUM!</v>
      </c>
      <c r="F37" s="69" t="e">
        <f ca="1">INDEX(E$65:INDIRECT("E"&amp;$C$61),$C37)</f>
        <v>#NUM!</v>
      </c>
      <c r="G37" t="e">
        <f ca="1">INDEX(F$65:INDIRECT("F"&amp;$C$61),$C37)</f>
        <v>#NUM!</v>
      </c>
      <c r="H37" t="e">
        <f ca="1">INDEX(G$65:INDIRECT("G"&amp;$C$61),$C37)</f>
        <v>#NUM!</v>
      </c>
      <c r="I37" t="e">
        <f ca="1">INDEX(H$65:INDIRECT("H"&amp;$C$61),$C37)</f>
        <v>#NUM!</v>
      </c>
      <c r="J37" t="e">
        <f ca="1">INDEX(I$65:INDIRECT("I"&amp;$C$61),$C37)</f>
        <v>#NUM!</v>
      </c>
      <c r="K37" s="7" t="e">
        <f ca="1">INDEX(J$65:INDIRECT("J"&amp;$C$61),$C37)</f>
        <v>#NUM!</v>
      </c>
      <c r="L37" t="e">
        <f ca="1">INDEX(K$65:INDIRECT("K"&amp;$C$61),$C37)</f>
        <v>#NUM!</v>
      </c>
      <c r="M37" t="e">
        <f ca="1">INDEX(L$65:INDIRECT("L"&amp;$C$61),$C37)</f>
        <v>#NUM!</v>
      </c>
      <c r="N37" s="23" t="e">
        <f ca="1">INDEX(M$65:INDIRECT("M"&amp;$C$61),$C37)</f>
        <v>#NUM!</v>
      </c>
      <c r="O37" t="e">
        <f ca="1">INDEX(N$65:INDIRECT("N"&amp;$C$61),$C37)</f>
        <v>#NUM!</v>
      </c>
      <c r="P37" t="e">
        <f ca="1">INDEX(O$65:INDIRECT("O"&amp;$C$61),$C37)</f>
        <v>#NUM!</v>
      </c>
      <c r="Q37" s="104"/>
      <c r="R37" s="73" t="s">
        <v>70</v>
      </c>
      <c r="S37" s="69" t="s">
        <v>34</v>
      </c>
      <c r="T37" s="73" t="e">
        <f t="array" aca="1" ref="T37" ca="1">MATCH(IF(ISBLANK($AE$11),LARGE(IF($E$65:INDIRECT("E"&amp;$C$61)=$AE$10,INDIRECT(AJ37&amp;65):INDIRECT(AJ37&amp;$C$61)),$AH37),IF(ISBLANK($AE$10),LARGE(IF($D$65:INDIRECT("D"&amp;$C$61)=$AE$11,INDIRECT(AJ37&amp;65):INDIRECT(AJ37&amp;$C$61)),$AH37),LARGE(IF(($E$65:INDIRECT("E"&amp;$C$61)=$AE$10)*($D$65:INDIRECT("D"&amp;$C$61)=$AE$11),INDIRECT(AJ37&amp;65):INDIRECT(AJ37&amp;$C$61)),$AH37))),INDIRECT(AJ37&amp;65):INDIRECT(AJ37&amp;$C$61),0)</f>
        <v>#NUM!</v>
      </c>
      <c r="U37" s="69" t="e">
        <f ca="1">INDEX(D$65:INDIRECT("D"&amp;$C$61),$T37)</f>
        <v>#NUM!</v>
      </c>
      <c r="V37" s="69" t="e">
        <f ca="1">INDEX(INDIRECT(("'MemberID'!$C$6:C"&amp;MemberID!$C$1)),MATCH(U37,INDIRECT(("'MemberID'!$G$6:G"&amp;MemberID!$C$1)),0))</f>
        <v>#NUM!</v>
      </c>
      <c r="W37" s="69" t="e">
        <f ca="1">INDEX(E$65:INDIRECT("E"&amp;$C$61),$T37)</f>
        <v>#NUM!</v>
      </c>
      <c r="X37" t="e">
        <f ca="1">INDEX(F$65:INDIRECT("F"&amp;$C$61),$T37)</f>
        <v>#NUM!</v>
      </c>
      <c r="Y37" t="e">
        <f ca="1">INDEX(G$65:INDIRECT("G"&amp;$C$61),$T37)</f>
        <v>#NUM!</v>
      </c>
      <c r="Z37" t="e">
        <f ca="1">INDEX(H$65:INDIRECT("H"&amp;$C$61),$T37)</f>
        <v>#NUM!</v>
      </c>
      <c r="AA37" t="e">
        <f ca="1">INDEX(I$65:INDIRECT("I"&amp;$C$61),$T37)</f>
        <v>#NUM!</v>
      </c>
      <c r="AB37" t="e">
        <f ca="1">INDEX(J$65:INDIRECT("J"&amp;$C$61),$T37)</f>
        <v>#NUM!</v>
      </c>
      <c r="AC37" t="e">
        <f ca="1">INDEX(K$65:INDIRECT("K"&amp;$C$61),$T37)</f>
        <v>#NUM!</v>
      </c>
      <c r="AD37" t="e">
        <f ca="1">INDEX(L$65:INDIRECT("L"&amp;$C$61),$T37)</f>
        <v>#NUM!</v>
      </c>
      <c r="AE37" s="23" t="e">
        <f t="array" aca="1" ref="AE37" ca="1">IF(ISBLANK($AE$11),LARGE(IF($E$65:INDIRECT("E"&amp;$C$61)=$AE$10,M$65:INDIRECT(AE$13&amp;$C$61)),$AH37),IF(ISBLANK($AE$10),LARGE(IF($D$65:INDIRECT("D"&amp;$C$61)=$AE$11,M$65:INDIRECT(AE$13&amp;$C$61)),$AH37),LARGE(IF(($E$65:INDIRECT("E"&amp;$C$61)=$AE$10)*($D$65:INDIRECT("D"&amp;$C$61)=$AE$11),M$65:INDIRECT(AE$13&amp;$C$61)),$AH37)))</f>
        <v>#NUM!</v>
      </c>
      <c r="AF37" t="e">
        <f ca="1">INDEX(N$65:INDIRECT("N"&amp;$C$61),$T37)</f>
        <v>#NUM!</v>
      </c>
      <c r="AG37" t="e">
        <f ca="1">INDEX(O$65:INDIRECT("O"&amp;$C$61),$T37)</f>
        <v>#NUM!</v>
      </c>
      <c r="AH37" s="69">
        <v>2</v>
      </c>
      <c r="AI37" s="69" t="str">
        <f>AI36</f>
        <v>M</v>
      </c>
      <c r="AJ37" s="69" t="str">
        <f>AJ36</f>
        <v>T</v>
      </c>
    </row>
    <row r="38" spans="1:52" x14ac:dyDescent="0.25">
      <c r="A38" s="73" t="s">
        <v>71</v>
      </c>
      <c r="B38" s="69" t="s">
        <v>34</v>
      </c>
      <c r="C38" s="73" t="e">
        <f ca="1">AC3</f>
        <v>#NUM!</v>
      </c>
      <c r="D38" s="69" t="e">
        <f ca="1">INDEX(D$65:INDIRECT("D"&amp;$C$61),$C38)</f>
        <v>#NUM!</v>
      </c>
      <c r="E38" s="69" t="e">
        <f ca="1">INDEX(INDIRECT(("'MemberID'!$C$6:C"&amp;MemberID!$C$1)),MATCH(D38,INDIRECT(("'MemberID'!$G$6:G"&amp;MemberID!$C$1)),0))</f>
        <v>#NUM!</v>
      </c>
      <c r="F38" s="69" t="e">
        <f ca="1">INDEX(E$65:INDIRECT("E"&amp;$C$61),$C38)</f>
        <v>#NUM!</v>
      </c>
      <c r="G38" t="e">
        <f ca="1">INDEX(F$65:INDIRECT("F"&amp;$C$61),$C38)</f>
        <v>#NUM!</v>
      </c>
      <c r="H38" t="e">
        <f ca="1">INDEX(G$65:INDIRECT("G"&amp;$C$61),$C38)</f>
        <v>#NUM!</v>
      </c>
      <c r="I38" t="e">
        <f ca="1">INDEX(H$65:INDIRECT("H"&amp;$C$61),$C38)</f>
        <v>#NUM!</v>
      </c>
      <c r="J38" t="e">
        <f ca="1">INDEX(I$65:INDIRECT("I"&amp;$C$61),$C38)</f>
        <v>#NUM!</v>
      </c>
      <c r="K38" s="7" t="e">
        <f ca="1">INDEX(J$65:INDIRECT("J"&amp;$C$61),$C38)</f>
        <v>#NUM!</v>
      </c>
      <c r="L38" t="e">
        <f ca="1">INDEX(K$65:INDIRECT("K"&amp;$C$61),$C38)</f>
        <v>#NUM!</v>
      </c>
      <c r="M38" t="e">
        <f ca="1">INDEX(L$65:INDIRECT("L"&amp;$C$61),$C38)</f>
        <v>#NUM!</v>
      </c>
      <c r="N38" s="23" t="e">
        <f ca="1">INDEX(M$65:INDIRECT("M"&amp;$C$61),$C38)</f>
        <v>#NUM!</v>
      </c>
      <c r="O38" t="e">
        <f ca="1">INDEX(N$65:INDIRECT("N"&amp;$C$61),$C38)</f>
        <v>#NUM!</v>
      </c>
      <c r="P38" t="e">
        <f ca="1">INDEX(O$65:INDIRECT("O"&amp;$C$61),$C38)</f>
        <v>#NUM!</v>
      </c>
      <c r="Q38" s="104"/>
      <c r="R38" s="73" t="s">
        <v>71</v>
      </c>
      <c r="S38" s="69" t="s">
        <v>34</v>
      </c>
      <c r="T38" s="73" t="e">
        <f t="array" aca="1" ref="T38" ca="1">MATCH(IF(ISBLANK($AE$11),LARGE(IF($E$65:INDIRECT("E"&amp;$C$61)=$AE$10,INDIRECT(AJ38&amp;65):INDIRECT(AJ38&amp;$C$61)),$AH38),IF(ISBLANK($AE$10),LARGE(IF($D$65:INDIRECT("D"&amp;$C$61)=$AE$11,INDIRECT(AJ38&amp;65):INDIRECT(AJ38&amp;$C$61)),$AH38),LARGE(IF(($E$65:INDIRECT("E"&amp;$C$61)=$AE$10)*($D$65:INDIRECT("D"&amp;$C$61)=$AE$11),INDIRECT(AJ38&amp;65):INDIRECT(AJ38&amp;$C$61)),$AH38))),INDIRECT(AJ38&amp;65):INDIRECT(AJ38&amp;$C$61),0)</f>
        <v>#NUM!</v>
      </c>
      <c r="U38" s="69" t="e">
        <f ca="1">INDEX(D$65:INDIRECT("D"&amp;$C$61),$T38)</f>
        <v>#NUM!</v>
      </c>
      <c r="V38" s="69" t="e">
        <f ca="1">INDEX(INDIRECT(("'MemberID'!$C$6:C"&amp;MemberID!$C$1)),MATCH(U38,INDIRECT(("'MemberID'!$G$6:G"&amp;MemberID!$C$1)),0))</f>
        <v>#NUM!</v>
      </c>
      <c r="W38" s="69" t="e">
        <f ca="1">INDEX(E$65:INDIRECT("E"&amp;$C$61),$T38)</f>
        <v>#NUM!</v>
      </c>
      <c r="X38" t="e">
        <f ca="1">INDEX(F$65:INDIRECT("F"&amp;$C$61),$T38)</f>
        <v>#NUM!</v>
      </c>
      <c r="Y38" t="e">
        <f ca="1">INDEX(G$65:INDIRECT("G"&amp;$C$61),$T38)</f>
        <v>#NUM!</v>
      </c>
      <c r="Z38" t="e">
        <f ca="1">INDEX(H$65:INDIRECT("H"&amp;$C$61),$T38)</f>
        <v>#NUM!</v>
      </c>
      <c r="AA38" t="e">
        <f ca="1">INDEX(I$65:INDIRECT("I"&amp;$C$61),$T38)</f>
        <v>#NUM!</v>
      </c>
      <c r="AB38" t="e">
        <f ca="1">INDEX(J$65:INDIRECT("J"&amp;$C$61),$T38)</f>
        <v>#NUM!</v>
      </c>
      <c r="AC38" t="e">
        <f ca="1">INDEX(K$65:INDIRECT("K"&amp;$C$61),$T38)</f>
        <v>#NUM!</v>
      </c>
      <c r="AD38" t="e">
        <f ca="1">INDEX(L$65:INDIRECT("L"&amp;$C$61),$T38)</f>
        <v>#NUM!</v>
      </c>
      <c r="AE38" s="23" t="e">
        <f t="array" aca="1" ref="AE38" ca="1">IF(ISBLANK($AE$11),LARGE(IF($E$65:INDIRECT("E"&amp;$C$61)=$AE$10,M$65:INDIRECT(AE$13&amp;$C$61)),$AH38),IF(ISBLANK($AE$10),LARGE(IF($D$65:INDIRECT("D"&amp;$C$61)=$AE$11,M$65:INDIRECT(AE$13&amp;$C$61)),$AH38),LARGE(IF(($E$65:INDIRECT("E"&amp;$C$61)=$AE$10)*($D$65:INDIRECT("D"&amp;$C$61)=$AE$11),M$65:INDIRECT(AE$13&amp;$C$61)),$AH38)))</f>
        <v>#NUM!</v>
      </c>
      <c r="AF38" t="e">
        <f ca="1">INDEX(N$65:INDIRECT("N"&amp;$C$61),$T38)</f>
        <v>#NUM!</v>
      </c>
      <c r="AG38" t="e">
        <f ca="1">INDEX(O$65:INDIRECT("O"&amp;$C$61),$T38)</f>
        <v>#NUM!</v>
      </c>
      <c r="AH38" s="69">
        <v>3</v>
      </c>
      <c r="AI38" s="69" t="str">
        <f t="shared" ref="AI38:AJ41" si="3">AI37</f>
        <v>M</v>
      </c>
      <c r="AJ38" s="69" t="str">
        <f t="shared" si="3"/>
        <v>T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74" t="s">
        <v>72</v>
      </c>
      <c r="B39" s="69" t="s">
        <v>34</v>
      </c>
      <c r="C39" s="74" t="e">
        <f ca="1">M6</f>
        <v>#N/A</v>
      </c>
      <c r="D39" s="69" t="e">
        <f ca="1">INDEX(D$65:INDIRECT("D"&amp;$C$61),$C39)</f>
        <v>#N/A</v>
      </c>
      <c r="E39" s="69" t="e">
        <f ca="1">INDEX(INDIRECT(("'MemberID'!$C$6:C"&amp;MemberID!$C$1)),MATCH(D39,INDIRECT(("'MemberID'!$G$6:G"&amp;MemberID!$C$1)),0))</f>
        <v>#N/A</v>
      </c>
      <c r="F39" s="69" t="e">
        <f ca="1">INDEX(E$65:INDIRECT("E"&amp;$C$61),$C39)</f>
        <v>#N/A</v>
      </c>
      <c r="G39" t="e">
        <f ca="1">INDEX(F$65:INDIRECT("F"&amp;$C$61),$C39)</f>
        <v>#N/A</v>
      </c>
      <c r="H39" t="e">
        <f ca="1">INDEX(G$65:INDIRECT("G"&amp;$C$61),$C39)</f>
        <v>#N/A</v>
      </c>
      <c r="I39" t="e">
        <f ca="1">INDEX(H$65:INDIRECT("H"&amp;$C$61),$C39)</f>
        <v>#N/A</v>
      </c>
      <c r="J39" t="e">
        <f ca="1">INDEX(I$65:INDIRECT("I"&amp;$C$61),$C39)</f>
        <v>#N/A</v>
      </c>
      <c r="K39" s="7" t="e">
        <f ca="1">INDEX(J$65:INDIRECT("J"&amp;$C$61),$C39)</f>
        <v>#N/A</v>
      </c>
      <c r="L39" t="e">
        <f ca="1">INDEX(K$65:INDIRECT("K"&amp;$C$61),$C39)</f>
        <v>#N/A</v>
      </c>
      <c r="M39" t="e">
        <f ca="1">INDEX(L$65:INDIRECT("L"&amp;$C$61),$C39)</f>
        <v>#N/A</v>
      </c>
      <c r="N39" s="23" t="e">
        <f ca="1">INDEX(M$65:INDIRECT("M"&amp;$C$61),$C39)</f>
        <v>#N/A</v>
      </c>
      <c r="O39" t="e">
        <f ca="1">INDEX(N$65:INDIRECT("N"&amp;$C$61),$C39)</f>
        <v>#N/A</v>
      </c>
      <c r="P39" t="e">
        <f ca="1">INDEX(O$65:INDIRECT("O"&amp;$C$61),$C39)</f>
        <v>#N/A</v>
      </c>
      <c r="Q39" s="104"/>
      <c r="R39" s="74" t="s">
        <v>72</v>
      </c>
      <c r="S39" s="69" t="s">
        <v>34</v>
      </c>
      <c r="T39" s="74" t="e">
        <f t="array" aca="1" ref="T39" ca="1">MATCH(IF(ISBLANK($AE$11),SMALL(IF($E$65:INDIRECT("E"&amp;$C$61)=$AE$10,INDIRECT(AJ39&amp;65):INDIRECT(AJ39&amp;$C$61)),$AH39),IF(ISBLANK($AE$10),SMALL(IF($D$65:INDIRECT("D"&amp;$C$61)=$AE$11,INDIRECT(AJ39&amp;65):INDIRECT(AJ39&amp;$C$61)),$AH39),SMALL(IF(($E$65:INDIRECT("E"&amp;$C$61)=$AE$10)*($D$65:INDIRECT("D"&amp;$C$61)=$AE$11),INDIRECT(AJ39&amp;65):INDIRECT(AJ39&amp;$C$61)),$AH39))),INDIRECT(AJ39&amp;65):INDIRECT(AJ39&amp;$C$61),0)</f>
        <v>#NUM!</v>
      </c>
      <c r="U39" s="69" t="e">
        <f ca="1">INDEX(D$65:INDIRECT("D"&amp;$C$61),$T39)</f>
        <v>#NUM!</v>
      </c>
      <c r="V39" s="69" t="e">
        <f ca="1">INDEX(INDIRECT(("'MemberID'!$C$6:C"&amp;MemberID!$C$1)),MATCH(U39,INDIRECT(("'MemberID'!$G$6:G"&amp;MemberID!$C$1)),0))</f>
        <v>#NUM!</v>
      </c>
      <c r="W39" s="69" t="e">
        <f ca="1">INDEX(E$65:INDIRECT("E"&amp;$C$61),$T39)</f>
        <v>#NUM!</v>
      </c>
      <c r="X39" t="e">
        <f ca="1">INDEX(F$65:INDIRECT("F"&amp;$C$61),$T39)</f>
        <v>#NUM!</v>
      </c>
      <c r="Y39" t="e">
        <f ca="1">INDEX(G$65:INDIRECT("G"&amp;$C$61),$T39)</f>
        <v>#NUM!</v>
      </c>
      <c r="Z39" t="e">
        <f ca="1">INDEX(H$65:INDIRECT("H"&amp;$C$61),$T39)</f>
        <v>#NUM!</v>
      </c>
      <c r="AA39" t="e">
        <f ca="1">INDEX(I$65:INDIRECT("I"&amp;$C$61),$T39)</f>
        <v>#NUM!</v>
      </c>
      <c r="AB39" t="e">
        <f ca="1">INDEX(J$65:INDIRECT("J"&amp;$C$61),$T39)</f>
        <v>#NUM!</v>
      </c>
      <c r="AC39" t="e">
        <f ca="1">INDEX(K$65:INDIRECT("K"&amp;$C$61),$T39)</f>
        <v>#NUM!</v>
      </c>
      <c r="AD39" t="e">
        <f ca="1">INDEX(L$65:INDIRECT("L"&amp;$C$61),$T39)</f>
        <v>#NUM!</v>
      </c>
      <c r="AE39" s="23" t="e">
        <f t="array" aca="1" ref="AE39" ca="1">IF(ISBLANK($AE$11),SMALL(IF($E$65:INDIRECT("E"&amp;$C$61)=$AE$10,M$65:INDIRECT(AE$13&amp;$C$61)),$AH39),IF(ISBLANK($AE$10),SMALL(IF($D$65:INDIRECT("D"&amp;$C$61)=$AE$11,M$65:INDIRECT(AE$13&amp;$C$61)),$AH39),SMALL(IF(($E$65:INDIRECT("E"&amp;$C$61)=$AE$10)*($D$65:INDIRECT("D"&amp;$C$61)=$AE$11),M$65:INDIRECT(AE$13&amp;$C$61)),$AH39)))</f>
        <v>#NUM!</v>
      </c>
      <c r="AF39" t="e">
        <f ca="1">INDEX(N$65:INDIRECT("N"&amp;$C$61),$T39)</f>
        <v>#NUM!</v>
      </c>
      <c r="AG39" t="e">
        <f ca="1">INDEX(O$65:INDIRECT("O"&amp;$C$61),$T39)</f>
        <v>#NUM!</v>
      </c>
      <c r="AH39" s="69">
        <v>1</v>
      </c>
      <c r="AI39" s="69" t="str">
        <f t="shared" si="3"/>
        <v>M</v>
      </c>
      <c r="AJ39" s="69" t="str">
        <f t="shared" si="3"/>
        <v>T</v>
      </c>
    </row>
    <row r="40" spans="1:52" x14ac:dyDescent="0.25">
      <c r="A40" s="74" t="s">
        <v>73</v>
      </c>
      <c r="B40" s="69" t="s">
        <v>34</v>
      </c>
      <c r="C40" s="74" t="e">
        <f ca="1">U6</f>
        <v>#NUM!</v>
      </c>
      <c r="D40" s="69" t="e">
        <f ca="1">INDEX(D$65:INDIRECT("D"&amp;$C$61),$C40)</f>
        <v>#NUM!</v>
      </c>
      <c r="E40" s="69" t="e">
        <f ca="1">INDEX(INDIRECT(("'MemberID'!$C$6:C"&amp;MemberID!$C$1)),MATCH(D40,INDIRECT(("'MemberID'!$G$6:G"&amp;MemberID!$C$1)),0))</f>
        <v>#NUM!</v>
      </c>
      <c r="F40" s="69" t="e">
        <f ca="1">INDEX(E$65:INDIRECT("E"&amp;$C$61),$C40)</f>
        <v>#NUM!</v>
      </c>
      <c r="G40" t="e">
        <f ca="1">INDEX(F$65:INDIRECT("F"&amp;$C$61),$C40)</f>
        <v>#NUM!</v>
      </c>
      <c r="H40" t="e">
        <f ca="1">INDEX(G$65:INDIRECT("G"&amp;$C$61),$C40)</f>
        <v>#NUM!</v>
      </c>
      <c r="I40" t="e">
        <f ca="1">INDEX(H$65:INDIRECT("H"&amp;$C$61),$C40)</f>
        <v>#NUM!</v>
      </c>
      <c r="J40" t="e">
        <f ca="1">INDEX(I$65:INDIRECT("I"&amp;$C$61),$C40)</f>
        <v>#NUM!</v>
      </c>
      <c r="K40" s="7" t="e">
        <f ca="1">INDEX(J$65:INDIRECT("J"&amp;$C$61),$C40)</f>
        <v>#NUM!</v>
      </c>
      <c r="L40" t="e">
        <f ca="1">INDEX(K$65:INDIRECT("K"&amp;$C$61),$C40)</f>
        <v>#NUM!</v>
      </c>
      <c r="M40" t="e">
        <f ca="1">INDEX(L$65:INDIRECT("L"&amp;$C$61),$C40)</f>
        <v>#NUM!</v>
      </c>
      <c r="N40" s="23" t="e">
        <f ca="1">INDEX(M$65:INDIRECT("M"&amp;$C$61),$C40)</f>
        <v>#NUM!</v>
      </c>
      <c r="O40" t="e">
        <f ca="1">INDEX(N$65:INDIRECT("N"&amp;$C$61),$C40)</f>
        <v>#NUM!</v>
      </c>
      <c r="P40" t="e">
        <f ca="1">INDEX(O$65:INDIRECT("O"&amp;$C$61),$C40)</f>
        <v>#NUM!</v>
      </c>
      <c r="Q40" s="104"/>
      <c r="R40" s="74" t="s">
        <v>73</v>
      </c>
      <c r="S40" s="69" t="s">
        <v>34</v>
      </c>
      <c r="T40" s="74" t="e">
        <f t="array" aca="1" ref="T40" ca="1">MATCH(IF(ISBLANK($AE$11),SMALL(IF($E$65:INDIRECT("E"&amp;$C$61)=$AE$10,INDIRECT(AJ40&amp;65):INDIRECT(AJ40&amp;$C$61)),$AH40),IF(ISBLANK($AE$10),SMALL(IF($D$65:INDIRECT("D"&amp;$C$61)=$AE$11,INDIRECT(AJ40&amp;65):INDIRECT(AJ40&amp;$C$61)),$AH40),SMALL(IF(($E$65:INDIRECT("E"&amp;$C$61)=$AE$10)*($D$65:INDIRECT("D"&amp;$C$61)=$AE$11),INDIRECT(AJ40&amp;65):INDIRECT(AJ40&amp;$C$61)),$AH40))),INDIRECT(AJ40&amp;65):INDIRECT(AJ40&amp;$C$61),0)</f>
        <v>#NUM!</v>
      </c>
      <c r="U40" s="69" t="e">
        <f ca="1">INDEX(D$65:INDIRECT("D"&amp;$C$61),$T40)</f>
        <v>#NUM!</v>
      </c>
      <c r="V40" s="69" t="e">
        <f ca="1">INDEX(INDIRECT(("'MemberID'!$C$6:C"&amp;MemberID!$C$1)),MATCH(U40,INDIRECT(("'MemberID'!$G$6:G"&amp;MemberID!$C$1)),0))</f>
        <v>#NUM!</v>
      </c>
      <c r="W40" s="69" t="e">
        <f ca="1">INDEX(E$65:INDIRECT("E"&amp;$C$61),$T40)</f>
        <v>#NUM!</v>
      </c>
      <c r="X40" t="e">
        <f ca="1">INDEX(F$65:INDIRECT("F"&amp;$C$61),$T40)</f>
        <v>#NUM!</v>
      </c>
      <c r="Y40" t="e">
        <f ca="1">INDEX(G$65:INDIRECT("G"&amp;$C$61),$T40)</f>
        <v>#NUM!</v>
      </c>
      <c r="Z40" t="e">
        <f ca="1">INDEX(H$65:INDIRECT("H"&amp;$C$61),$T40)</f>
        <v>#NUM!</v>
      </c>
      <c r="AA40" t="e">
        <f ca="1">INDEX(I$65:INDIRECT("I"&amp;$C$61),$T40)</f>
        <v>#NUM!</v>
      </c>
      <c r="AB40" t="e">
        <f ca="1">INDEX(J$65:INDIRECT("J"&amp;$C$61),$T40)</f>
        <v>#NUM!</v>
      </c>
      <c r="AC40" t="e">
        <f ca="1">INDEX(K$65:INDIRECT("K"&amp;$C$61),$T40)</f>
        <v>#NUM!</v>
      </c>
      <c r="AD40" t="e">
        <f ca="1">INDEX(L$65:INDIRECT("L"&amp;$C$61),$T40)</f>
        <v>#NUM!</v>
      </c>
      <c r="AE40" s="23" t="e">
        <f t="array" aca="1" ref="AE40" ca="1">IF(ISBLANK($AE$11),SMALL(IF($E$65:INDIRECT("E"&amp;$C$61)=$AE$10,M$65:INDIRECT(AE$13&amp;$C$61)),$AH40),IF(ISBLANK($AE$10),SMALL(IF($D$65:INDIRECT("D"&amp;$C$61)=$AE$11,M$65:INDIRECT(AE$13&amp;$C$61)),$AH40),SMALL(IF(($E$65:INDIRECT("E"&amp;$C$61)=$AE$10)*($D$65:INDIRECT("D"&amp;$C$61)=$AE$11),M$65:INDIRECT(AE$13&amp;$C$61)),$AH40)))</f>
        <v>#NUM!</v>
      </c>
      <c r="AF40" t="e">
        <f ca="1">INDEX(N$65:INDIRECT("N"&amp;$C$61),$T40)</f>
        <v>#NUM!</v>
      </c>
      <c r="AG40" t="e">
        <f ca="1">INDEX(O$65:INDIRECT("O"&amp;$C$61),$T40)</f>
        <v>#NUM!</v>
      </c>
      <c r="AH40" s="69">
        <v>2</v>
      </c>
      <c r="AI40" s="69" t="str">
        <f t="shared" si="3"/>
        <v>M</v>
      </c>
      <c r="AJ40" s="69" t="str">
        <f t="shared" si="3"/>
        <v>T</v>
      </c>
    </row>
    <row r="41" spans="1:52" x14ac:dyDescent="0.25">
      <c r="A41" s="74" t="s">
        <v>74</v>
      </c>
      <c r="B41" s="69" t="s">
        <v>34</v>
      </c>
      <c r="C41" s="74" t="e">
        <f ca="1">AC6</f>
        <v>#NUM!</v>
      </c>
      <c r="D41" s="69" t="e">
        <f ca="1">INDEX(D$65:INDIRECT("D"&amp;$C$61),$C41)</f>
        <v>#NUM!</v>
      </c>
      <c r="E41" s="69" t="e">
        <f ca="1">INDEX(INDIRECT(("'MemberID'!$C$6:C"&amp;MemberID!$C$1)),MATCH(D41,INDIRECT(("'MemberID'!$G$6:G"&amp;MemberID!$C$1)),0))</f>
        <v>#NUM!</v>
      </c>
      <c r="F41" s="69" t="e">
        <f ca="1">INDEX(E$65:INDIRECT("E"&amp;$C$61),$C41)</f>
        <v>#NUM!</v>
      </c>
      <c r="G41" t="e">
        <f ca="1">INDEX(F$65:INDIRECT("F"&amp;$C$61),$C41)</f>
        <v>#NUM!</v>
      </c>
      <c r="H41" t="e">
        <f ca="1">INDEX(G$65:INDIRECT("G"&amp;$C$61),$C41)</f>
        <v>#NUM!</v>
      </c>
      <c r="I41" t="e">
        <f ca="1">INDEX(H$65:INDIRECT("H"&amp;$C$61),$C41)</f>
        <v>#NUM!</v>
      </c>
      <c r="J41" t="e">
        <f ca="1">INDEX(I$65:INDIRECT("I"&amp;$C$61),$C41)</f>
        <v>#NUM!</v>
      </c>
      <c r="K41" s="7" t="e">
        <f ca="1">INDEX(J$65:INDIRECT("J"&amp;$C$61),$C41)</f>
        <v>#NUM!</v>
      </c>
      <c r="L41" t="e">
        <f ca="1">INDEX(K$65:INDIRECT("K"&amp;$C$61),$C41)</f>
        <v>#NUM!</v>
      </c>
      <c r="M41" t="e">
        <f ca="1">INDEX(L$65:INDIRECT("L"&amp;$C$61),$C41)</f>
        <v>#NUM!</v>
      </c>
      <c r="N41" s="23" t="e">
        <f ca="1">INDEX(M$65:INDIRECT("M"&amp;$C$61),$C41)</f>
        <v>#NUM!</v>
      </c>
      <c r="O41" t="e">
        <f ca="1">INDEX(N$65:INDIRECT("N"&amp;$C$61),$C41)</f>
        <v>#NUM!</v>
      </c>
      <c r="P41" t="e">
        <f ca="1">INDEX(O$65:INDIRECT("O"&amp;$C$61),$C41)</f>
        <v>#NUM!</v>
      </c>
      <c r="Q41" s="104"/>
      <c r="R41" s="74" t="s">
        <v>74</v>
      </c>
      <c r="S41" s="69" t="s">
        <v>34</v>
      </c>
      <c r="T41" s="74" t="e">
        <f t="array" aca="1" ref="T41" ca="1">MATCH(IF(ISBLANK($AE$11),SMALL(IF($E$65:INDIRECT("E"&amp;$C$61)=$AE$10,INDIRECT(AJ41&amp;65):INDIRECT(AJ41&amp;$C$61)),$AH41),IF(ISBLANK($AE$10),SMALL(IF($D$65:INDIRECT("D"&amp;$C$61)=$AE$11,INDIRECT(AJ41&amp;65):INDIRECT(AJ41&amp;$C$61)),$AH41),SMALL(IF(($E$65:INDIRECT("E"&amp;$C$61)=$AE$10)*($D$65:INDIRECT("D"&amp;$C$61)=$AE$11),INDIRECT(AJ41&amp;65):INDIRECT(AJ41&amp;$C$61)),$AH41))),INDIRECT(AJ41&amp;65):INDIRECT(AJ41&amp;$C$61),0)</f>
        <v>#NUM!</v>
      </c>
      <c r="U41" s="69" t="e">
        <f ca="1">INDEX(D$65:INDIRECT("D"&amp;$C$61),$T41)</f>
        <v>#NUM!</v>
      </c>
      <c r="V41" s="69" t="e">
        <f ca="1">INDEX(INDIRECT(("'MemberID'!$C$6:C"&amp;MemberID!$C$1)),MATCH(U41,INDIRECT(("'MemberID'!$G$6:G"&amp;MemberID!$C$1)),0))</f>
        <v>#NUM!</v>
      </c>
      <c r="W41" s="69" t="e">
        <f ca="1">INDEX(E$65:INDIRECT("E"&amp;$C$61),$T41)</f>
        <v>#NUM!</v>
      </c>
      <c r="X41" t="e">
        <f ca="1">INDEX(F$65:INDIRECT("F"&amp;$C$61),$T41)</f>
        <v>#NUM!</v>
      </c>
      <c r="Y41" t="e">
        <f ca="1">INDEX(G$65:INDIRECT("G"&amp;$C$61),$T41)</f>
        <v>#NUM!</v>
      </c>
      <c r="Z41" t="e">
        <f ca="1">INDEX(H$65:INDIRECT("H"&amp;$C$61),$T41)</f>
        <v>#NUM!</v>
      </c>
      <c r="AA41" t="e">
        <f ca="1">INDEX(I$65:INDIRECT("I"&amp;$C$61),$T41)</f>
        <v>#NUM!</v>
      </c>
      <c r="AB41" t="e">
        <f ca="1">INDEX(J$65:INDIRECT("J"&amp;$C$61),$T41)</f>
        <v>#NUM!</v>
      </c>
      <c r="AC41" t="e">
        <f ca="1">INDEX(K$65:INDIRECT("K"&amp;$C$61),$T41)</f>
        <v>#NUM!</v>
      </c>
      <c r="AD41" t="e">
        <f ca="1">INDEX(L$65:INDIRECT("L"&amp;$C$61),$T41)</f>
        <v>#NUM!</v>
      </c>
      <c r="AE41" s="23" t="e">
        <f t="array" aca="1" ref="AE41" ca="1">IF(ISBLANK($AE$11),SMALL(IF($E$65:INDIRECT("E"&amp;$C$61)=$AE$10,M$65:INDIRECT(AE$13&amp;$C$61)),$AH41),IF(ISBLANK($AE$10),SMALL(IF($D$65:INDIRECT("D"&amp;$C$61)=$AE$11,M$65:INDIRECT(AE$13&amp;$C$61)),$AH41),SMALL(IF(($E$65:INDIRECT("E"&amp;$C$61)=$AE$10)*($D$65:INDIRECT("D"&amp;$C$61)=$AE$11),M$65:INDIRECT(AE$13&amp;$C$61)),$AH41)))</f>
        <v>#NUM!</v>
      </c>
      <c r="AF41" t="e">
        <f ca="1">INDEX(N$65:INDIRECT("N"&amp;$C$61),$T41)</f>
        <v>#NUM!</v>
      </c>
      <c r="AG41" t="e">
        <f ca="1">INDEX(O$65:INDIRECT("O"&amp;$C$61),$T41)</f>
        <v>#NUM!</v>
      </c>
      <c r="AH41" s="69">
        <v>3</v>
      </c>
      <c r="AI41" s="69" t="str">
        <f t="shared" si="3"/>
        <v>M</v>
      </c>
      <c r="AJ41" s="69" t="str">
        <f t="shared" si="3"/>
        <v>T</v>
      </c>
      <c r="AL41" s="86"/>
    </row>
    <row r="42" spans="1:52" x14ac:dyDescent="0.25">
      <c r="A42" s="5"/>
      <c r="B42" s="69"/>
      <c r="C42" s="69"/>
      <c r="D42" s="69"/>
      <c r="E42" s="69"/>
      <c r="F42" s="69"/>
      <c r="K42" s="7"/>
      <c r="Q42" s="104"/>
      <c r="R42" s="5"/>
      <c r="S42" s="69"/>
      <c r="T42" s="69"/>
      <c r="V42" s="69"/>
      <c r="W42" s="69"/>
      <c r="AH42" s="69"/>
      <c r="AI42" s="69"/>
      <c r="AJ42" s="69"/>
    </row>
    <row r="43" spans="1:52" x14ac:dyDescent="0.25">
      <c r="A43" s="73" t="s">
        <v>69</v>
      </c>
      <c r="B43" s="69" t="s">
        <v>35</v>
      </c>
      <c r="C43" s="73" t="e">
        <f ca="1">N3</f>
        <v>#N/A</v>
      </c>
      <c r="D43" s="69" t="e">
        <f ca="1">INDEX(D$65:INDIRECT("D"&amp;$C$61),$C43)</f>
        <v>#N/A</v>
      </c>
      <c r="E43" s="69" t="e">
        <f ca="1">INDEX(INDIRECT(("'MemberID'!$C$6:C"&amp;MemberID!$C$1)),MATCH(D43,INDIRECT(("'MemberID'!$G$6:G"&amp;MemberID!$C$1)),0))</f>
        <v>#N/A</v>
      </c>
      <c r="F43" s="69" t="e">
        <f ca="1">INDEX(E$65:INDIRECT("E"&amp;$C$61),$C43)</f>
        <v>#N/A</v>
      </c>
      <c r="G43" t="e">
        <f ca="1">INDEX(F$65:INDIRECT("F"&amp;$C$61),$C43)</f>
        <v>#N/A</v>
      </c>
      <c r="H43" t="e">
        <f ca="1">INDEX(G$65:INDIRECT("G"&amp;$C$61),$C43)</f>
        <v>#N/A</v>
      </c>
      <c r="I43" t="e">
        <f ca="1">INDEX(H$65:INDIRECT("H"&amp;$C$61),$C43)</f>
        <v>#N/A</v>
      </c>
      <c r="J43" t="e">
        <f ca="1">INDEX(I$65:INDIRECT("I"&amp;$C$61),$C43)</f>
        <v>#N/A</v>
      </c>
      <c r="K43" s="7" t="e">
        <f ca="1">INDEX(J$65:INDIRECT("J"&amp;$C$61),$C43)</f>
        <v>#N/A</v>
      </c>
      <c r="L43" t="e">
        <f ca="1">INDEX(K$65:INDIRECT("K"&amp;$C$61),$C43)</f>
        <v>#N/A</v>
      </c>
      <c r="M43" t="e">
        <f ca="1">INDEX(L$65:INDIRECT("L"&amp;$C$61),$C43)</f>
        <v>#N/A</v>
      </c>
      <c r="N43" t="e">
        <f ca="1">INDEX(M$65:INDIRECT("M"&amp;$C$61),$C43)</f>
        <v>#N/A</v>
      </c>
      <c r="O43" s="23" t="e">
        <f ca="1">INDEX(N$65:INDIRECT("N"&amp;$C$61),$C43)</f>
        <v>#N/A</v>
      </c>
      <c r="P43" t="e">
        <f ca="1">INDEX(O$65:INDIRECT("O"&amp;$C$61),$C43)</f>
        <v>#N/A</v>
      </c>
      <c r="Q43" s="104"/>
      <c r="R43" s="73" t="s">
        <v>69</v>
      </c>
      <c r="S43" s="69" t="s">
        <v>35</v>
      </c>
      <c r="T43" s="73" t="e">
        <f t="array" aca="1" ref="T43" ca="1">MATCH(IF(ISBLANK($AE$11),LARGE(IF($E$65:INDIRECT("E"&amp;$C$61)=$AE$10,INDIRECT(AJ43&amp;65):INDIRECT(AJ43&amp;$C$61)),$AH43),IF(ISBLANK($AE$10),LARGE(IF($D$65:INDIRECT("D"&amp;$C$61)=$AE$11,INDIRECT(AJ43&amp;65):INDIRECT(AJ43&amp;$C$61)),$AH43),LARGE(IF(($E$65:INDIRECT("E"&amp;$C$61)=$AE$10)*($D$65:INDIRECT("D"&amp;$C$61)=$AE$11),INDIRECT(AJ43&amp;65):INDIRECT(AJ43&amp;$C$61)),$AH43))),INDIRECT(AJ43&amp;65):INDIRECT(AJ43&amp;$C$61),0)</f>
        <v>#NUM!</v>
      </c>
      <c r="U43" s="69" t="e">
        <f ca="1">INDEX(D$65:INDIRECT("D"&amp;$C$61),$T43)</f>
        <v>#NUM!</v>
      </c>
      <c r="V43" s="69" t="e">
        <f ca="1">INDEX(INDIRECT(("'MemberID'!$C$6:C"&amp;MemberID!$C$1)),MATCH(U43,INDIRECT(("'MemberID'!$G$6:G"&amp;MemberID!$C$1)),0))</f>
        <v>#NUM!</v>
      </c>
      <c r="W43" s="69" t="e">
        <f ca="1">INDEX(E$65:INDIRECT("E"&amp;$C$61),$T43)</f>
        <v>#NUM!</v>
      </c>
      <c r="X43" t="e">
        <f ca="1">INDEX(F$65:INDIRECT("F"&amp;$C$61),$T43)</f>
        <v>#NUM!</v>
      </c>
      <c r="Y43" t="e">
        <f ca="1">INDEX(G$65:INDIRECT("G"&amp;$C$61),$T43)</f>
        <v>#NUM!</v>
      </c>
      <c r="Z43" t="e">
        <f ca="1">INDEX(H$65:INDIRECT("H"&amp;$C$61),$T43)</f>
        <v>#NUM!</v>
      </c>
      <c r="AA43" t="e">
        <f ca="1">INDEX(I$65:INDIRECT("I"&amp;$C$61),$T43)</f>
        <v>#NUM!</v>
      </c>
      <c r="AB43" t="e">
        <f ca="1">INDEX(J$65:INDIRECT("J"&amp;$C$61),$T43)</f>
        <v>#NUM!</v>
      </c>
      <c r="AC43" t="e">
        <f ca="1">INDEX(K$65:INDIRECT("K"&amp;$C$61),$T43)</f>
        <v>#NUM!</v>
      </c>
      <c r="AD43" t="e">
        <f ca="1">INDEX(L$65:INDIRECT("L"&amp;$C$61),$T43)</f>
        <v>#NUM!</v>
      </c>
      <c r="AE43" t="e">
        <f ca="1">INDEX(M$65:INDIRECT("M"&amp;$C$61),$T43)</f>
        <v>#NUM!</v>
      </c>
      <c r="AF43" s="23" t="e">
        <f t="array" aca="1" ref="AF43" ca="1">IF(ISBLANK($AE$11),LARGE(IF($E$65:INDIRECT("E"&amp;$C$61)=$AE$10,N$65:INDIRECT(AF$13&amp;$C$61)),$AH43),IF(ISBLANK($AE$10),LARGE(IF($D$65:INDIRECT("D"&amp;$C$61)=$AE$11,N$65:INDIRECT(AF$13&amp;$C$61)),$AH43),LARGE(IF(($E$65:INDIRECT("E"&amp;$C$61)=$AE$10)*($D$65:INDIRECT("D"&amp;$C$61)=$AE$11),N$65:INDIRECT(AF$13&amp;$C$61)),$AH43)))</f>
        <v>#NUM!</v>
      </c>
      <c r="AG43" t="e">
        <f ca="1">INDEX(O$65:INDIRECT("O"&amp;$C$61),$T43)</f>
        <v>#NUM!</v>
      </c>
      <c r="AH43" s="69">
        <v>1</v>
      </c>
      <c r="AI43" s="69" t="s">
        <v>154</v>
      </c>
      <c r="AJ43" s="69" t="s">
        <v>196</v>
      </c>
    </row>
    <row r="44" spans="1:52" x14ac:dyDescent="0.25">
      <c r="A44" s="73" t="s">
        <v>70</v>
      </c>
      <c r="B44" s="69" t="s">
        <v>35</v>
      </c>
      <c r="C44" s="73" t="e">
        <f ca="1">V3</f>
        <v>#NUM!</v>
      </c>
      <c r="D44" s="69" t="e">
        <f ca="1">INDEX(D$65:INDIRECT("D"&amp;$C$61),$C44)</f>
        <v>#NUM!</v>
      </c>
      <c r="E44" s="69" t="e">
        <f ca="1">INDEX(INDIRECT(("'MemberID'!$C$6:C"&amp;MemberID!$C$1)),MATCH(D44,INDIRECT(("'MemberID'!$G$6:G"&amp;MemberID!$C$1)),0))</f>
        <v>#NUM!</v>
      </c>
      <c r="F44" s="69" t="e">
        <f ca="1">INDEX(E$65:INDIRECT("E"&amp;$C$61),$C44)</f>
        <v>#NUM!</v>
      </c>
      <c r="G44" t="e">
        <f ca="1">INDEX(F$65:INDIRECT("F"&amp;$C$61),$C44)</f>
        <v>#NUM!</v>
      </c>
      <c r="H44" t="e">
        <f ca="1">INDEX(G$65:INDIRECT("G"&amp;$C$61),$C44)</f>
        <v>#NUM!</v>
      </c>
      <c r="I44" t="e">
        <f ca="1">INDEX(H$65:INDIRECT("H"&amp;$C$61),$C44)</f>
        <v>#NUM!</v>
      </c>
      <c r="J44" t="e">
        <f ca="1">INDEX(I$65:INDIRECT("I"&amp;$C$61),$C44)</f>
        <v>#NUM!</v>
      </c>
      <c r="K44" s="7" t="e">
        <f ca="1">INDEX(J$65:INDIRECT("J"&amp;$C$61),$C44)</f>
        <v>#NUM!</v>
      </c>
      <c r="L44" t="e">
        <f ca="1">INDEX(K$65:INDIRECT("K"&amp;$C$61),$C44)</f>
        <v>#NUM!</v>
      </c>
      <c r="M44" t="e">
        <f ca="1">INDEX(L$65:INDIRECT("L"&amp;$C$61),$C44)</f>
        <v>#NUM!</v>
      </c>
      <c r="N44" t="e">
        <f ca="1">INDEX(M$65:INDIRECT("M"&amp;$C$61),$C44)</f>
        <v>#NUM!</v>
      </c>
      <c r="O44" s="23" t="e">
        <f ca="1">INDEX(N$65:INDIRECT("N"&amp;$C$61),$C44)</f>
        <v>#NUM!</v>
      </c>
      <c r="P44" t="e">
        <f ca="1">INDEX(O$65:INDIRECT("O"&amp;$C$61),$C44)</f>
        <v>#NUM!</v>
      </c>
      <c r="Q44" s="104"/>
      <c r="R44" s="73" t="s">
        <v>70</v>
      </c>
      <c r="S44" s="69" t="s">
        <v>35</v>
      </c>
      <c r="T44" s="73" t="e">
        <f t="array" aca="1" ref="T44" ca="1">MATCH(IF(ISBLANK($AE$11),LARGE(IF($E$65:INDIRECT("E"&amp;$C$61)=$AE$10,INDIRECT(AJ44&amp;65):INDIRECT(AJ44&amp;$C$61)),$AH44),IF(ISBLANK($AE$10),LARGE(IF($D$65:INDIRECT("D"&amp;$C$61)=$AE$11,INDIRECT(AJ44&amp;65):INDIRECT(AJ44&amp;$C$61)),$AH44),LARGE(IF(($E$65:INDIRECT("E"&amp;$C$61)=$AE$10)*($D$65:INDIRECT("D"&amp;$C$61)=$AE$11),INDIRECT(AJ44&amp;65):INDIRECT(AJ44&amp;$C$61)),$AH44))),INDIRECT(AJ44&amp;65):INDIRECT(AJ44&amp;$C$61),0)</f>
        <v>#NUM!</v>
      </c>
      <c r="U44" s="69" t="e">
        <f ca="1">INDEX(D$65:INDIRECT("D"&amp;$C$61),$T44)</f>
        <v>#NUM!</v>
      </c>
      <c r="V44" s="69" t="e">
        <f ca="1">INDEX(INDIRECT(("'MemberID'!$C$6:C"&amp;MemberID!$C$1)),MATCH(U44,INDIRECT(("'MemberID'!$G$6:G"&amp;MemberID!$C$1)),0))</f>
        <v>#NUM!</v>
      </c>
      <c r="W44" s="69" t="e">
        <f ca="1">INDEX(E$65:INDIRECT("E"&amp;$C$61),$T44)</f>
        <v>#NUM!</v>
      </c>
      <c r="X44" t="e">
        <f ca="1">INDEX(F$65:INDIRECT("F"&amp;$C$61),$T44)</f>
        <v>#NUM!</v>
      </c>
      <c r="Y44" t="e">
        <f ca="1">INDEX(G$65:INDIRECT("G"&amp;$C$61),$T44)</f>
        <v>#NUM!</v>
      </c>
      <c r="Z44" t="e">
        <f ca="1">INDEX(H$65:INDIRECT("H"&amp;$C$61),$T44)</f>
        <v>#NUM!</v>
      </c>
      <c r="AA44" t="e">
        <f ca="1">INDEX(I$65:INDIRECT("I"&amp;$C$61),$T44)</f>
        <v>#NUM!</v>
      </c>
      <c r="AB44" t="e">
        <f ca="1">INDEX(J$65:INDIRECT("J"&amp;$C$61),$T44)</f>
        <v>#NUM!</v>
      </c>
      <c r="AC44" t="e">
        <f ca="1">INDEX(K$65:INDIRECT("K"&amp;$C$61),$T44)</f>
        <v>#NUM!</v>
      </c>
      <c r="AD44" t="e">
        <f ca="1">INDEX(L$65:INDIRECT("L"&amp;$C$61),$T44)</f>
        <v>#NUM!</v>
      </c>
      <c r="AE44" t="e">
        <f ca="1">INDEX(M$65:INDIRECT("M"&amp;$C$61),$T44)</f>
        <v>#NUM!</v>
      </c>
      <c r="AF44" s="23" t="e">
        <f t="array" aca="1" ref="AF44" ca="1">IF(ISBLANK($AE$11),LARGE(IF($E$65:INDIRECT("E"&amp;$C$61)=$AE$10,N$65:INDIRECT(AF$13&amp;$C$61)),$AH44),IF(ISBLANK($AE$10),LARGE(IF($D$65:INDIRECT("D"&amp;$C$61)=$AE$11,N$65:INDIRECT(AF$13&amp;$C$61)),$AH44),LARGE(IF(($E$65:INDIRECT("E"&amp;$C$61)=$AE$10)*($D$65:INDIRECT("D"&amp;$C$61)=$AE$11),N$65:INDIRECT(AF$13&amp;$C$61)),$AH44)))</f>
        <v>#NUM!</v>
      </c>
      <c r="AG44" t="e">
        <f ca="1">INDEX(O$65:INDIRECT("O"&amp;$C$61),$T44)</f>
        <v>#NUM!</v>
      </c>
      <c r="AH44" s="69">
        <v>2</v>
      </c>
      <c r="AI44" s="69" t="str">
        <f>AI43</f>
        <v>N</v>
      </c>
      <c r="AJ44" s="69" t="str">
        <f>AJ43</f>
        <v>U</v>
      </c>
    </row>
    <row r="45" spans="1:52" x14ac:dyDescent="0.25">
      <c r="A45" s="73" t="s">
        <v>71</v>
      </c>
      <c r="B45" s="69" t="s">
        <v>35</v>
      </c>
      <c r="C45" s="73" t="e">
        <f ca="1">AD3</f>
        <v>#NUM!</v>
      </c>
      <c r="D45" s="69" t="e">
        <f ca="1">INDEX(D$65:INDIRECT("D"&amp;$C$61),$C45)</f>
        <v>#NUM!</v>
      </c>
      <c r="E45" s="69" t="e">
        <f ca="1">INDEX(INDIRECT(("'MemberID'!$C$6:C"&amp;MemberID!$C$1)),MATCH(D45,INDIRECT(("'MemberID'!$G$6:G"&amp;MemberID!$C$1)),0))</f>
        <v>#NUM!</v>
      </c>
      <c r="F45" s="69" t="e">
        <f ca="1">INDEX(E$65:INDIRECT("E"&amp;$C$61),$C45)</f>
        <v>#NUM!</v>
      </c>
      <c r="G45" t="e">
        <f ca="1">INDEX(F$65:INDIRECT("F"&amp;$C$61),$C45)</f>
        <v>#NUM!</v>
      </c>
      <c r="H45" t="e">
        <f ca="1">INDEX(G$65:INDIRECT("G"&amp;$C$61),$C45)</f>
        <v>#NUM!</v>
      </c>
      <c r="I45" t="e">
        <f ca="1">INDEX(H$65:INDIRECT("H"&amp;$C$61),$C45)</f>
        <v>#NUM!</v>
      </c>
      <c r="J45" t="e">
        <f ca="1">INDEX(I$65:INDIRECT("I"&amp;$C$61),$C45)</f>
        <v>#NUM!</v>
      </c>
      <c r="K45" s="7" t="e">
        <f ca="1">INDEX(J$65:INDIRECT("J"&amp;$C$61),$C45)</f>
        <v>#NUM!</v>
      </c>
      <c r="L45" t="e">
        <f ca="1">INDEX(K$65:INDIRECT("K"&amp;$C$61),$C45)</f>
        <v>#NUM!</v>
      </c>
      <c r="M45" t="e">
        <f ca="1">INDEX(L$65:INDIRECT("L"&amp;$C$61),$C45)</f>
        <v>#NUM!</v>
      </c>
      <c r="N45" t="e">
        <f ca="1">INDEX(M$65:INDIRECT("M"&amp;$C$61),$C45)</f>
        <v>#NUM!</v>
      </c>
      <c r="O45" s="23" t="e">
        <f ca="1">INDEX(N$65:INDIRECT("N"&amp;$C$61),$C45)</f>
        <v>#NUM!</v>
      </c>
      <c r="P45" t="e">
        <f ca="1">INDEX(O$65:INDIRECT("O"&amp;$C$61),$C45)</f>
        <v>#NUM!</v>
      </c>
      <c r="Q45" s="104"/>
      <c r="R45" s="73" t="s">
        <v>71</v>
      </c>
      <c r="S45" s="69" t="s">
        <v>35</v>
      </c>
      <c r="T45" s="73" t="e">
        <f t="array" aca="1" ref="T45" ca="1">MATCH(IF(ISBLANK($AE$11),LARGE(IF($E$65:INDIRECT("E"&amp;$C$61)=$AE$10,INDIRECT(AJ45&amp;65):INDIRECT(AJ45&amp;$C$61)),$AH45),IF(ISBLANK($AE$10),LARGE(IF($D$65:INDIRECT("D"&amp;$C$61)=$AE$11,INDIRECT(AJ45&amp;65):INDIRECT(AJ45&amp;$C$61)),$AH45),LARGE(IF(($E$65:INDIRECT("E"&amp;$C$61)=$AE$10)*($D$65:INDIRECT("D"&amp;$C$61)=$AE$11),INDIRECT(AJ45&amp;65):INDIRECT(AJ45&amp;$C$61)),$AH45))),INDIRECT(AJ45&amp;65):INDIRECT(AJ45&amp;$C$61),0)</f>
        <v>#NUM!</v>
      </c>
      <c r="U45" s="69" t="e">
        <f ca="1">INDEX(D$65:INDIRECT("D"&amp;$C$61),$T45)</f>
        <v>#NUM!</v>
      </c>
      <c r="V45" s="69" t="e">
        <f ca="1">INDEX(INDIRECT(("'MemberID'!$C$6:C"&amp;MemberID!$C$1)),MATCH(U45,INDIRECT(("'MemberID'!$G$6:G"&amp;MemberID!$C$1)),0))</f>
        <v>#NUM!</v>
      </c>
      <c r="W45" s="69" t="e">
        <f ca="1">INDEX(E$65:INDIRECT("E"&amp;$C$61),$T45)</f>
        <v>#NUM!</v>
      </c>
      <c r="X45" t="e">
        <f ca="1">INDEX(F$65:INDIRECT("F"&amp;$C$61),$T45)</f>
        <v>#NUM!</v>
      </c>
      <c r="Y45" t="e">
        <f ca="1">INDEX(G$65:INDIRECT("G"&amp;$C$61),$T45)</f>
        <v>#NUM!</v>
      </c>
      <c r="Z45" t="e">
        <f ca="1">INDEX(H$65:INDIRECT("H"&amp;$C$61),$T45)</f>
        <v>#NUM!</v>
      </c>
      <c r="AA45" t="e">
        <f ca="1">INDEX(I$65:INDIRECT("I"&amp;$C$61),$T45)</f>
        <v>#NUM!</v>
      </c>
      <c r="AB45" t="e">
        <f ca="1">INDEX(J$65:INDIRECT("J"&amp;$C$61),$T45)</f>
        <v>#NUM!</v>
      </c>
      <c r="AC45" t="e">
        <f ca="1">INDEX(K$65:INDIRECT("K"&amp;$C$61),$T45)</f>
        <v>#NUM!</v>
      </c>
      <c r="AD45" t="e">
        <f ca="1">INDEX(L$65:INDIRECT("L"&amp;$C$61),$T45)</f>
        <v>#NUM!</v>
      </c>
      <c r="AE45" t="e">
        <f ca="1">INDEX(M$65:INDIRECT("M"&amp;$C$61),$T45)</f>
        <v>#NUM!</v>
      </c>
      <c r="AF45" s="23" t="e">
        <f t="array" aca="1" ref="AF45" ca="1">IF(ISBLANK($AE$11),LARGE(IF($E$65:INDIRECT("E"&amp;$C$61)=$AE$10,N$65:INDIRECT(AF$13&amp;$C$61)),$AH45),IF(ISBLANK($AE$10),LARGE(IF($D$65:INDIRECT("D"&amp;$C$61)=$AE$11,N$65:INDIRECT(AF$13&amp;$C$61)),$AH45),LARGE(IF(($E$65:INDIRECT("E"&amp;$C$61)=$AE$10)*($D$65:INDIRECT("D"&amp;$C$61)=$AE$11),N$65:INDIRECT(AF$13&amp;$C$61)),$AH45)))</f>
        <v>#NUM!</v>
      </c>
      <c r="AG45" t="e">
        <f ca="1">INDEX(O$65:INDIRECT("O"&amp;$C$61),$T45)</f>
        <v>#NUM!</v>
      </c>
      <c r="AH45" s="69">
        <v>3</v>
      </c>
      <c r="AI45" s="69" t="str">
        <f t="shared" ref="AI45:AJ48" si="4">AI44</f>
        <v>N</v>
      </c>
      <c r="AJ45" s="69" t="str">
        <f t="shared" si="4"/>
        <v>U</v>
      </c>
    </row>
    <row r="46" spans="1:52" x14ac:dyDescent="0.25">
      <c r="A46" s="74" t="s">
        <v>72</v>
      </c>
      <c r="B46" s="69" t="s">
        <v>35</v>
      </c>
      <c r="C46" s="74" t="e">
        <f ca="1">N6</f>
        <v>#N/A</v>
      </c>
      <c r="D46" s="69" t="e">
        <f ca="1">INDEX(D$65:INDIRECT("D"&amp;$C$61),$C46)</f>
        <v>#N/A</v>
      </c>
      <c r="E46" s="69" t="e">
        <f ca="1">INDEX(INDIRECT(("'MemberID'!$C$6:C"&amp;MemberID!$C$1)),MATCH(D46,INDIRECT(("'MemberID'!$G$6:G"&amp;MemberID!$C$1)),0))</f>
        <v>#N/A</v>
      </c>
      <c r="F46" s="69" t="e">
        <f ca="1">INDEX(E$65:INDIRECT("E"&amp;$C$61),$C46)</f>
        <v>#N/A</v>
      </c>
      <c r="G46" t="e">
        <f ca="1">INDEX(F$65:INDIRECT("F"&amp;$C$61),$C46)</f>
        <v>#N/A</v>
      </c>
      <c r="H46" t="e">
        <f ca="1">INDEX(G$65:INDIRECT("G"&amp;$C$61),$C46)</f>
        <v>#N/A</v>
      </c>
      <c r="I46" t="e">
        <f ca="1">INDEX(H$65:INDIRECT("H"&amp;$C$61),$C46)</f>
        <v>#N/A</v>
      </c>
      <c r="J46" t="e">
        <f ca="1">INDEX(I$65:INDIRECT("I"&amp;$C$61),$C46)</f>
        <v>#N/A</v>
      </c>
      <c r="K46" s="7" t="e">
        <f ca="1">INDEX(J$65:INDIRECT("J"&amp;$C$61),$C46)</f>
        <v>#N/A</v>
      </c>
      <c r="L46" t="e">
        <f ca="1">INDEX(K$65:INDIRECT("K"&amp;$C$61),$C46)</f>
        <v>#N/A</v>
      </c>
      <c r="M46" t="e">
        <f ca="1">INDEX(L$65:INDIRECT("L"&amp;$C$61),$C46)</f>
        <v>#N/A</v>
      </c>
      <c r="N46" t="e">
        <f ca="1">INDEX(M$65:INDIRECT("M"&amp;$C$61),$C46)</f>
        <v>#N/A</v>
      </c>
      <c r="O46" s="23" t="e">
        <f ca="1">INDEX(N$65:INDIRECT("N"&amp;$C$61),$C46)</f>
        <v>#N/A</v>
      </c>
      <c r="P46" t="e">
        <f ca="1">INDEX(O$65:INDIRECT("O"&amp;$C$61),$C46)</f>
        <v>#N/A</v>
      </c>
      <c r="Q46" s="104"/>
      <c r="R46" s="74" t="s">
        <v>72</v>
      </c>
      <c r="S46" s="69" t="s">
        <v>35</v>
      </c>
      <c r="T46" s="74" t="e">
        <f t="array" aca="1" ref="T46" ca="1">MATCH(IF(ISBLANK($AE$11),SMALL(IF($E$65:INDIRECT("E"&amp;$C$61)=$AE$10,INDIRECT(AJ46&amp;65):INDIRECT(AJ46&amp;$C$61)),$AH46),IF(ISBLANK($AE$10),SMALL(IF($D$65:INDIRECT("D"&amp;$C$61)=$AE$11,INDIRECT(AJ46&amp;65):INDIRECT(AJ46&amp;$C$61)),$AH46),SMALL(IF(($E$65:INDIRECT("E"&amp;$C$61)=$AE$10)*($D$65:INDIRECT("D"&amp;$C$61)=$AE$11),INDIRECT(AJ46&amp;65):INDIRECT(AJ46&amp;$C$61)),$AH46))),INDIRECT(AJ46&amp;65):INDIRECT(AJ46&amp;$C$61),0)</f>
        <v>#NUM!</v>
      </c>
      <c r="U46" s="69" t="e">
        <f ca="1">INDEX(D$65:INDIRECT("D"&amp;$C$61),$T46)</f>
        <v>#NUM!</v>
      </c>
      <c r="V46" s="69" t="e">
        <f ca="1">INDEX(INDIRECT(("'MemberID'!$C$6:C"&amp;MemberID!$C$1)),MATCH(U46,INDIRECT(("'MemberID'!$G$6:G"&amp;MemberID!$C$1)),0))</f>
        <v>#NUM!</v>
      </c>
      <c r="W46" s="69" t="e">
        <f ca="1">INDEX(E$65:INDIRECT("E"&amp;$C$61),$T46)</f>
        <v>#NUM!</v>
      </c>
      <c r="X46" t="e">
        <f ca="1">INDEX(F$65:INDIRECT("F"&amp;$C$61),$T46)</f>
        <v>#NUM!</v>
      </c>
      <c r="Y46" t="e">
        <f ca="1">INDEX(G$65:INDIRECT("G"&amp;$C$61),$T46)</f>
        <v>#NUM!</v>
      </c>
      <c r="Z46" t="e">
        <f ca="1">INDEX(H$65:INDIRECT("H"&amp;$C$61),$T46)</f>
        <v>#NUM!</v>
      </c>
      <c r="AA46" t="e">
        <f ca="1">INDEX(I$65:INDIRECT("I"&amp;$C$61),$T46)</f>
        <v>#NUM!</v>
      </c>
      <c r="AB46" t="e">
        <f ca="1">INDEX(J$65:INDIRECT("J"&amp;$C$61),$T46)</f>
        <v>#NUM!</v>
      </c>
      <c r="AC46" t="e">
        <f ca="1">INDEX(K$65:INDIRECT("K"&amp;$C$61),$T46)</f>
        <v>#NUM!</v>
      </c>
      <c r="AD46" t="e">
        <f ca="1">INDEX(L$65:INDIRECT("L"&amp;$C$61),$T46)</f>
        <v>#NUM!</v>
      </c>
      <c r="AE46" t="e">
        <f ca="1">INDEX(M$65:INDIRECT("M"&amp;$C$61),$T46)</f>
        <v>#NUM!</v>
      </c>
      <c r="AF46" s="23" t="e">
        <f t="array" aca="1" ref="AF46" ca="1">IF(ISBLANK($AE$11),SMALL(IF($E$65:INDIRECT("E"&amp;$C$61)=$AE$10,N$65:INDIRECT(AF$13&amp;$C$61)),$AH46),IF(ISBLANK($AE$10),SMALL(IF($D$65:INDIRECT("D"&amp;$C$61)=$AE$11,N$65:INDIRECT(AF$13&amp;$C$61)),$AH46),SMALL(IF(($E$65:INDIRECT("E"&amp;$C$61)=$AE$10)*($D$65:INDIRECT("D"&amp;$C$61)=$AE$11),N$65:INDIRECT(AF$13&amp;$C$61)),$AH46)))</f>
        <v>#NUM!</v>
      </c>
      <c r="AG46" t="e">
        <f ca="1">INDEX(O$65:INDIRECT("O"&amp;$C$61),$T46)</f>
        <v>#NUM!</v>
      </c>
      <c r="AH46" s="69">
        <v>1</v>
      </c>
      <c r="AI46" s="69" t="str">
        <f t="shared" si="4"/>
        <v>N</v>
      </c>
      <c r="AJ46" s="69" t="str">
        <f t="shared" si="4"/>
        <v>U</v>
      </c>
    </row>
    <row r="47" spans="1:52" x14ac:dyDescent="0.25">
      <c r="A47" s="74" t="s">
        <v>73</v>
      </c>
      <c r="B47" s="69" t="s">
        <v>35</v>
      </c>
      <c r="C47" s="74" t="e">
        <f ca="1">V6</f>
        <v>#NUM!</v>
      </c>
      <c r="D47" s="69" t="e">
        <f ca="1">INDEX(D$65:INDIRECT("D"&amp;$C$61),$C47)</f>
        <v>#NUM!</v>
      </c>
      <c r="E47" s="69" t="e">
        <f ca="1">INDEX(INDIRECT(("'MemberID'!$C$6:C"&amp;MemberID!$C$1)),MATCH(D47,INDIRECT(("'MemberID'!$G$6:G"&amp;MemberID!$C$1)),0))</f>
        <v>#NUM!</v>
      </c>
      <c r="F47" s="69" t="e">
        <f ca="1">INDEX(E$65:INDIRECT("E"&amp;$C$61),$C47)</f>
        <v>#NUM!</v>
      </c>
      <c r="G47" t="e">
        <f ca="1">INDEX(F$65:INDIRECT("F"&amp;$C$61),$C47)</f>
        <v>#NUM!</v>
      </c>
      <c r="H47" t="e">
        <f ca="1">INDEX(G$65:INDIRECT("G"&amp;$C$61),$C47)</f>
        <v>#NUM!</v>
      </c>
      <c r="I47" t="e">
        <f ca="1">INDEX(H$65:INDIRECT("H"&amp;$C$61),$C47)</f>
        <v>#NUM!</v>
      </c>
      <c r="J47" t="e">
        <f ca="1">INDEX(I$65:INDIRECT("I"&amp;$C$61),$C47)</f>
        <v>#NUM!</v>
      </c>
      <c r="K47" s="7" t="e">
        <f ca="1">INDEX(J$65:INDIRECT("J"&amp;$C$61),$C47)</f>
        <v>#NUM!</v>
      </c>
      <c r="L47" t="e">
        <f ca="1">INDEX(K$65:INDIRECT("K"&amp;$C$61),$C47)</f>
        <v>#NUM!</v>
      </c>
      <c r="M47" t="e">
        <f ca="1">INDEX(L$65:INDIRECT("L"&amp;$C$61),$C47)</f>
        <v>#NUM!</v>
      </c>
      <c r="N47" t="e">
        <f ca="1">INDEX(M$65:INDIRECT("M"&amp;$C$61),$C47)</f>
        <v>#NUM!</v>
      </c>
      <c r="O47" s="23" t="e">
        <f ca="1">INDEX(N$65:INDIRECT("N"&amp;$C$61),$C47)</f>
        <v>#NUM!</v>
      </c>
      <c r="P47" t="e">
        <f ca="1">INDEX(O$65:INDIRECT("O"&amp;$C$61),$C47)</f>
        <v>#NUM!</v>
      </c>
      <c r="Q47" s="104"/>
      <c r="R47" s="74" t="s">
        <v>73</v>
      </c>
      <c r="S47" s="69" t="s">
        <v>35</v>
      </c>
      <c r="T47" s="74" t="e">
        <f t="array" aca="1" ref="T47" ca="1">MATCH(IF(ISBLANK($AE$11),SMALL(IF($E$65:INDIRECT("E"&amp;$C$61)=$AE$10,INDIRECT(AJ47&amp;65):INDIRECT(AJ47&amp;$C$61)),$AH47),IF(ISBLANK($AE$10),SMALL(IF($D$65:INDIRECT("D"&amp;$C$61)=$AE$11,INDIRECT(AJ47&amp;65):INDIRECT(AJ47&amp;$C$61)),$AH47),SMALL(IF(($E$65:INDIRECT("E"&amp;$C$61)=$AE$10)*($D$65:INDIRECT("D"&amp;$C$61)=$AE$11),INDIRECT(AJ47&amp;65):INDIRECT(AJ47&amp;$C$61)),$AH47))),INDIRECT(AJ47&amp;65):INDIRECT(AJ47&amp;$C$61),0)</f>
        <v>#NUM!</v>
      </c>
      <c r="U47" s="69" t="e">
        <f ca="1">INDEX(D$65:INDIRECT("D"&amp;$C$61),$T47)</f>
        <v>#NUM!</v>
      </c>
      <c r="V47" s="69" t="e">
        <f ca="1">INDEX(INDIRECT(("'MemberID'!$C$6:C"&amp;MemberID!$C$1)),MATCH(U47,INDIRECT(("'MemberID'!$G$6:G"&amp;MemberID!$C$1)),0))</f>
        <v>#NUM!</v>
      </c>
      <c r="W47" s="69" t="e">
        <f ca="1">INDEX(E$65:INDIRECT("E"&amp;$C$61),$T47)</f>
        <v>#NUM!</v>
      </c>
      <c r="X47" t="e">
        <f ca="1">INDEX(F$65:INDIRECT("F"&amp;$C$61),$T47)</f>
        <v>#NUM!</v>
      </c>
      <c r="Y47" t="e">
        <f ca="1">INDEX(G$65:INDIRECT("G"&amp;$C$61),$T47)</f>
        <v>#NUM!</v>
      </c>
      <c r="Z47" t="e">
        <f ca="1">INDEX(H$65:INDIRECT("H"&amp;$C$61),$T47)</f>
        <v>#NUM!</v>
      </c>
      <c r="AA47" t="e">
        <f ca="1">INDEX(I$65:INDIRECT("I"&amp;$C$61),$T47)</f>
        <v>#NUM!</v>
      </c>
      <c r="AB47" t="e">
        <f ca="1">INDEX(J$65:INDIRECT("J"&amp;$C$61),$T47)</f>
        <v>#NUM!</v>
      </c>
      <c r="AC47" t="e">
        <f ca="1">INDEX(K$65:INDIRECT("K"&amp;$C$61),$T47)</f>
        <v>#NUM!</v>
      </c>
      <c r="AD47" t="e">
        <f ca="1">INDEX(L$65:INDIRECT("L"&amp;$C$61),$T47)</f>
        <v>#NUM!</v>
      </c>
      <c r="AE47" t="e">
        <f ca="1">INDEX(M$65:INDIRECT("M"&amp;$C$61),$T47)</f>
        <v>#NUM!</v>
      </c>
      <c r="AF47" s="23" t="e">
        <f t="array" aca="1" ref="AF47" ca="1">IF(ISBLANK($AE$11),SMALL(IF($E$65:INDIRECT("E"&amp;$C$61)=$AE$10,N$65:INDIRECT(AF$13&amp;$C$61)),$AH47),IF(ISBLANK($AE$10),SMALL(IF($D$65:INDIRECT("D"&amp;$C$61)=$AE$11,N$65:INDIRECT(AF$13&amp;$C$61)),$AH47),SMALL(IF(($E$65:INDIRECT("E"&amp;$C$61)=$AE$10)*($D$65:INDIRECT("D"&amp;$C$61)=$AE$11),N$65:INDIRECT(AF$13&amp;$C$61)),$AH47)))</f>
        <v>#NUM!</v>
      </c>
      <c r="AG47" t="e">
        <f ca="1">INDEX(O$65:INDIRECT("O"&amp;$C$61),$T47)</f>
        <v>#NUM!</v>
      </c>
      <c r="AH47" s="69">
        <v>2</v>
      </c>
      <c r="AI47" s="69" t="str">
        <f t="shared" si="4"/>
        <v>N</v>
      </c>
      <c r="AJ47" s="69" t="str">
        <f t="shared" si="4"/>
        <v>U</v>
      </c>
    </row>
    <row r="48" spans="1:52" x14ac:dyDescent="0.25">
      <c r="A48" s="74" t="s">
        <v>74</v>
      </c>
      <c r="B48" s="69" t="s">
        <v>35</v>
      </c>
      <c r="C48" s="74" t="e">
        <f ca="1">AD6</f>
        <v>#NUM!</v>
      </c>
      <c r="D48" s="69" t="e">
        <f ca="1">INDEX(D$65:INDIRECT("D"&amp;$C$61),$C48)</f>
        <v>#NUM!</v>
      </c>
      <c r="E48" s="69" t="e">
        <f ca="1">INDEX(INDIRECT(("'MemberID'!$C$6:C"&amp;MemberID!$C$1)),MATCH(D48,INDIRECT(("'MemberID'!$G$6:G"&amp;MemberID!$C$1)),0))</f>
        <v>#NUM!</v>
      </c>
      <c r="F48" s="69" t="e">
        <f ca="1">INDEX(E$65:INDIRECT("E"&amp;$C$61),$C48)</f>
        <v>#NUM!</v>
      </c>
      <c r="G48" t="e">
        <f ca="1">INDEX(F$65:INDIRECT("F"&amp;$C$61),$C48)</f>
        <v>#NUM!</v>
      </c>
      <c r="H48" t="e">
        <f ca="1">INDEX(G$65:INDIRECT("G"&amp;$C$61),$C48)</f>
        <v>#NUM!</v>
      </c>
      <c r="I48" t="e">
        <f ca="1">INDEX(H$65:INDIRECT("H"&amp;$C$61),$C48)</f>
        <v>#NUM!</v>
      </c>
      <c r="J48" t="e">
        <f ca="1">INDEX(I$65:INDIRECT("I"&amp;$C$61),$C48)</f>
        <v>#NUM!</v>
      </c>
      <c r="K48" s="7" t="e">
        <f ca="1">INDEX(J$65:INDIRECT("J"&amp;$C$61),$C48)</f>
        <v>#NUM!</v>
      </c>
      <c r="L48" t="e">
        <f ca="1">INDEX(K$65:INDIRECT("K"&amp;$C$61),$C48)</f>
        <v>#NUM!</v>
      </c>
      <c r="M48" t="e">
        <f ca="1">INDEX(L$65:INDIRECT("L"&amp;$C$61),$C48)</f>
        <v>#NUM!</v>
      </c>
      <c r="N48" t="e">
        <f ca="1">INDEX(M$65:INDIRECT("M"&amp;$C$61),$C48)</f>
        <v>#NUM!</v>
      </c>
      <c r="O48" s="23" t="e">
        <f ca="1">INDEX(N$65:INDIRECT("N"&amp;$C$61),$C48)</f>
        <v>#NUM!</v>
      </c>
      <c r="P48" t="e">
        <f ca="1">INDEX(O$65:INDIRECT("O"&amp;$C$61),$C48)</f>
        <v>#NUM!</v>
      </c>
      <c r="Q48" s="104"/>
      <c r="R48" s="74" t="s">
        <v>74</v>
      </c>
      <c r="S48" s="69" t="s">
        <v>35</v>
      </c>
      <c r="T48" s="74" t="e">
        <f t="array" aca="1" ref="T48" ca="1">MATCH(IF(ISBLANK($AE$11),SMALL(IF($E$65:INDIRECT("E"&amp;$C$61)=$AE$10,INDIRECT(AJ48&amp;65):INDIRECT(AJ48&amp;$C$61)),$AH48),IF(ISBLANK($AE$10),SMALL(IF($D$65:INDIRECT("D"&amp;$C$61)=$AE$11,INDIRECT(AJ48&amp;65):INDIRECT(AJ48&amp;$C$61)),$AH48),SMALL(IF(($E$65:INDIRECT("E"&amp;$C$61)=$AE$10)*($D$65:INDIRECT("D"&amp;$C$61)=$AE$11),INDIRECT(AJ48&amp;65):INDIRECT(AJ48&amp;$C$61)),$AH48))),INDIRECT(AJ48&amp;65):INDIRECT(AJ48&amp;$C$61),0)</f>
        <v>#NUM!</v>
      </c>
      <c r="U48" s="69" t="e">
        <f ca="1">INDEX(D$65:INDIRECT("D"&amp;$C$61),$T48)</f>
        <v>#NUM!</v>
      </c>
      <c r="V48" s="69" t="e">
        <f ca="1">INDEX(INDIRECT(("'MemberID'!$C$6:C"&amp;MemberID!$C$1)),MATCH(U48,INDIRECT(("'MemberID'!$G$6:G"&amp;MemberID!$C$1)),0))</f>
        <v>#NUM!</v>
      </c>
      <c r="W48" s="69" t="e">
        <f ca="1">INDEX(E$65:INDIRECT("E"&amp;$C$61),$T48)</f>
        <v>#NUM!</v>
      </c>
      <c r="X48" t="e">
        <f ca="1">INDEX(F$65:INDIRECT("F"&amp;$C$61),$T48)</f>
        <v>#NUM!</v>
      </c>
      <c r="Y48" t="e">
        <f ca="1">INDEX(G$65:INDIRECT("G"&amp;$C$61),$T48)</f>
        <v>#NUM!</v>
      </c>
      <c r="Z48" t="e">
        <f ca="1">INDEX(H$65:INDIRECT("H"&amp;$C$61),$T48)</f>
        <v>#NUM!</v>
      </c>
      <c r="AA48" t="e">
        <f ca="1">INDEX(I$65:INDIRECT("I"&amp;$C$61),$T48)</f>
        <v>#NUM!</v>
      </c>
      <c r="AB48" t="e">
        <f ca="1">INDEX(J$65:INDIRECT("J"&amp;$C$61),$T48)</f>
        <v>#NUM!</v>
      </c>
      <c r="AC48" t="e">
        <f ca="1">INDEX(K$65:INDIRECT("K"&amp;$C$61),$T48)</f>
        <v>#NUM!</v>
      </c>
      <c r="AD48" t="e">
        <f ca="1">INDEX(L$65:INDIRECT("L"&amp;$C$61),$T48)</f>
        <v>#NUM!</v>
      </c>
      <c r="AE48" t="e">
        <f ca="1">INDEX(M$65:INDIRECT("M"&amp;$C$61),$T48)</f>
        <v>#NUM!</v>
      </c>
      <c r="AF48" s="23" t="e">
        <f t="array" aca="1" ref="AF48" ca="1">IF(ISBLANK($AE$11),SMALL(IF($E$65:INDIRECT("E"&amp;$C$61)=$AE$10,N$65:INDIRECT(AF$13&amp;$C$61)),$AH48),IF(ISBLANK($AE$10),SMALL(IF($D$65:INDIRECT("D"&amp;$C$61)=$AE$11,N$65:INDIRECT(AF$13&amp;$C$61)),$AH48),SMALL(IF(($E$65:INDIRECT("E"&amp;$C$61)=$AE$10)*($D$65:INDIRECT("D"&amp;$C$61)=$AE$11),N$65:INDIRECT(AF$13&amp;$C$61)),$AH48)))</f>
        <v>#NUM!</v>
      </c>
      <c r="AG48" t="e">
        <f ca="1">INDEX(O$65:INDIRECT("O"&amp;$C$61),$T48)</f>
        <v>#NUM!</v>
      </c>
      <c r="AH48" s="69">
        <v>3</v>
      </c>
      <c r="AI48" s="69" t="str">
        <f t="shared" si="4"/>
        <v>N</v>
      </c>
      <c r="AJ48" s="69" t="str">
        <f t="shared" si="4"/>
        <v>U</v>
      </c>
    </row>
    <row r="49" spans="1:49" x14ac:dyDescent="0.25">
      <c r="B49" s="69"/>
      <c r="C49" s="69"/>
      <c r="D49" s="69"/>
      <c r="E49" s="69"/>
      <c r="F49" s="69"/>
      <c r="K49" s="7"/>
      <c r="Q49" s="104"/>
      <c r="S49" s="69"/>
      <c r="T49" s="69"/>
      <c r="V49" s="69"/>
      <c r="W49" s="69"/>
      <c r="AH49" s="69"/>
      <c r="AI49" s="69"/>
      <c r="AJ49" s="69"/>
    </row>
    <row r="50" spans="1:49" x14ac:dyDescent="0.25">
      <c r="A50" s="73" t="s">
        <v>69</v>
      </c>
      <c r="B50" s="69" t="s">
        <v>36</v>
      </c>
      <c r="C50" s="73" t="e">
        <f ca="1">O3</f>
        <v>#N/A</v>
      </c>
      <c r="D50" s="69" t="e">
        <f ca="1">INDEX(D$65:INDIRECT("D"&amp;$C$61),$C50)</f>
        <v>#N/A</v>
      </c>
      <c r="E50" s="69" t="e">
        <f ca="1">INDEX(INDIRECT(("'MemberID'!$C$6:C"&amp;MemberID!$C$1)),MATCH(D50,INDIRECT(("'MemberID'!$G$6:G"&amp;MemberID!$C$1)),0))</f>
        <v>#N/A</v>
      </c>
      <c r="F50" s="69" t="e">
        <f ca="1">INDEX(E$65:INDIRECT("E"&amp;$C$61),$C50)</f>
        <v>#N/A</v>
      </c>
      <c r="G50" t="e">
        <f ca="1">INDEX(F$65:INDIRECT("F"&amp;$C$61),$C50)</f>
        <v>#N/A</v>
      </c>
      <c r="H50" t="e">
        <f ca="1">INDEX(G$65:INDIRECT("G"&amp;$C$61),$C50)</f>
        <v>#N/A</v>
      </c>
      <c r="I50" t="e">
        <f ca="1">INDEX(H$65:INDIRECT("H"&amp;$C$61),$C50)</f>
        <v>#N/A</v>
      </c>
      <c r="J50" t="e">
        <f ca="1">INDEX(I$65:INDIRECT("I"&amp;$C$61),$C50)</f>
        <v>#N/A</v>
      </c>
      <c r="K50" s="7" t="e">
        <f ca="1">INDEX(J$65:INDIRECT("J"&amp;$C$61),$C50)</f>
        <v>#N/A</v>
      </c>
      <c r="L50" t="e">
        <f ca="1">INDEX(K$65:INDIRECT("K"&amp;$C$61),$C50)</f>
        <v>#N/A</v>
      </c>
      <c r="M50" t="e">
        <f ca="1">INDEX(L$65:INDIRECT("L"&amp;$C$61),$C50)</f>
        <v>#N/A</v>
      </c>
      <c r="N50" t="e">
        <f ca="1">INDEX(M$65:INDIRECT("M"&amp;$C$61),$C50)</f>
        <v>#N/A</v>
      </c>
      <c r="O50" t="e">
        <f ca="1">INDEX(N$65:INDIRECT("N"&amp;$C$61),$C50)</f>
        <v>#N/A</v>
      </c>
      <c r="P50" s="23" t="e">
        <f ca="1">INDEX(O$65:INDIRECT("O"&amp;$C$61),$C50)</f>
        <v>#N/A</v>
      </c>
      <c r="Q50" s="104"/>
      <c r="R50" s="73" t="s">
        <v>69</v>
      </c>
      <c r="S50" s="69" t="s">
        <v>36</v>
      </c>
      <c r="T50" s="73" t="e">
        <f t="array" aca="1" ref="T50" ca="1">MATCH(IF(ISBLANK($AE$11),LARGE(IF($E$65:INDIRECT("E"&amp;$C$61)=$AE$10,INDIRECT(AJ50&amp;65):INDIRECT(AJ50&amp;$C$61)),$AH50),IF(ISBLANK($AE$10),LARGE(IF($D$65:INDIRECT("D"&amp;$C$61)=$AE$11,INDIRECT(AJ50&amp;65):INDIRECT(AJ50&amp;$C$61)),$AH50),LARGE(IF(($E$65:INDIRECT("E"&amp;$C$61)=$AE$10)*($D$65:INDIRECT("D"&amp;$C$61)=$AE$11),INDIRECT(AJ50&amp;65):INDIRECT(AJ50&amp;$C$61)),$AH50))),INDIRECT(AJ50&amp;65):INDIRECT(AJ50&amp;$C$61),0)</f>
        <v>#NUM!</v>
      </c>
      <c r="U50" s="69" t="e">
        <f ca="1">INDEX(D$65:INDIRECT("D"&amp;$C$61),$T50)</f>
        <v>#NUM!</v>
      </c>
      <c r="V50" s="69" t="e">
        <f ca="1">INDEX(INDIRECT(("'MemberID'!$C$6:C"&amp;MemberID!$C$1)),MATCH(U50,INDIRECT(("'MemberID'!$G$6:G"&amp;MemberID!$C$1)),0))</f>
        <v>#NUM!</v>
      </c>
      <c r="W50" s="69" t="e">
        <f ca="1">INDEX(E$65:INDIRECT("E"&amp;$C$61),$T50)</f>
        <v>#NUM!</v>
      </c>
      <c r="X50" t="e">
        <f ca="1">INDEX(F$65:INDIRECT("F"&amp;$C$61),$T50)</f>
        <v>#NUM!</v>
      </c>
      <c r="Y50" t="e">
        <f ca="1">INDEX(G$65:INDIRECT("G"&amp;$C$61),$T50)</f>
        <v>#NUM!</v>
      </c>
      <c r="Z50" t="e">
        <f ca="1">INDEX(H$65:INDIRECT("H"&amp;$C$61),$T50)</f>
        <v>#NUM!</v>
      </c>
      <c r="AA50" t="e">
        <f ca="1">INDEX(I$65:INDIRECT("I"&amp;$C$61),$T50)</f>
        <v>#NUM!</v>
      </c>
      <c r="AB50" t="e">
        <f ca="1">INDEX(J$65:INDIRECT("J"&amp;$C$61),$T50)</f>
        <v>#NUM!</v>
      </c>
      <c r="AC50" t="e">
        <f ca="1">INDEX(K$65:INDIRECT("K"&amp;$C$61),$T50)</f>
        <v>#NUM!</v>
      </c>
      <c r="AD50" t="e">
        <f ca="1">INDEX(L$65:INDIRECT("L"&amp;$C$61),$T50)</f>
        <v>#NUM!</v>
      </c>
      <c r="AE50" t="e">
        <f ca="1">INDEX(M$65:INDIRECT("M"&amp;$C$61),$T50)</f>
        <v>#NUM!</v>
      </c>
      <c r="AF50" t="e">
        <f ca="1">INDEX(N$65:INDIRECT("N"&amp;$C$61),$T50)</f>
        <v>#NUM!</v>
      </c>
      <c r="AG50" s="23" t="e">
        <f t="array" aca="1" ref="AG50" ca="1">IF(ISBLANK($AE$11),LARGE(IF($E$65:INDIRECT("E"&amp;$C$61)=$AE$10,O$65:INDIRECT(AG$13&amp;$C$61)),$AH50),IF(ISBLANK($AE$10),LARGE(IF($D$65:INDIRECT("D"&amp;$C$61)=$AE$11,O$65:INDIRECT(AG$13&amp;$C$61)),$AH50),LARGE(IF(($E$65:INDIRECT("E"&amp;$C$61)=$AE$10)*($D$65:INDIRECT("D"&amp;$C$61)=$AE$11),O$65:INDIRECT(AG$13&amp;$C$61)),$AH50)))</f>
        <v>#NUM!</v>
      </c>
      <c r="AH50" s="69">
        <v>1</v>
      </c>
      <c r="AI50" s="69" t="s">
        <v>155</v>
      </c>
      <c r="AJ50" s="69" t="s">
        <v>197</v>
      </c>
    </row>
    <row r="51" spans="1:49" x14ac:dyDescent="0.25">
      <c r="A51" s="73" t="s">
        <v>70</v>
      </c>
      <c r="B51" s="69" t="s">
        <v>36</v>
      </c>
      <c r="C51" s="73" t="e">
        <f ca="1">W3</f>
        <v>#NUM!</v>
      </c>
      <c r="D51" s="69" t="e">
        <f ca="1">INDEX(D$65:INDIRECT("D"&amp;$C$61),$C51)</f>
        <v>#NUM!</v>
      </c>
      <c r="E51" s="69" t="e">
        <f ca="1">INDEX(INDIRECT(("'MemberID'!$C$6:C"&amp;MemberID!$C$1)),MATCH(D51,INDIRECT(("'MemberID'!$G$6:G"&amp;MemberID!$C$1)),0))</f>
        <v>#NUM!</v>
      </c>
      <c r="F51" s="69" t="e">
        <f ca="1">INDEX(E$65:INDIRECT("E"&amp;$C$61),$C51)</f>
        <v>#NUM!</v>
      </c>
      <c r="G51" t="e">
        <f ca="1">INDEX(F$65:INDIRECT("F"&amp;$C$61),$C51)</f>
        <v>#NUM!</v>
      </c>
      <c r="H51" t="e">
        <f ca="1">INDEX(G$65:INDIRECT("G"&amp;$C$61),$C51)</f>
        <v>#NUM!</v>
      </c>
      <c r="I51" t="e">
        <f ca="1">INDEX(H$65:INDIRECT("H"&amp;$C$61),$C51)</f>
        <v>#NUM!</v>
      </c>
      <c r="J51" t="e">
        <f ca="1">INDEX(I$65:INDIRECT("I"&amp;$C$61),$C51)</f>
        <v>#NUM!</v>
      </c>
      <c r="K51" s="7" t="e">
        <f ca="1">INDEX(J$65:INDIRECT("J"&amp;$C$61),$C51)</f>
        <v>#NUM!</v>
      </c>
      <c r="L51" t="e">
        <f ca="1">INDEX(K$65:INDIRECT("K"&amp;$C$61),$C51)</f>
        <v>#NUM!</v>
      </c>
      <c r="M51" t="e">
        <f ca="1">INDEX(L$65:INDIRECT("L"&amp;$C$61),$C51)</f>
        <v>#NUM!</v>
      </c>
      <c r="N51" t="e">
        <f ca="1">INDEX(M$65:INDIRECT("M"&amp;$C$61),$C51)</f>
        <v>#NUM!</v>
      </c>
      <c r="O51" t="e">
        <f ca="1">INDEX(N$65:INDIRECT("N"&amp;$C$61),$C51)</f>
        <v>#NUM!</v>
      </c>
      <c r="P51" s="23" t="e">
        <f ca="1">INDEX(O$65:INDIRECT("O"&amp;$C$61),$C51)</f>
        <v>#NUM!</v>
      </c>
      <c r="Q51" s="104"/>
      <c r="R51" s="73" t="s">
        <v>70</v>
      </c>
      <c r="S51" s="69" t="s">
        <v>36</v>
      </c>
      <c r="T51" s="73" t="e">
        <f t="array" aca="1" ref="T51" ca="1">MATCH(IF(ISBLANK($AE$11),LARGE(IF($E$65:INDIRECT("E"&amp;$C$61)=$AE$10,INDIRECT(AJ51&amp;65):INDIRECT(AJ51&amp;$C$61)),$AH51),IF(ISBLANK($AE$10),LARGE(IF($D$65:INDIRECT("D"&amp;$C$61)=$AE$11,INDIRECT(AJ51&amp;65):INDIRECT(AJ51&amp;$C$61)),$AH51),LARGE(IF(($E$65:INDIRECT("E"&amp;$C$61)=$AE$10)*($D$65:INDIRECT("D"&amp;$C$61)=$AE$11),INDIRECT(AJ51&amp;65):INDIRECT(AJ51&amp;$C$61)),$AH51))),INDIRECT(AJ51&amp;65):INDIRECT(AJ51&amp;$C$61),0)</f>
        <v>#NUM!</v>
      </c>
      <c r="U51" s="69" t="e">
        <f ca="1">INDEX(D$65:INDIRECT("D"&amp;$C$61),$T51)</f>
        <v>#NUM!</v>
      </c>
      <c r="V51" s="69" t="e">
        <f ca="1">INDEX(INDIRECT(("'MemberID'!$C$6:C"&amp;MemberID!$C$1)),MATCH(U51,INDIRECT(("'MemberID'!$G$6:G"&amp;MemberID!$C$1)),0))</f>
        <v>#NUM!</v>
      </c>
      <c r="W51" s="69" t="e">
        <f ca="1">INDEX(E$65:INDIRECT("E"&amp;$C$61),$T51)</f>
        <v>#NUM!</v>
      </c>
      <c r="X51" t="e">
        <f ca="1">INDEX(F$65:INDIRECT("F"&amp;$C$61),$T51)</f>
        <v>#NUM!</v>
      </c>
      <c r="Y51" t="e">
        <f ca="1">INDEX(G$65:INDIRECT("G"&amp;$C$61),$T51)</f>
        <v>#NUM!</v>
      </c>
      <c r="Z51" t="e">
        <f ca="1">INDEX(H$65:INDIRECT("H"&amp;$C$61),$T51)</f>
        <v>#NUM!</v>
      </c>
      <c r="AA51" t="e">
        <f ca="1">INDEX(I$65:INDIRECT("I"&amp;$C$61),$T51)</f>
        <v>#NUM!</v>
      </c>
      <c r="AB51" t="e">
        <f ca="1">INDEX(J$65:INDIRECT("J"&amp;$C$61),$T51)</f>
        <v>#NUM!</v>
      </c>
      <c r="AC51" t="e">
        <f ca="1">INDEX(K$65:INDIRECT("K"&amp;$C$61),$T51)</f>
        <v>#NUM!</v>
      </c>
      <c r="AD51" t="e">
        <f ca="1">INDEX(L$65:INDIRECT("L"&amp;$C$61),$T51)</f>
        <v>#NUM!</v>
      </c>
      <c r="AE51" t="e">
        <f ca="1">INDEX(M$65:INDIRECT("M"&amp;$C$61),$T51)</f>
        <v>#NUM!</v>
      </c>
      <c r="AF51" t="e">
        <f ca="1">INDEX(N$65:INDIRECT("N"&amp;$C$61),$T51)</f>
        <v>#NUM!</v>
      </c>
      <c r="AG51" s="23" t="e">
        <f t="array" aca="1" ref="AG51" ca="1">IF(ISBLANK($AE$11),LARGE(IF($E$65:INDIRECT("E"&amp;$C$61)=$AE$10,O$65:INDIRECT(AG$13&amp;$C$61)),$AH51),IF(ISBLANK($AE$10),LARGE(IF($D$65:INDIRECT("D"&amp;$C$61)=$AE$11,O$65:INDIRECT(AG$13&amp;$C$61)),$AH51),LARGE(IF(($E$65:INDIRECT("E"&amp;$C$61)=$AE$10)*($D$65:INDIRECT("D"&amp;$C$61)=$AE$11),O$65:INDIRECT(AG$13&amp;$C$61)),$AH51)))</f>
        <v>#NUM!</v>
      </c>
      <c r="AH51" s="69">
        <v>2</v>
      </c>
      <c r="AI51" s="69" t="str">
        <f>AI50</f>
        <v>O</v>
      </c>
      <c r="AJ51" s="69" t="str">
        <f>AJ50</f>
        <v>V</v>
      </c>
    </row>
    <row r="52" spans="1:49" x14ac:dyDescent="0.25">
      <c r="A52" s="73" t="s">
        <v>71</v>
      </c>
      <c r="B52" s="69" t="s">
        <v>36</v>
      </c>
      <c r="C52" s="73" t="e">
        <f ca="1">AE3</f>
        <v>#NUM!</v>
      </c>
      <c r="D52" s="69" t="e">
        <f ca="1">INDEX(D$65:INDIRECT("D"&amp;$C$61),$C52)</f>
        <v>#NUM!</v>
      </c>
      <c r="E52" s="69" t="e">
        <f ca="1">INDEX(INDIRECT(("'MemberID'!$C$6:C"&amp;MemberID!$C$1)),MATCH(D52,INDIRECT(("'MemberID'!$G$6:G"&amp;MemberID!$C$1)),0))</f>
        <v>#NUM!</v>
      </c>
      <c r="F52" s="69" t="e">
        <f ca="1">INDEX(E$65:INDIRECT("E"&amp;$C$61),$C52)</f>
        <v>#NUM!</v>
      </c>
      <c r="G52" t="e">
        <f ca="1">INDEX(F$65:INDIRECT("F"&amp;$C$61),$C52)</f>
        <v>#NUM!</v>
      </c>
      <c r="H52" t="e">
        <f ca="1">INDEX(G$65:INDIRECT("G"&amp;$C$61),$C52)</f>
        <v>#NUM!</v>
      </c>
      <c r="I52" t="e">
        <f ca="1">INDEX(H$65:INDIRECT("H"&amp;$C$61),$C52)</f>
        <v>#NUM!</v>
      </c>
      <c r="J52" t="e">
        <f ca="1">INDEX(I$65:INDIRECT("I"&amp;$C$61),$C52)</f>
        <v>#NUM!</v>
      </c>
      <c r="K52" s="7" t="e">
        <f ca="1">INDEX(J$65:INDIRECT("J"&amp;$C$61),$C52)</f>
        <v>#NUM!</v>
      </c>
      <c r="L52" t="e">
        <f ca="1">INDEX(K$65:INDIRECT("K"&amp;$C$61),$C52)</f>
        <v>#NUM!</v>
      </c>
      <c r="M52" t="e">
        <f ca="1">INDEX(L$65:INDIRECT("L"&amp;$C$61),$C52)</f>
        <v>#NUM!</v>
      </c>
      <c r="N52" t="e">
        <f ca="1">INDEX(M$65:INDIRECT("M"&amp;$C$61),$C52)</f>
        <v>#NUM!</v>
      </c>
      <c r="O52" t="e">
        <f ca="1">INDEX(N$65:INDIRECT("N"&amp;$C$61),$C52)</f>
        <v>#NUM!</v>
      </c>
      <c r="P52" s="23" t="e">
        <f ca="1">INDEX(O$65:INDIRECT("O"&amp;$C$61),$C52)</f>
        <v>#NUM!</v>
      </c>
      <c r="Q52" s="104"/>
      <c r="R52" s="73" t="s">
        <v>71</v>
      </c>
      <c r="S52" s="69" t="s">
        <v>36</v>
      </c>
      <c r="T52" s="73" t="e">
        <f t="array" aca="1" ref="T52" ca="1">MATCH(IF(ISBLANK($AE$11),LARGE(IF($E$65:INDIRECT("E"&amp;$C$61)=$AE$10,INDIRECT(AJ52&amp;65):INDIRECT(AJ52&amp;$C$61)),$AH52),IF(ISBLANK($AE$10),LARGE(IF($D$65:INDIRECT("D"&amp;$C$61)=$AE$11,INDIRECT(AJ52&amp;65):INDIRECT(AJ52&amp;$C$61)),$AH52),LARGE(IF(($E$65:INDIRECT("E"&amp;$C$61)=$AE$10)*($D$65:INDIRECT("D"&amp;$C$61)=$AE$11),INDIRECT(AJ52&amp;65):INDIRECT(AJ52&amp;$C$61)),$AH52))),INDIRECT(AJ52&amp;65):INDIRECT(AJ52&amp;$C$61),0)</f>
        <v>#NUM!</v>
      </c>
      <c r="U52" s="69" t="e">
        <f ca="1">INDEX(D$65:INDIRECT("D"&amp;$C$61),$T52)</f>
        <v>#NUM!</v>
      </c>
      <c r="V52" s="69" t="e">
        <f ca="1">INDEX(INDIRECT(("'MemberID'!$C$6:C"&amp;MemberID!$C$1)),MATCH(U52,INDIRECT(("'MemberID'!$G$6:G"&amp;MemberID!$C$1)),0))</f>
        <v>#NUM!</v>
      </c>
      <c r="W52" s="69" t="e">
        <f ca="1">INDEX(E$65:INDIRECT("E"&amp;$C$61),$T52)</f>
        <v>#NUM!</v>
      </c>
      <c r="X52" t="e">
        <f ca="1">INDEX(F$65:INDIRECT("F"&amp;$C$61),$T52)</f>
        <v>#NUM!</v>
      </c>
      <c r="Y52" t="e">
        <f ca="1">INDEX(G$65:INDIRECT("G"&amp;$C$61),$T52)</f>
        <v>#NUM!</v>
      </c>
      <c r="Z52" t="e">
        <f ca="1">INDEX(H$65:INDIRECT("H"&amp;$C$61),$T52)</f>
        <v>#NUM!</v>
      </c>
      <c r="AA52" t="e">
        <f ca="1">INDEX(I$65:INDIRECT("I"&amp;$C$61),$T52)</f>
        <v>#NUM!</v>
      </c>
      <c r="AB52" t="e">
        <f ca="1">INDEX(J$65:INDIRECT("J"&amp;$C$61),$T52)</f>
        <v>#NUM!</v>
      </c>
      <c r="AC52" t="e">
        <f ca="1">INDEX(K$65:INDIRECT("K"&amp;$C$61),$T52)</f>
        <v>#NUM!</v>
      </c>
      <c r="AD52" t="e">
        <f ca="1">INDEX(L$65:INDIRECT("L"&amp;$C$61),$T52)</f>
        <v>#NUM!</v>
      </c>
      <c r="AE52" t="e">
        <f ca="1">INDEX(M$65:INDIRECT("M"&amp;$C$61),$T52)</f>
        <v>#NUM!</v>
      </c>
      <c r="AF52" t="e">
        <f ca="1">INDEX(N$65:INDIRECT("N"&amp;$C$61),$T52)</f>
        <v>#NUM!</v>
      </c>
      <c r="AG52" s="23" t="e">
        <f t="array" aca="1" ref="AG52" ca="1">IF(ISBLANK($AE$11),LARGE(IF($E$65:INDIRECT("E"&amp;$C$61)=$AE$10,O$65:INDIRECT(AG$13&amp;$C$61)),$AH52),IF(ISBLANK($AE$10),LARGE(IF($D$65:INDIRECT("D"&amp;$C$61)=$AE$11,O$65:INDIRECT(AG$13&amp;$C$61)),$AH52),LARGE(IF(($E$65:INDIRECT("E"&amp;$C$61)=$AE$10)*($D$65:INDIRECT("D"&amp;$C$61)=$AE$11),O$65:INDIRECT(AG$13&amp;$C$61)),$AH52)))</f>
        <v>#NUM!</v>
      </c>
      <c r="AH52" s="69">
        <v>3</v>
      </c>
      <c r="AI52" s="69" t="str">
        <f t="shared" ref="AI52:AJ55" si="5">AI51</f>
        <v>O</v>
      </c>
      <c r="AJ52" s="69" t="str">
        <f t="shared" si="5"/>
        <v>V</v>
      </c>
    </row>
    <row r="53" spans="1:49" x14ac:dyDescent="0.25">
      <c r="A53" s="74" t="s">
        <v>72</v>
      </c>
      <c r="B53" s="69" t="s">
        <v>36</v>
      </c>
      <c r="C53" s="74" t="e">
        <f ca="1">O6</f>
        <v>#N/A</v>
      </c>
      <c r="D53" s="69" t="e">
        <f ca="1">INDEX(D$65:INDIRECT("D"&amp;$C$61),$C53)</f>
        <v>#N/A</v>
      </c>
      <c r="E53" s="69" t="e">
        <f ca="1">INDEX(INDIRECT(("'MemberID'!$C$6:C"&amp;MemberID!$C$1)),MATCH(D53,INDIRECT(("'MemberID'!$G$6:G"&amp;MemberID!$C$1)),0))</f>
        <v>#N/A</v>
      </c>
      <c r="F53" s="69" t="e">
        <f ca="1">INDEX(E$65:INDIRECT("E"&amp;$C$61),$C53)</f>
        <v>#N/A</v>
      </c>
      <c r="G53" t="e">
        <f ca="1">INDEX(F$65:INDIRECT("F"&amp;$C$61),$C53)</f>
        <v>#N/A</v>
      </c>
      <c r="H53" t="e">
        <f ca="1">INDEX(G$65:INDIRECT("G"&amp;$C$61),$C53)</f>
        <v>#N/A</v>
      </c>
      <c r="I53" t="e">
        <f ca="1">INDEX(H$65:INDIRECT("H"&amp;$C$61),$C53)</f>
        <v>#N/A</v>
      </c>
      <c r="J53" t="e">
        <f ca="1">INDEX(I$65:INDIRECT("I"&amp;$C$61),$C53)</f>
        <v>#N/A</v>
      </c>
      <c r="K53" s="7" t="e">
        <f ca="1">INDEX(J$65:INDIRECT("J"&amp;$C$61),$C53)</f>
        <v>#N/A</v>
      </c>
      <c r="L53" t="e">
        <f ca="1">INDEX(K$65:INDIRECT("K"&amp;$C$61),$C53)</f>
        <v>#N/A</v>
      </c>
      <c r="M53" t="e">
        <f ca="1">INDEX(L$65:INDIRECT("L"&amp;$C$61),$C53)</f>
        <v>#N/A</v>
      </c>
      <c r="N53" t="e">
        <f ca="1">INDEX(M$65:INDIRECT("M"&amp;$C$61),$C53)</f>
        <v>#N/A</v>
      </c>
      <c r="O53" t="e">
        <f ca="1">INDEX(N$65:INDIRECT("N"&amp;$C$61),$C53)</f>
        <v>#N/A</v>
      </c>
      <c r="P53" s="23" t="e">
        <f ca="1">INDEX(O$65:INDIRECT("O"&amp;$C$61),$C53)</f>
        <v>#N/A</v>
      </c>
      <c r="Q53" s="104"/>
      <c r="R53" s="74" t="s">
        <v>72</v>
      </c>
      <c r="S53" s="69" t="s">
        <v>36</v>
      </c>
      <c r="T53" s="74" t="e">
        <f t="array" aca="1" ref="T53" ca="1">MATCH(IF(ISBLANK($AE$11),SMALL(IF($E$65:INDIRECT("E"&amp;$C$61)=$AE$10,INDIRECT(AJ53&amp;65):INDIRECT(AJ53&amp;$C$61)),$AH53),IF(ISBLANK($AE$10),SMALL(IF($D$65:INDIRECT("D"&amp;$C$61)=$AE$11,INDIRECT(AJ53&amp;65):INDIRECT(AJ53&amp;$C$61)),$AH53),SMALL(IF(($E$65:INDIRECT("E"&amp;$C$61)=$AE$10)*($D$65:INDIRECT("D"&amp;$C$61)=$AE$11),INDIRECT(AJ53&amp;65):INDIRECT(AJ53&amp;$C$61)),$AH53))),INDIRECT(AJ53&amp;65):INDIRECT(AJ53&amp;$C$61),0)</f>
        <v>#NUM!</v>
      </c>
      <c r="U53" s="69" t="e">
        <f ca="1">INDEX(D$65:INDIRECT("D"&amp;$C$61),$T53)</f>
        <v>#NUM!</v>
      </c>
      <c r="V53" s="69" t="e">
        <f ca="1">INDEX(INDIRECT(("'MemberID'!$C$6:C"&amp;MemberID!$C$1)),MATCH(U53,INDIRECT(("'MemberID'!$G$6:G"&amp;MemberID!$C$1)),0))</f>
        <v>#NUM!</v>
      </c>
      <c r="W53" s="69" t="e">
        <f ca="1">INDEX(E$65:INDIRECT("E"&amp;$C$61),$T53)</f>
        <v>#NUM!</v>
      </c>
      <c r="X53" t="e">
        <f ca="1">INDEX(F$65:INDIRECT("F"&amp;$C$61),$T53)</f>
        <v>#NUM!</v>
      </c>
      <c r="Y53" t="e">
        <f ca="1">INDEX(G$65:INDIRECT("G"&amp;$C$61),$T53)</f>
        <v>#NUM!</v>
      </c>
      <c r="Z53" t="e">
        <f ca="1">INDEX(H$65:INDIRECT("H"&amp;$C$61),$T53)</f>
        <v>#NUM!</v>
      </c>
      <c r="AA53" t="e">
        <f ca="1">INDEX(I$65:INDIRECT("I"&amp;$C$61),$T53)</f>
        <v>#NUM!</v>
      </c>
      <c r="AB53" t="e">
        <f ca="1">INDEX(J$65:INDIRECT("J"&amp;$C$61),$T53)</f>
        <v>#NUM!</v>
      </c>
      <c r="AC53" t="e">
        <f ca="1">INDEX(K$65:INDIRECT("K"&amp;$C$61),$T53)</f>
        <v>#NUM!</v>
      </c>
      <c r="AD53" t="e">
        <f ca="1">INDEX(L$65:INDIRECT("L"&amp;$C$61),$T53)</f>
        <v>#NUM!</v>
      </c>
      <c r="AE53" t="e">
        <f ca="1">INDEX(M$65:INDIRECT("M"&amp;$C$61),$T53)</f>
        <v>#NUM!</v>
      </c>
      <c r="AF53" t="e">
        <f ca="1">INDEX(N$65:INDIRECT("N"&amp;$C$61),$T53)</f>
        <v>#NUM!</v>
      </c>
      <c r="AG53" s="23" t="e">
        <f t="array" aca="1" ref="AG53" ca="1">IF(ISBLANK($AE$11),SMALL(IF($E$65:INDIRECT("E"&amp;$C$61)=$AE$10,O$65:INDIRECT(AG$13&amp;$C$61)),$AH53),IF(ISBLANK($AE$10),SMALL(IF($D$65:INDIRECT("D"&amp;$C$61)=$AE$11,O$65:INDIRECT(AG$13&amp;$C$61)),$AH53),SMALL(IF(($E$65:INDIRECT("E"&amp;$C$61)=$AE$10)*($D$65:INDIRECT("D"&amp;$C$61)=$AE$11),O$65:INDIRECT(AG$13&amp;$C$61)),$AH53)))</f>
        <v>#NUM!</v>
      </c>
      <c r="AH53" s="69">
        <v>1</v>
      </c>
      <c r="AI53" s="69" t="str">
        <f t="shared" si="5"/>
        <v>O</v>
      </c>
      <c r="AJ53" s="69" t="str">
        <f t="shared" si="5"/>
        <v>V</v>
      </c>
    </row>
    <row r="54" spans="1:49" x14ac:dyDescent="0.25">
      <c r="A54" s="74" t="s">
        <v>73</v>
      </c>
      <c r="B54" s="69" t="s">
        <v>36</v>
      </c>
      <c r="C54" s="74" t="e">
        <f ca="1">W6</f>
        <v>#NUM!</v>
      </c>
      <c r="D54" s="69" t="e">
        <f ca="1">INDEX(D$65:INDIRECT("D"&amp;$C$61),$C54)</f>
        <v>#NUM!</v>
      </c>
      <c r="E54" s="69" t="e">
        <f ca="1">INDEX(INDIRECT(("'MemberID'!$C$6:C"&amp;MemberID!$C$1)),MATCH(D54,INDIRECT(("'MemberID'!$G$6:G"&amp;MemberID!$C$1)),0))</f>
        <v>#NUM!</v>
      </c>
      <c r="F54" s="69" t="e">
        <f ca="1">INDEX(E$65:INDIRECT("E"&amp;$C$61),$C54)</f>
        <v>#NUM!</v>
      </c>
      <c r="G54" t="e">
        <f ca="1">INDEX(F$65:INDIRECT("F"&amp;$C$61),$C54)</f>
        <v>#NUM!</v>
      </c>
      <c r="H54" t="e">
        <f ca="1">INDEX(G$65:INDIRECT("G"&amp;$C$61),$C54)</f>
        <v>#NUM!</v>
      </c>
      <c r="I54" t="e">
        <f ca="1">INDEX(H$65:INDIRECT("H"&amp;$C$61),$C54)</f>
        <v>#NUM!</v>
      </c>
      <c r="J54" t="e">
        <f ca="1">INDEX(I$65:INDIRECT("I"&amp;$C$61),$C54)</f>
        <v>#NUM!</v>
      </c>
      <c r="K54" s="7" t="e">
        <f ca="1">INDEX(J$65:INDIRECT("J"&amp;$C$61),$C54)</f>
        <v>#NUM!</v>
      </c>
      <c r="L54" t="e">
        <f ca="1">INDEX(K$65:INDIRECT("K"&amp;$C$61),$C54)</f>
        <v>#NUM!</v>
      </c>
      <c r="M54" t="e">
        <f ca="1">INDEX(L$65:INDIRECT("L"&amp;$C$61),$C54)</f>
        <v>#NUM!</v>
      </c>
      <c r="N54" t="e">
        <f ca="1">INDEX(M$65:INDIRECT("M"&amp;$C$61),$C54)</f>
        <v>#NUM!</v>
      </c>
      <c r="O54" t="e">
        <f ca="1">INDEX(N$65:INDIRECT("N"&amp;$C$61),$C54)</f>
        <v>#NUM!</v>
      </c>
      <c r="P54" s="23" t="e">
        <f ca="1">INDEX(O$65:INDIRECT("O"&amp;$C$61),$C54)</f>
        <v>#NUM!</v>
      </c>
      <c r="Q54" s="104"/>
      <c r="R54" s="74" t="s">
        <v>73</v>
      </c>
      <c r="S54" s="69" t="s">
        <v>36</v>
      </c>
      <c r="T54" s="74" t="e">
        <f t="array" aca="1" ref="T54" ca="1">MATCH(IF(ISBLANK($AE$11),SMALL(IF($E$65:INDIRECT("E"&amp;$C$61)=$AE$10,INDIRECT(AJ54&amp;65):INDIRECT(AJ54&amp;$C$61)),$AH54),IF(ISBLANK($AE$10),SMALL(IF($D$65:INDIRECT("D"&amp;$C$61)=$AE$11,INDIRECT(AJ54&amp;65):INDIRECT(AJ54&amp;$C$61)),$AH54),SMALL(IF(($E$65:INDIRECT("E"&amp;$C$61)=$AE$10)*($D$65:INDIRECT("D"&amp;$C$61)=$AE$11),INDIRECT(AJ54&amp;65):INDIRECT(AJ54&amp;$C$61)),$AH54))),INDIRECT(AJ54&amp;65):INDIRECT(AJ54&amp;$C$61),0)</f>
        <v>#NUM!</v>
      </c>
      <c r="U54" s="69" t="e">
        <f ca="1">INDEX(D$65:INDIRECT("D"&amp;$C$61),$T54)</f>
        <v>#NUM!</v>
      </c>
      <c r="V54" s="69" t="e">
        <f ca="1">INDEX(INDIRECT(("'MemberID'!$C$6:C"&amp;MemberID!$C$1)),MATCH(U54,INDIRECT(("'MemberID'!$G$6:G"&amp;MemberID!$C$1)),0))</f>
        <v>#NUM!</v>
      </c>
      <c r="W54" s="69" t="e">
        <f ca="1">INDEX(E$65:INDIRECT("E"&amp;$C$61),$T54)</f>
        <v>#NUM!</v>
      </c>
      <c r="X54" t="e">
        <f ca="1">INDEX(F$65:INDIRECT("F"&amp;$C$61),$T54)</f>
        <v>#NUM!</v>
      </c>
      <c r="Y54" t="e">
        <f ca="1">INDEX(G$65:INDIRECT("G"&amp;$C$61),$T54)</f>
        <v>#NUM!</v>
      </c>
      <c r="Z54" t="e">
        <f ca="1">INDEX(H$65:INDIRECT("H"&amp;$C$61),$T54)</f>
        <v>#NUM!</v>
      </c>
      <c r="AA54" t="e">
        <f ca="1">INDEX(I$65:INDIRECT("I"&amp;$C$61),$T54)</f>
        <v>#NUM!</v>
      </c>
      <c r="AB54" t="e">
        <f ca="1">INDEX(J$65:INDIRECT("J"&amp;$C$61),$T54)</f>
        <v>#NUM!</v>
      </c>
      <c r="AC54" t="e">
        <f ca="1">INDEX(K$65:INDIRECT("K"&amp;$C$61),$T54)</f>
        <v>#NUM!</v>
      </c>
      <c r="AD54" t="e">
        <f ca="1">INDEX(L$65:INDIRECT("L"&amp;$C$61),$T54)</f>
        <v>#NUM!</v>
      </c>
      <c r="AE54" t="e">
        <f ca="1">INDEX(M$65:INDIRECT("M"&amp;$C$61),$T54)</f>
        <v>#NUM!</v>
      </c>
      <c r="AF54" t="e">
        <f ca="1">INDEX(N$65:INDIRECT("N"&amp;$C$61),$T54)</f>
        <v>#NUM!</v>
      </c>
      <c r="AG54" s="23" t="e">
        <f t="array" aca="1" ref="AG54" ca="1">IF(ISBLANK($AE$11),SMALL(IF($E$65:INDIRECT("E"&amp;$C$61)=$AE$10,O$65:INDIRECT(AG$13&amp;$C$61)),$AH54),IF(ISBLANK($AE$10),SMALL(IF($D$65:INDIRECT("D"&amp;$C$61)=$AE$11,O$65:INDIRECT(AG$13&amp;$C$61)),$AH54),SMALL(IF(($E$65:INDIRECT("E"&amp;$C$61)=$AE$10)*($D$65:INDIRECT("D"&amp;$C$61)=$AE$11),O$65:INDIRECT(AG$13&amp;$C$61)),$AH54)))</f>
        <v>#NUM!</v>
      </c>
      <c r="AH54" s="69">
        <v>2</v>
      </c>
      <c r="AI54" s="69" t="str">
        <f t="shared" si="5"/>
        <v>O</v>
      </c>
      <c r="AJ54" s="69" t="str">
        <f t="shared" si="5"/>
        <v>V</v>
      </c>
    </row>
    <row r="55" spans="1:49" x14ac:dyDescent="0.25">
      <c r="A55" s="74" t="s">
        <v>74</v>
      </c>
      <c r="B55" s="69" t="s">
        <v>36</v>
      </c>
      <c r="C55" s="74" t="e">
        <f ca="1">AE6</f>
        <v>#NUM!</v>
      </c>
      <c r="D55" s="69" t="e">
        <f ca="1">INDEX(D$65:INDIRECT("D"&amp;$C$61),$C55)</f>
        <v>#NUM!</v>
      </c>
      <c r="E55" s="69" t="e">
        <f ca="1">INDEX(INDIRECT(("'MemberID'!$C$6:C"&amp;MemberID!$C$1)),MATCH(D55,INDIRECT(("'MemberID'!$G$6:G"&amp;MemberID!$C$1)),0))</f>
        <v>#NUM!</v>
      </c>
      <c r="F55" s="69" t="e">
        <f ca="1">INDEX(E$65:INDIRECT("E"&amp;$C$61),$C55)</f>
        <v>#NUM!</v>
      </c>
      <c r="G55" t="e">
        <f ca="1">INDEX(F$65:INDIRECT("F"&amp;$C$61),$C55)</f>
        <v>#NUM!</v>
      </c>
      <c r="H55" t="e">
        <f ca="1">INDEX(G$65:INDIRECT("G"&amp;$C$61),$C55)</f>
        <v>#NUM!</v>
      </c>
      <c r="I55" t="e">
        <f ca="1">INDEX(H$65:INDIRECT("H"&amp;$C$61),$C55)</f>
        <v>#NUM!</v>
      </c>
      <c r="J55" t="e">
        <f ca="1">INDEX(I$65:INDIRECT("I"&amp;$C$61),$C55)</f>
        <v>#NUM!</v>
      </c>
      <c r="K55" s="7" t="e">
        <f ca="1">INDEX(J$65:INDIRECT("J"&amp;$C$61),$C55)</f>
        <v>#NUM!</v>
      </c>
      <c r="L55" t="e">
        <f ca="1">INDEX(K$65:INDIRECT("K"&amp;$C$61),$C55)</f>
        <v>#NUM!</v>
      </c>
      <c r="M55" t="e">
        <f ca="1">INDEX(L$65:INDIRECT("L"&amp;$C$61),$C55)</f>
        <v>#NUM!</v>
      </c>
      <c r="N55" t="e">
        <f ca="1">INDEX(M$65:INDIRECT("M"&amp;$C$61),$C55)</f>
        <v>#NUM!</v>
      </c>
      <c r="O55" t="e">
        <f ca="1">INDEX(N$65:INDIRECT("N"&amp;$C$61),$C55)</f>
        <v>#NUM!</v>
      </c>
      <c r="P55" s="23" t="e">
        <f ca="1">INDEX(O$65:INDIRECT("O"&amp;$C$61),$C55)</f>
        <v>#NUM!</v>
      </c>
      <c r="Q55" s="104"/>
      <c r="R55" s="74" t="s">
        <v>74</v>
      </c>
      <c r="S55" s="69" t="s">
        <v>36</v>
      </c>
      <c r="T55" s="74" t="e">
        <f t="array" aca="1" ref="T55" ca="1">MATCH(IF(ISBLANK($AE$11),SMALL(IF($E$65:INDIRECT("E"&amp;$C$61)=$AE$10,INDIRECT(AJ55&amp;65):INDIRECT(AJ55&amp;$C$61)),$AH55),IF(ISBLANK($AE$10),SMALL(IF($D$65:INDIRECT("D"&amp;$C$61)=$AE$11,INDIRECT(AJ55&amp;65):INDIRECT(AJ55&amp;$C$61)),$AH55),SMALL(IF(($E$65:INDIRECT("E"&amp;$C$61)=$AE$10)*($D$65:INDIRECT("D"&amp;$C$61)=$AE$11),INDIRECT(AJ55&amp;65):INDIRECT(AJ55&amp;$C$61)),$AH55))),INDIRECT(AJ55&amp;65):INDIRECT(AJ55&amp;$C$61),0)</f>
        <v>#NUM!</v>
      </c>
      <c r="U55" s="69" t="e">
        <f ca="1">INDEX(D$65:INDIRECT("D"&amp;$C$61),$T55)</f>
        <v>#NUM!</v>
      </c>
      <c r="V55" s="69" t="e">
        <f ca="1">INDEX(INDIRECT(("'MemberID'!$C$6:C"&amp;MemberID!$C$1)),MATCH(U55,INDIRECT(("'MemberID'!$G$6:G"&amp;MemberID!$C$1)),0))</f>
        <v>#NUM!</v>
      </c>
      <c r="W55" s="69" t="e">
        <f ca="1">INDEX(E$65:INDIRECT("E"&amp;$C$61),$T55)</f>
        <v>#NUM!</v>
      </c>
      <c r="X55" t="e">
        <f ca="1">INDEX(F$65:INDIRECT("F"&amp;$C$61),$T55)</f>
        <v>#NUM!</v>
      </c>
      <c r="Y55" t="e">
        <f ca="1">INDEX(G$65:INDIRECT("G"&amp;$C$61),$T55)</f>
        <v>#NUM!</v>
      </c>
      <c r="Z55" t="e">
        <f ca="1">INDEX(H$65:INDIRECT("H"&amp;$C$61),$T55)</f>
        <v>#NUM!</v>
      </c>
      <c r="AA55" t="e">
        <f ca="1">INDEX(I$65:INDIRECT("I"&amp;$C$61),$T55)</f>
        <v>#NUM!</v>
      </c>
      <c r="AB55" t="e">
        <f ca="1">INDEX(J$65:INDIRECT("J"&amp;$C$61),$T55)</f>
        <v>#NUM!</v>
      </c>
      <c r="AC55" t="e">
        <f ca="1">INDEX(K$65:INDIRECT("K"&amp;$C$61),$T55)</f>
        <v>#NUM!</v>
      </c>
      <c r="AD55" t="e">
        <f ca="1">INDEX(L$65:INDIRECT("L"&amp;$C$61),$T55)</f>
        <v>#NUM!</v>
      </c>
      <c r="AE55" t="e">
        <f ca="1">INDEX(M$65:INDIRECT("M"&amp;$C$61),$T55)</f>
        <v>#NUM!</v>
      </c>
      <c r="AF55" t="e">
        <f ca="1">INDEX(N$65:INDIRECT("N"&amp;$C$61),$T55)</f>
        <v>#NUM!</v>
      </c>
      <c r="AG55" s="23" t="e">
        <f t="array" aca="1" ref="AG55" ca="1">IF(ISBLANK($AE$11),SMALL(IF($E$65:INDIRECT("E"&amp;$C$61)=$AE$10,O$65:INDIRECT(AG$13&amp;$C$61)),$AH55),IF(ISBLANK($AE$10),SMALL(IF($D$65:INDIRECT("D"&amp;$C$61)=$AE$11,O$65:INDIRECT(AG$13&amp;$C$61)),$AH55),SMALL(IF(($E$65:INDIRECT("E"&amp;$C$61)=$AE$10)*($D$65:INDIRECT("D"&amp;$C$61)=$AE$11),O$65:INDIRECT(AG$13&amp;$C$61)),$AH55)))</f>
        <v>#NUM!</v>
      </c>
      <c r="AH55" s="69">
        <v>3</v>
      </c>
      <c r="AI55" s="69" t="str">
        <f t="shared" si="5"/>
        <v>O</v>
      </c>
      <c r="AJ55" s="69" t="str">
        <f t="shared" si="5"/>
        <v>V</v>
      </c>
    </row>
    <row r="56" spans="1:49" x14ac:dyDescent="0.25">
      <c r="Q56" s="104"/>
    </row>
    <row r="57" spans="1:49" x14ac:dyDescent="0.25">
      <c r="F57" s="57"/>
      <c r="G57" s="57"/>
      <c r="H57" s="57"/>
      <c r="I57" s="57"/>
      <c r="Q57" s="104"/>
    </row>
    <row r="58" spans="1:49" x14ac:dyDescent="0.25">
      <c r="D58" s="7"/>
      <c r="E58" s="77"/>
      <c r="F58" s="77"/>
      <c r="G58" s="77"/>
      <c r="H58" s="77"/>
      <c r="I58" s="7"/>
      <c r="J58" s="7"/>
      <c r="K58" s="7"/>
      <c r="L58" s="7"/>
      <c r="M58" s="7"/>
      <c r="N58" s="7"/>
      <c r="O58" s="7"/>
      <c r="Q58" s="105"/>
      <c r="R58" s="7"/>
      <c r="S58" s="7"/>
      <c r="T58" s="7"/>
      <c r="U58" s="7"/>
      <c r="W58" s="7"/>
      <c r="X58" s="7"/>
      <c r="Y58" s="7"/>
    </row>
    <row r="59" spans="1:49" x14ac:dyDescent="0.25">
      <c r="D59" s="66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8"/>
      <c r="Q59" s="105"/>
      <c r="R59" s="7"/>
      <c r="S59" s="7"/>
      <c r="T59" s="7"/>
      <c r="U59" s="7"/>
      <c r="W59" s="7"/>
      <c r="X59" s="7"/>
      <c r="Y59" s="7"/>
    </row>
    <row r="60" spans="1:49" x14ac:dyDescent="0.25">
      <c r="D60" s="66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8"/>
      <c r="Q60" s="105"/>
      <c r="R60" s="7"/>
      <c r="S60" s="7"/>
      <c r="T60" s="7"/>
      <c r="U60" s="7"/>
      <c r="V60" s="7"/>
      <c r="W60" s="7"/>
      <c r="X60" s="7"/>
    </row>
    <row r="61" spans="1:49" x14ac:dyDescent="0.25">
      <c r="B61" t="s">
        <v>23</v>
      </c>
      <c r="C61" s="23">
        <f>LOOKUP(2,1/(NOT(ISBLANK(D:D))),ROW(D:D))</f>
        <v>64</v>
      </c>
      <c r="D61" s="66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8"/>
      <c r="Q61" s="105"/>
      <c r="R61" s="7"/>
      <c r="S61" s="7"/>
      <c r="T61" s="7"/>
      <c r="U61" s="7"/>
      <c r="V61" s="7"/>
      <c r="W61" s="7"/>
      <c r="X61" s="7"/>
    </row>
    <row r="62" spans="1:49" x14ac:dyDescent="0.25">
      <c r="Q62" s="104"/>
    </row>
    <row r="63" spans="1:49" x14ac:dyDescent="0.25">
      <c r="C63" s="7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Q63" s="22" t="s">
        <v>168</v>
      </c>
      <c r="R63" s="22"/>
      <c r="S63" s="22"/>
      <c r="T63" s="22"/>
      <c r="U63" s="22"/>
      <c r="V63" s="22"/>
    </row>
    <row r="64" spans="1:49" x14ac:dyDescent="0.25">
      <c r="C64" s="7"/>
      <c r="D64" t="s">
        <v>0</v>
      </c>
      <c r="E64" s="28" t="s">
        <v>191</v>
      </c>
      <c r="F64" s="28" t="s">
        <v>192</v>
      </c>
      <c r="G64" s="28" t="s">
        <v>193</v>
      </c>
      <c r="H64" s="28" t="s">
        <v>194</v>
      </c>
      <c r="I64" t="s">
        <v>129</v>
      </c>
      <c r="J64" t="s">
        <v>5</v>
      </c>
      <c r="K64" t="s">
        <v>6</v>
      </c>
      <c r="L64" t="s">
        <v>7</v>
      </c>
      <c r="M64" t="s">
        <v>8</v>
      </c>
      <c r="N64" t="s">
        <v>9</v>
      </c>
      <c r="O64" t="s">
        <v>10</v>
      </c>
      <c r="Q64" s="69" t="s">
        <v>140</v>
      </c>
      <c r="R64" s="69" t="s">
        <v>141</v>
      </c>
      <c r="S64" s="69" t="s">
        <v>142</v>
      </c>
      <c r="T64" s="69" t="s">
        <v>143</v>
      </c>
      <c r="U64" s="69" t="s">
        <v>144</v>
      </c>
      <c r="V64" s="69" t="s">
        <v>145</v>
      </c>
      <c r="AD64" s="1"/>
      <c r="AE64" s="1"/>
      <c r="AO64" s="1"/>
      <c r="AP64" s="1"/>
      <c r="AQ64" s="1"/>
      <c r="AR64" s="1"/>
      <c r="AS64" s="1"/>
      <c r="AT64" s="1"/>
      <c r="AU64" s="1"/>
      <c r="AW64" s="1"/>
    </row>
  </sheetData>
  <dataValidations count="2">
    <dataValidation type="list" showInputMessage="1" showErrorMessage="1" sqref="AE10" xr:uid="{D057F38F-4C4B-4D62-9B73-BA4BDF4B2335}">
      <formula1>StationList</formula1>
    </dataValidation>
    <dataValidation type="list" showInputMessage="1" showErrorMessage="1" sqref="AE11" xr:uid="{47358E3E-F648-43F8-9128-CDE2888B1BB3}">
      <formula1>MemberList</formula1>
    </dataValidation>
  </dataValidation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8A98C-BABB-4141-87D4-44984C6DBE87}">
  <sheetPr codeName="Sheet61"/>
  <dimension ref="A1:AZ65"/>
  <sheetViews>
    <sheetView zoomScale="70" zoomScaleNormal="70" workbookViewId="0"/>
  </sheetViews>
  <sheetFormatPr defaultRowHeight="15" x14ac:dyDescent="0.25"/>
  <cols>
    <col min="1" max="1" width="10.28515625" customWidth="1"/>
    <col min="2" max="2" width="11.7109375" customWidth="1"/>
    <col min="3" max="3" width="13.42578125" bestFit="1" customWidth="1"/>
    <col min="4" max="4" width="8.85546875" customWidth="1"/>
    <col min="5" max="6" width="14.85546875" bestFit="1" customWidth="1"/>
    <col min="7" max="8" width="20.5703125" bestFit="1" customWidth="1"/>
    <col min="9" max="10" width="35.7109375" customWidth="1"/>
    <col min="11" max="11" width="17.28515625" bestFit="1" customWidth="1"/>
    <col min="12" max="13" width="15.85546875" bestFit="1" customWidth="1"/>
    <col min="14" max="15" width="19.140625" bestFit="1" customWidth="1"/>
    <col min="16" max="16" width="18.85546875" customWidth="1"/>
    <col min="17" max="17" width="15.85546875" customWidth="1"/>
    <col min="18" max="21" width="15.85546875" bestFit="1" customWidth="1"/>
    <col min="22" max="22" width="16.85546875" bestFit="1" customWidth="1"/>
    <col min="23" max="23" width="16.7109375" bestFit="1" customWidth="1"/>
    <col min="24" max="24" width="13" bestFit="1" customWidth="1"/>
    <col min="25" max="25" width="20.5703125" bestFit="1" customWidth="1"/>
    <col min="26" max="26" width="14.85546875" bestFit="1" customWidth="1"/>
    <col min="27" max="27" width="35.7109375" customWidth="1"/>
    <col min="28" max="29" width="15.85546875" bestFit="1" customWidth="1"/>
    <col min="30" max="30" width="16.85546875" bestFit="1" customWidth="1"/>
    <col min="31" max="31" width="16.85546875" customWidth="1"/>
    <col min="32" max="33" width="15.85546875" bestFit="1" customWidth="1"/>
    <col min="34" max="34" width="12.5703125" customWidth="1"/>
    <col min="35" max="36" width="14.42578125" customWidth="1"/>
  </cols>
  <sheetData>
    <row r="1" spans="1:38" x14ac:dyDescent="0.25">
      <c r="A1" s="26" t="str">
        <f>'MODEL INTRO'!M19</f>
        <v>S2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</row>
    <row r="2" spans="1:38" x14ac:dyDescent="0.25">
      <c r="A2" s="27" t="str">
        <f>'STR1 Forces'!A2</f>
        <v>Column Forces</v>
      </c>
      <c r="I2" s="103" t="s">
        <v>63</v>
      </c>
      <c r="J2" s="25">
        <f ca="1">MAX(J$65:INDIRECT("G"&amp;$C$61))</f>
        <v>0</v>
      </c>
      <c r="K2" s="25">
        <f ca="1">MAX(K$65:INDIRECT("H"&amp;$C$61))</f>
        <v>0</v>
      </c>
      <c r="L2" s="25">
        <f ca="1">MAX(L$65:INDIRECT("I"&amp;$C$61))</f>
        <v>0</v>
      </c>
      <c r="M2" s="25">
        <f ca="1">MAX(M$65:INDIRECT("J"&amp;$C$61))</f>
        <v>0</v>
      </c>
      <c r="N2" s="25">
        <f ca="1">MAX(N$65:INDIRECT("K"&amp;$C$61))</f>
        <v>0</v>
      </c>
      <c r="O2" s="25">
        <f ca="1">MAX(O$65:INDIRECT("L"&amp;$C$61))</f>
        <v>0</v>
      </c>
      <c r="Q2" s="103" t="s">
        <v>64</v>
      </c>
      <c r="R2" s="25" t="e">
        <f ca="1">LARGE(J$65:INDIRECT("G"&amp;$C$61),2)</f>
        <v>#NUM!</v>
      </c>
      <c r="S2" s="25" t="e">
        <f ca="1">LARGE(K$65:INDIRECT("H"&amp;$C$61),2)</f>
        <v>#NUM!</v>
      </c>
      <c r="T2" s="25" t="e">
        <f ca="1">LARGE(L$65:INDIRECT("I"&amp;$C$61),2)</f>
        <v>#NUM!</v>
      </c>
      <c r="U2" s="25" t="e">
        <f ca="1">LARGE(M$65:INDIRECT("J"&amp;$C$61),2)</f>
        <v>#NUM!</v>
      </c>
      <c r="V2" s="25" t="e">
        <f ca="1">LARGE(N$65:INDIRECT("K"&amp;$C$61),2)</f>
        <v>#NUM!</v>
      </c>
      <c r="W2" s="25" t="e">
        <f ca="1">LARGE(O$65:INDIRECT("L"&amp;$C$61),2)</f>
        <v>#NUM!</v>
      </c>
      <c r="Y2" s="103" t="s">
        <v>65</v>
      </c>
      <c r="Z2" s="25" t="e">
        <f ca="1">LARGE(J$65:INDIRECT("G"&amp;$C$61),3)</f>
        <v>#NUM!</v>
      </c>
      <c r="AA2" s="25" t="e">
        <f ca="1">LARGE(K$65:INDIRECT("H"&amp;$C$61),3)</f>
        <v>#NUM!</v>
      </c>
      <c r="AB2" s="25" t="e">
        <f ca="1">LARGE(L$65:INDIRECT("I"&amp;$C$61),3)</f>
        <v>#NUM!</v>
      </c>
      <c r="AC2" s="25" t="e">
        <f ca="1">LARGE(M$65:INDIRECT("J"&amp;$C$61),3)</f>
        <v>#NUM!</v>
      </c>
      <c r="AD2" s="25" t="e">
        <f ca="1">LARGE(N$65:INDIRECT("K"&amp;$C$61),3)</f>
        <v>#NUM!</v>
      </c>
      <c r="AE2" s="25" t="e">
        <f ca="1">LARGE(O$65:INDIRECT("L"&amp;$C$61),3)</f>
        <v>#NUM!</v>
      </c>
      <c r="AI2" s="24" t="s">
        <v>163</v>
      </c>
    </row>
    <row r="3" spans="1:38" x14ac:dyDescent="0.25">
      <c r="A3" s="27" t="s">
        <v>172</v>
      </c>
      <c r="I3" s="103" t="s">
        <v>30</v>
      </c>
      <c r="J3" s="56" t="e">
        <f ca="1">MATCH(MAX(Q$65:INDIRECT(AB14&amp;$C$61)),Q$65:INDIRECT(AB14&amp;$C$61),0)</f>
        <v>#N/A</v>
      </c>
      <c r="K3" s="56" t="e">
        <f ca="1">MATCH(MAX(R$65:INDIRECT(AC14&amp;$C$61)),R$65:INDIRECT(AC14&amp;$C$61),0)</f>
        <v>#N/A</v>
      </c>
      <c r="L3" s="56" t="e">
        <f ca="1">MATCH(MAX(S$65:INDIRECT(AD14&amp;$C$61)),S$65:INDIRECT(AD14&amp;$C$61),0)</f>
        <v>#N/A</v>
      </c>
      <c r="M3" s="56" t="e">
        <f ca="1">MATCH(MAX(T$65:INDIRECT(AE14&amp;$C$61)),T$65:INDIRECT(AE14&amp;$C$61),0)</f>
        <v>#N/A</v>
      </c>
      <c r="N3" s="56" t="e">
        <f ca="1">MATCH(MAX(U$65:INDIRECT(AF14&amp;$C$61)),U$65:INDIRECT(AF14&amp;$C$61),0)</f>
        <v>#N/A</v>
      </c>
      <c r="O3" s="56" t="e">
        <f ca="1">MATCH(MAX(V$65:INDIRECT(AG14&amp;$C$61)),V$65:INDIRECT(AG14&amp;$C$61),0)</f>
        <v>#N/A</v>
      </c>
      <c r="Q3" s="103" t="s">
        <v>30</v>
      </c>
      <c r="R3" s="56" t="e">
        <f ca="1">MATCH(LARGE(Q$65:INDIRECT(AB14&amp;$C$61),2),Q$65:INDIRECT(AB14&amp;$C$61),0)</f>
        <v>#NUM!</v>
      </c>
      <c r="S3" s="56" t="e">
        <f ca="1">MATCH(LARGE(R$65:INDIRECT(AC14&amp;$C$61),2),R$65:INDIRECT(AC14&amp;$C$61),0)</f>
        <v>#NUM!</v>
      </c>
      <c r="T3" s="56" t="e">
        <f ca="1">MATCH(LARGE(S$65:INDIRECT(AD14&amp;$C$61),2),S$65:INDIRECT(AD14&amp;$C$61),0)</f>
        <v>#NUM!</v>
      </c>
      <c r="U3" s="56" t="e">
        <f ca="1">MATCH(LARGE(T$65:INDIRECT(AE14&amp;$C$61),2),T$65:INDIRECT(AE14&amp;$C$61),0)</f>
        <v>#NUM!</v>
      </c>
      <c r="V3" s="56" t="e">
        <f ca="1">MATCH(LARGE(U$65:INDIRECT(AF14&amp;$C$61),2),U$65:INDIRECT(AF14&amp;$C$61),0)</f>
        <v>#NUM!</v>
      </c>
      <c r="W3" s="56" t="e">
        <f ca="1">MATCH(LARGE(V$65:INDIRECT(AG14&amp;$C$61),2),V$65:INDIRECT(AG14&amp;$C$61),0)</f>
        <v>#NUM!</v>
      </c>
      <c r="Y3" s="103" t="s">
        <v>30</v>
      </c>
      <c r="Z3" s="56" t="e">
        <f ca="1">MATCH(LARGE(Q$65:INDIRECT(AB14&amp;$C$61),3),Q$65:INDIRECT(AB14&amp;$C$61),0)</f>
        <v>#NUM!</v>
      </c>
      <c r="AA3" s="56" t="e">
        <f ca="1">MATCH(LARGE(R$65:INDIRECT(AC14&amp;$C$61),3),R$65:INDIRECT(AC14&amp;$C$61),0)</f>
        <v>#NUM!</v>
      </c>
      <c r="AB3" s="56" t="e">
        <f ca="1">MATCH(LARGE(S$65:INDIRECT(AD14&amp;$C$61),3),S$65:INDIRECT(AD14&amp;$C$61),0)</f>
        <v>#NUM!</v>
      </c>
      <c r="AC3" s="56" t="e">
        <f ca="1">MATCH(LARGE(T$65:INDIRECT(AE14&amp;$C$61),3),T$65:INDIRECT(AE14&amp;$C$61),0)</f>
        <v>#NUM!</v>
      </c>
      <c r="AD3" s="56" t="e">
        <f ca="1">MATCH(LARGE(U$65:INDIRECT(AF14&amp;$C$61),3),U$65:INDIRECT(AF14&amp;$C$61),0)</f>
        <v>#NUM!</v>
      </c>
      <c r="AE3" s="56" t="e">
        <f ca="1">MATCH(LARGE(V$65:INDIRECT(AG14&amp;$C$61),3),V$65:INDIRECT(AG14&amp;$C$61),0)</f>
        <v>#NUM!</v>
      </c>
      <c r="AI3" s="24" t="s">
        <v>164</v>
      </c>
      <c r="AJ3" s="71" t="s">
        <v>146</v>
      </c>
    </row>
    <row r="4" spans="1:38" x14ac:dyDescent="0.25">
      <c r="I4" s="103"/>
      <c r="J4" s="67"/>
      <c r="K4" s="67"/>
      <c r="L4" s="67"/>
      <c r="M4" s="67"/>
      <c r="N4" s="67"/>
      <c r="O4" s="67"/>
      <c r="Q4" s="103"/>
      <c r="R4" s="67"/>
      <c r="S4" s="67"/>
      <c r="T4" s="67"/>
      <c r="U4" s="67"/>
      <c r="V4" s="67"/>
      <c r="W4" s="67"/>
      <c r="Y4" s="103"/>
      <c r="Z4" s="67"/>
      <c r="AA4" s="67"/>
      <c r="AB4" s="67"/>
      <c r="AC4" s="67"/>
      <c r="AD4" s="67"/>
      <c r="AE4" s="67"/>
      <c r="AI4" s="24" t="s">
        <v>165</v>
      </c>
      <c r="AJ4" s="71" t="s">
        <v>147</v>
      </c>
    </row>
    <row r="5" spans="1:38" x14ac:dyDescent="0.25">
      <c r="I5" s="103" t="s">
        <v>66</v>
      </c>
      <c r="J5" s="25">
        <f ca="1">MIN(J$65:INDIRECT("G"&amp;$C$61))</f>
        <v>0</v>
      </c>
      <c r="K5" s="25">
        <f ca="1">MIN(K$65:INDIRECT("H"&amp;$C$61))</f>
        <v>0</v>
      </c>
      <c r="L5" s="25">
        <f ca="1">MIN(L$65:INDIRECT("I"&amp;$C$61))</f>
        <v>0</v>
      </c>
      <c r="M5" s="25">
        <f ca="1">MIN(M$65:INDIRECT("J"&amp;$C$61))</f>
        <v>0</v>
      </c>
      <c r="N5" s="25">
        <f ca="1">MIN(N$65:INDIRECT("K"&amp;$C$61))</f>
        <v>0</v>
      </c>
      <c r="O5" s="25">
        <f ca="1">MIN(O$65:INDIRECT("L"&amp;$C$61))</f>
        <v>0</v>
      </c>
      <c r="Q5" s="103" t="s">
        <v>67</v>
      </c>
      <c r="R5" s="25" t="e">
        <f ca="1">SMALL(J$65:INDIRECT("G"&amp;$C$61),2)</f>
        <v>#NUM!</v>
      </c>
      <c r="S5" s="25" t="e">
        <f ca="1">SMALL(K$65:INDIRECT("H"&amp;$C$61),2)</f>
        <v>#NUM!</v>
      </c>
      <c r="T5" s="25" t="e">
        <f ca="1">SMALL(L$65:INDIRECT("I"&amp;$C$61),2)</f>
        <v>#NUM!</v>
      </c>
      <c r="U5" s="25" t="e">
        <f ca="1">SMALL(M$65:INDIRECT("J"&amp;$C$61),2)</f>
        <v>#NUM!</v>
      </c>
      <c r="V5" s="25" t="e">
        <f ca="1">SMALL(N$65:INDIRECT("K"&amp;$C$61),2)</f>
        <v>#NUM!</v>
      </c>
      <c r="W5" s="25" t="e">
        <f ca="1">SMALL(O$65:INDIRECT("L"&amp;$C$61),2)</f>
        <v>#NUM!</v>
      </c>
      <c r="Y5" s="103" t="s">
        <v>68</v>
      </c>
      <c r="Z5" s="25" t="e">
        <f ca="1">SMALL(J$65:INDIRECT("G"&amp;$C$61),3)</f>
        <v>#NUM!</v>
      </c>
      <c r="AA5" s="25" t="e">
        <f ca="1">SMALL(K$65:INDIRECT("H"&amp;$C$61),3)</f>
        <v>#NUM!</v>
      </c>
      <c r="AB5" s="25" t="e">
        <f ca="1">SMALL(L$65:INDIRECT("I"&amp;$C$61),3)</f>
        <v>#NUM!</v>
      </c>
      <c r="AC5" s="25" t="e">
        <f ca="1">SMALL(M$65:INDIRECT("J"&amp;$C$61),3)</f>
        <v>#NUM!</v>
      </c>
      <c r="AD5" s="25" t="e">
        <f ca="1">SMALL(N$65:INDIRECT("K"&amp;$C$61),3)</f>
        <v>#NUM!</v>
      </c>
      <c r="AE5" s="25" t="e">
        <f ca="1">SMALL(O$65:INDIRECT("L"&amp;$C$61),3)</f>
        <v>#NUM!</v>
      </c>
      <c r="AI5" s="24" t="s">
        <v>166</v>
      </c>
      <c r="AJ5" s="70" t="s">
        <v>148</v>
      </c>
    </row>
    <row r="6" spans="1:38" x14ac:dyDescent="0.25">
      <c r="I6" s="103" t="s">
        <v>30</v>
      </c>
      <c r="J6" s="56" t="e">
        <f ca="1">MATCH(MIN(Q$65:INDIRECT(AB14&amp;$C$61)),Q$65:INDIRECT(AB14&amp;$C$61),0)</f>
        <v>#N/A</v>
      </c>
      <c r="K6" s="56" t="e">
        <f ca="1">MATCH(MIN(R$65:INDIRECT(AC14&amp;$C$61)),R$65:INDIRECT(AC14&amp;$C$61),0)</f>
        <v>#N/A</v>
      </c>
      <c r="L6" s="56" t="e">
        <f ca="1">MATCH(MIN(S$65:INDIRECT(AD14&amp;$C$61)),S$65:INDIRECT(AD14&amp;$C$61),0)</f>
        <v>#N/A</v>
      </c>
      <c r="M6" s="56" t="e">
        <f ca="1">MATCH(MIN(T$65:INDIRECT(AE14&amp;$C$61)),T$65:INDIRECT(AE14&amp;$C$61),0)</f>
        <v>#N/A</v>
      </c>
      <c r="N6" s="56" t="e">
        <f ca="1">MATCH(MIN(U$65:INDIRECT(AF14&amp;$C$61)),U$65:INDIRECT(AF14&amp;$C$61),0)</f>
        <v>#N/A</v>
      </c>
      <c r="O6" s="56" t="e">
        <f ca="1">MATCH(MIN(V$65:INDIRECT(AG14&amp;$C$61)),V$65:INDIRECT(AG14&amp;$C$61),0)</f>
        <v>#N/A</v>
      </c>
      <c r="Q6" s="103" t="s">
        <v>30</v>
      </c>
      <c r="R6" s="56" t="e">
        <f ca="1">MATCH(SMALL(Q$65:INDIRECT(AB14&amp;$C$61),2),Q$65:INDIRECT(AB14&amp;$C$61),0)</f>
        <v>#NUM!</v>
      </c>
      <c r="S6" s="56" t="e">
        <f ca="1">MATCH(SMALL(R$65:INDIRECT(AC14&amp;$C$61),2),R$65:INDIRECT(AC14&amp;$C$61),0)</f>
        <v>#NUM!</v>
      </c>
      <c r="T6" s="56" t="e">
        <f ca="1">MATCH(SMALL(S$65:INDIRECT(AD14&amp;$C$61),2),S$65:INDIRECT(AD14&amp;$C$61),0)</f>
        <v>#NUM!</v>
      </c>
      <c r="U6" s="56" t="e">
        <f ca="1">MATCH(SMALL(T$65:INDIRECT(AE14&amp;$C$61),2),T$65:INDIRECT(AE14&amp;$C$61),0)</f>
        <v>#NUM!</v>
      </c>
      <c r="V6" s="56" t="e">
        <f ca="1">MATCH(SMALL(U$65:INDIRECT(AF14&amp;$C$61),2),U$65:INDIRECT(AF14&amp;$C$61),0)</f>
        <v>#NUM!</v>
      </c>
      <c r="W6" s="56" t="e">
        <f ca="1">MATCH(SMALL(V$65:INDIRECT(AG14&amp;$C$61),2),V$65:INDIRECT(AG14&amp;$C$61),0)</f>
        <v>#NUM!</v>
      </c>
      <c r="Y6" s="103" t="s">
        <v>30</v>
      </c>
      <c r="Z6" s="56" t="e">
        <f ca="1">MATCH(SMALL(Q$65:INDIRECT(AB14&amp;$C$61),3),Q$65:INDIRECT(AB14&amp;$C$61),0)</f>
        <v>#NUM!</v>
      </c>
      <c r="AA6" s="56" t="e">
        <f ca="1">MATCH(SMALL(R$65:INDIRECT(AC14&amp;$C$61),3),R$65:INDIRECT(AC14&amp;$C$61),0)</f>
        <v>#NUM!</v>
      </c>
      <c r="AB6" s="56" t="e">
        <f ca="1">MATCH(SMALL(S$65:INDIRECT(AD14&amp;$C$61),3),S$65:INDIRECT(AD14&amp;$C$61),0)</f>
        <v>#NUM!</v>
      </c>
      <c r="AC6" s="56" t="e">
        <f ca="1">MATCH(SMALL(T$65:INDIRECT(AE14&amp;$C$61),3),T$65:INDIRECT(AE14&amp;$C$61),0)</f>
        <v>#NUM!</v>
      </c>
      <c r="AD6" s="56" t="e">
        <f ca="1">MATCH(SMALL(U$65:INDIRECT(AF14&amp;$C$61),3),U$65:INDIRECT(AF14&amp;$C$61),0)</f>
        <v>#NUM!</v>
      </c>
      <c r="AE6" s="56" t="e">
        <f ca="1">MATCH(SMALL(V$65:INDIRECT(AG14&amp;$C$61),3),V$65:INDIRECT(AG14&amp;$C$61),0)</f>
        <v>#NUM!</v>
      </c>
      <c r="AI6" s="24" t="s">
        <v>167</v>
      </c>
      <c r="AJ6" s="70" t="s">
        <v>159</v>
      </c>
    </row>
    <row r="7" spans="1:38" x14ac:dyDescent="0.25">
      <c r="Q7" s="104"/>
      <c r="AJ7" s="72" t="s">
        <v>160</v>
      </c>
    </row>
    <row r="8" spans="1:38" x14ac:dyDescent="0.25">
      <c r="Q8" s="104"/>
      <c r="AJ8" t="s">
        <v>161</v>
      </c>
    </row>
    <row r="9" spans="1:38" x14ac:dyDescent="0.25">
      <c r="Q9" s="104"/>
    </row>
    <row r="10" spans="1:38" x14ac:dyDescent="0.25">
      <c r="Q10" s="104"/>
      <c r="AC10" s="23"/>
      <c r="AD10" s="64" t="s">
        <v>176</v>
      </c>
      <c r="AE10" s="76">
        <v>0</v>
      </c>
      <c r="AF10" t="s">
        <v>183</v>
      </c>
    </row>
    <row r="11" spans="1:38" x14ac:dyDescent="0.25">
      <c r="Q11" s="104"/>
      <c r="AC11" s="23"/>
      <c r="AD11" s="64" t="s">
        <v>177</v>
      </c>
      <c r="AE11" s="76">
        <v>2983</v>
      </c>
    </row>
    <row r="12" spans="1:38" x14ac:dyDescent="0.25">
      <c r="D12" s="69" t="s">
        <v>0</v>
      </c>
      <c r="E12" s="69" t="s">
        <v>266</v>
      </c>
      <c r="F12" s="106" t="s">
        <v>191</v>
      </c>
      <c r="G12" s="28" t="s">
        <v>192</v>
      </c>
      <c r="H12" s="28" t="s">
        <v>193</v>
      </c>
      <c r="I12" s="28" t="s">
        <v>194</v>
      </c>
      <c r="J12" t="s">
        <v>129</v>
      </c>
      <c r="K12" t="s">
        <v>5</v>
      </c>
      <c r="L12" t="s">
        <v>6</v>
      </c>
      <c r="M12" t="s">
        <v>7</v>
      </c>
      <c r="N12" t="s">
        <v>8</v>
      </c>
      <c r="O12" t="s">
        <v>9</v>
      </c>
      <c r="P12" t="s">
        <v>10</v>
      </c>
      <c r="Q12" s="104"/>
      <c r="T12" s="69" t="s">
        <v>122</v>
      </c>
      <c r="U12" s="69" t="s">
        <v>0</v>
      </c>
      <c r="V12" s="69" t="s">
        <v>266</v>
      </c>
      <c r="W12" s="28" t="s">
        <v>191</v>
      </c>
      <c r="X12" s="28" t="s">
        <v>192</v>
      </c>
      <c r="Y12" s="28" t="s">
        <v>193</v>
      </c>
      <c r="Z12" s="28" t="s">
        <v>194</v>
      </c>
      <c r="AA12" s="69" t="s">
        <v>129</v>
      </c>
      <c r="AB12" s="69" t="s">
        <v>123</v>
      </c>
      <c r="AC12" s="69" t="s">
        <v>124</v>
      </c>
      <c r="AD12" s="69" t="s">
        <v>125</v>
      </c>
      <c r="AE12" s="69" t="s">
        <v>126</v>
      </c>
      <c r="AF12" s="69" t="s">
        <v>127</v>
      </c>
      <c r="AG12" s="69" t="s">
        <v>128</v>
      </c>
      <c r="AH12" s="69" t="s">
        <v>153</v>
      </c>
      <c r="AI12" s="69" t="s">
        <v>149</v>
      </c>
      <c r="AJ12" s="69" t="s">
        <v>162</v>
      </c>
      <c r="AL12" s="86"/>
    </row>
    <row r="13" spans="1:38" x14ac:dyDescent="0.25">
      <c r="D13" s="69"/>
      <c r="F13" s="69"/>
      <c r="Q13" s="104"/>
      <c r="T13" s="24"/>
      <c r="AB13" s="69" t="s">
        <v>150</v>
      </c>
      <c r="AC13" s="69" t="s">
        <v>151</v>
      </c>
      <c r="AD13" s="69" t="s">
        <v>152</v>
      </c>
      <c r="AE13" s="69" t="s">
        <v>198</v>
      </c>
      <c r="AF13" s="69" t="s">
        <v>154</v>
      </c>
      <c r="AG13" s="69" t="s">
        <v>155</v>
      </c>
      <c r="AH13" s="69"/>
      <c r="AI13" s="69"/>
      <c r="AJ13" s="69"/>
    </row>
    <row r="14" spans="1:38" x14ac:dyDescent="0.25">
      <c r="C14" s="24" t="s">
        <v>30</v>
      </c>
      <c r="D14" s="69"/>
      <c r="E14" s="69"/>
      <c r="F14" s="69"/>
      <c r="Q14" s="104"/>
      <c r="T14" s="24"/>
      <c r="V14" s="69"/>
      <c r="AB14" s="69" t="s">
        <v>156</v>
      </c>
      <c r="AC14" s="69" t="s">
        <v>157</v>
      </c>
      <c r="AD14" s="69" t="s">
        <v>158</v>
      </c>
      <c r="AE14" s="69" t="s">
        <v>195</v>
      </c>
      <c r="AF14" s="69" t="s">
        <v>196</v>
      </c>
      <c r="AG14" s="69" t="s">
        <v>197</v>
      </c>
      <c r="AH14" s="69"/>
      <c r="AI14" s="69"/>
      <c r="AJ14" s="69"/>
    </row>
    <row r="15" spans="1:38" x14ac:dyDescent="0.25">
      <c r="A15" s="73" t="s">
        <v>69</v>
      </c>
      <c r="B15" s="69" t="s">
        <v>31</v>
      </c>
      <c r="C15" s="73" t="e">
        <f ca="1">J3</f>
        <v>#N/A</v>
      </c>
      <c r="D15" s="69" t="e">
        <f ca="1">INDEX(D$65:INDIRECT("D"&amp;$C$61),$C15)</f>
        <v>#N/A</v>
      </c>
      <c r="E15" s="69" t="e">
        <f ca="1">INDEX(INDIRECT(("'MemberID'!$C$6:C"&amp;MemberID!$C$1)),MATCH(D15,INDIRECT(("'MemberID'!$G$6:G"&amp;MemberID!$C$1)),0))</f>
        <v>#N/A</v>
      </c>
      <c r="F15" s="69" t="e">
        <f ca="1">INDEX(E$65:INDIRECT("E"&amp;$C$61),$C15)</f>
        <v>#N/A</v>
      </c>
      <c r="G15" t="e">
        <f ca="1">INDEX(F$65:INDIRECT("F"&amp;$C$61),$C15)</f>
        <v>#N/A</v>
      </c>
      <c r="H15" t="e">
        <f ca="1">INDEX(G$65:INDIRECT("G"&amp;$C$61),$C15)</f>
        <v>#N/A</v>
      </c>
      <c r="I15" t="e">
        <f ca="1">INDEX(H$65:INDIRECT("H"&amp;$C$61),$C15)</f>
        <v>#N/A</v>
      </c>
      <c r="J15" t="e">
        <f ca="1">INDEX(I$65:INDIRECT("I"&amp;$C$61),$C15)</f>
        <v>#N/A</v>
      </c>
      <c r="K15" s="23" t="e">
        <f ca="1">INDEX(J$65:INDIRECT("J"&amp;$C$61),$C15)</f>
        <v>#N/A</v>
      </c>
      <c r="L15" t="e">
        <f ca="1">INDEX(K$65:INDIRECT("K"&amp;$C$61),$C15)</f>
        <v>#N/A</v>
      </c>
      <c r="M15" t="e">
        <f ca="1">INDEX(L$65:INDIRECT("L"&amp;$C$61),$C15)</f>
        <v>#N/A</v>
      </c>
      <c r="N15" t="e">
        <f ca="1">INDEX(M$65:INDIRECT("M"&amp;$C$61),$C15)</f>
        <v>#N/A</v>
      </c>
      <c r="O15" t="e">
        <f ca="1">INDEX(N$65:INDIRECT("N"&amp;$C$61),$C15)</f>
        <v>#N/A</v>
      </c>
      <c r="P15" t="e">
        <f ca="1">INDEX(O$65:INDIRECT("O"&amp;$C$61),$C15)</f>
        <v>#N/A</v>
      </c>
      <c r="Q15" s="104"/>
      <c r="R15" s="73" t="s">
        <v>69</v>
      </c>
      <c r="S15" s="69" t="s">
        <v>31</v>
      </c>
      <c r="T15" s="73" t="e">
        <f t="array" aca="1" ref="T15" ca="1">MATCH(IF(ISBLANK($AE$11),LARGE(IF($E$65:INDIRECT("E"&amp;$C$61)=$AE$10,INDIRECT(AJ15&amp;65):INDIRECT(AJ15&amp;$C$61)),$AH15),IF(ISBLANK($AE$10),LARGE(IF($D$65:INDIRECT("D"&amp;$C$61)=$AE$11,INDIRECT(AJ15&amp;65):INDIRECT(AJ15&amp;$C$61)),$AH15),LARGE(IF(($E$65:INDIRECT("E"&amp;$C$61)=$AE$10)*($D$65:INDIRECT("D"&amp;$C$61)=$AE$11),INDIRECT(AJ15&amp;65):INDIRECT(AJ15&amp;$C$61)),$AH15))),INDIRECT(AJ15&amp;65):INDIRECT(AJ15&amp;$C$61),0)</f>
        <v>#NUM!</v>
      </c>
      <c r="U15" s="69" t="e">
        <f ca="1">INDEX(D$65:INDIRECT("D"&amp;$C$61),$T15)</f>
        <v>#NUM!</v>
      </c>
      <c r="V15" s="69" t="e">
        <f ca="1">INDEX(INDIRECT(("'MemberID'!$C$6:C"&amp;MemberID!$C$1)),MATCH(U15,INDIRECT(("'MemberID'!$G$6:G"&amp;MemberID!$C$1)),0))</f>
        <v>#NUM!</v>
      </c>
      <c r="W15" s="69" t="e">
        <f ca="1">INDEX(E$65:INDIRECT("E"&amp;$C$61),$T15)</f>
        <v>#NUM!</v>
      </c>
      <c r="X15" t="e">
        <f ca="1">INDEX(F$65:INDIRECT("F"&amp;$C$61),$T15)</f>
        <v>#NUM!</v>
      </c>
      <c r="Y15" t="e">
        <f ca="1">INDEX(G$65:INDIRECT("G"&amp;$C$61),$T15)</f>
        <v>#NUM!</v>
      </c>
      <c r="Z15" t="e">
        <f ca="1">INDEX(H$65:INDIRECT("H"&amp;$C$61),$T15)</f>
        <v>#NUM!</v>
      </c>
      <c r="AA15" t="e">
        <f ca="1">INDEX(I$65:INDIRECT("I"&amp;$C$61),$T15)</f>
        <v>#NUM!</v>
      </c>
      <c r="AB15" s="23" t="e">
        <f t="array" aca="1" ref="AB15" ca="1">IF(ISBLANK($AE$11),LARGE(IF($E$65:INDIRECT("E"&amp;$C$61)=$AE$10,J$65:INDIRECT(AB$13&amp;$C$61)),$AH15),IF(ISBLANK($AE$10),LARGE(IF($D$65:INDIRECT("D"&amp;$C$61)=$AE$11,J$65:INDIRECT(AB$13&amp;$C$61)),$AH15),LARGE(IF(($E$65:INDIRECT("E"&amp;$C$61)=$AE$10)*($D$65:INDIRECT("D"&amp;$C$61)=$AE$11),J$65:INDIRECT(AB$13&amp;$C$61)),$AH15)))</f>
        <v>#NUM!</v>
      </c>
      <c r="AC15" t="e">
        <f ca="1">INDEX(K$65:INDIRECT("K"&amp;$C$61),$T15)</f>
        <v>#NUM!</v>
      </c>
      <c r="AD15" t="e">
        <f ca="1">INDEX(L$65:INDIRECT("L"&amp;$C$61),$T15)</f>
        <v>#NUM!</v>
      </c>
      <c r="AE15" t="e">
        <f ca="1">INDEX(M$65:INDIRECT("M"&amp;$C$61),$T15)</f>
        <v>#NUM!</v>
      </c>
      <c r="AF15" t="e">
        <f ca="1">INDEX(N$65:INDIRECT("N"&amp;$C$61),$T15)</f>
        <v>#NUM!</v>
      </c>
      <c r="AG15" t="e">
        <f ca="1">INDEX(O$65:INDIRECT("O"&amp;$C$61),$T15)</f>
        <v>#NUM!</v>
      </c>
      <c r="AH15" s="69">
        <v>1</v>
      </c>
      <c r="AI15" s="69" t="s">
        <v>150</v>
      </c>
      <c r="AJ15" s="69" t="s">
        <v>156</v>
      </c>
    </row>
    <row r="16" spans="1:38" x14ac:dyDescent="0.25">
      <c r="A16" s="73" t="s">
        <v>70</v>
      </c>
      <c r="B16" s="69" t="s">
        <v>31</v>
      </c>
      <c r="C16" s="73" t="e">
        <f ca="1">R3</f>
        <v>#NUM!</v>
      </c>
      <c r="D16" s="69" t="e">
        <f ca="1">INDEX(D$65:INDIRECT("D"&amp;$C$61),$C16)</f>
        <v>#NUM!</v>
      </c>
      <c r="E16" s="69" t="e">
        <f ca="1">INDEX(INDIRECT(("'MemberID'!$C$6:C"&amp;MemberID!$C$1)),MATCH(D16,INDIRECT(("'MemberID'!$G$6:G"&amp;MemberID!$C$1)),0))</f>
        <v>#NUM!</v>
      </c>
      <c r="F16" s="69" t="e">
        <f ca="1">INDEX(E$65:INDIRECT("E"&amp;$C$61),$C16)</f>
        <v>#NUM!</v>
      </c>
      <c r="G16" t="e">
        <f ca="1">INDEX(F$65:INDIRECT("F"&amp;$C$61),$C16)</f>
        <v>#NUM!</v>
      </c>
      <c r="H16" t="e">
        <f ca="1">INDEX(G$65:INDIRECT("G"&amp;$C$61),$C16)</f>
        <v>#NUM!</v>
      </c>
      <c r="I16" t="e">
        <f ca="1">INDEX(H$65:INDIRECT("H"&amp;$C$61),$C16)</f>
        <v>#NUM!</v>
      </c>
      <c r="J16" t="e">
        <f ca="1">INDEX(I$65:INDIRECT("I"&amp;$C$61),$C16)</f>
        <v>#NUM!</v>
      </c>
      <c r="K16" s="23" t="e">
        <f ca="1">INDEX(J$65:INDIRECT("J"&amp;$C$61),$C16)</f>
        <v>#NUM!</v>
      </c>
      <c r="L16" t="e">
        <f ca="1">INDEX(K$65:INDIRECT("K"&amp;$C$61),$C16)</f>
        <v>#NUM!</v>
      </c>
      <c r="M16" t="e">
        <f ca="1">INDEX(L$65:INDIRECT("L"&amp;$C$61),$C16)</f>
        <v>#NUM!</v>
      </c>
      <c r="N16" t="e">
        <f ca="1">INDEX(M$65:INDIRECT("M"&amp;$C$61),$C16)</f>
        <v>#NUM!</v>
      </c>
      <c r="O16" t="e">
        <f ca="1">INDEX(N$65:INDIRECT("N"&amp;$C$61),$C16)</f>
        <v>#NUM!</v>
      </c>
      <c r="P16" t="e">
        <f ca="1">INDEX(O$65:INDIRECT("O"&amp;$C$61),$C16)</f>
        <v>#NUM!</v>
      </c>
      <c r="Q16" s="104"/>
      <c r="R16" s="73" t="s">
        <v>70</v>
      </c>
      <c r="S16" s="69" t="s">
        <v>31</v>
      </c>
      <c r="T16" s="73" t="e">
        <f t="array" aca="1" ref="T16" ca="1">MATCH(IF(ISBLANK($AE$11),LARGE(IF($E$65:INDIRECT("E"&amp;$C$61)=$AE$10,INDIRECT(AJ16&amp;65):INDIRECT(AJ16&amp;$C$61)),$AH16),IF(ISBLANK($AE$10),LARGE(IF($D$65:INDIRECT("D"&amp;$C$61)=$AE$11,INDIRECT(AJ16&amp;65):INDIRECT(AJ16&amp;$C$61)),$AH16),LARGE(IF(($E$65:INDIRECT("E"&amp;$C$61)=$AE$10)*($D$65:INDIRECT("D"&amp;$C$61)=$AE$11),INDIRECT(AJ16&amp;65):INDIRECT(AJ16&amp;$C$61)),$AH16))),INDIRECT(AJ16&amp;65):INDIRECT(AJ16&amp;$C$61),0)</f>
        <v>#NUM!</v>
      </c>
      <c r="U16" s="69" t="e">
        <f ca="1">INDEX(D$65:INDIRECT("D"&amp;$C$61),$T16)</f>
        <v>#NUM!</v>
      </c>
      <c r="V16" s="69" t="e">
        <f ca="1">INDEX(INDIRECT(("'MemberID'!$C$6:C"&amp;MemberID!$C$1)),MATCH(U16,INDIRECT(("'MemberID'!$G$6:G"&amp;MemberID!$C$1)),0))</f>
        <v>#NUM!</v>
      </c>
      <c r="W16" s="69" t="e">
        <f ca="1">INDEX(E$65:INDIRECT("E"&amp;$C$61),$T16)</f>
        <v>#NUM!</v>
      </c>
      <c r="X16" t="e">
        <f ca="1">INDEX(F$65:INDIRECT("F"&amp;$C$61),$T16)</f>
        <v>#NUM!</v>
      </c>
      <c r="Y16" t="e">
        <f ca="1">INDEX(G$65:INDIRECT("G"&amp;$C$61),$T16)</f>
        <v>#NUM!</v>
      </c>
      <c r="Z16" t="e">
        <f ca="1">INDEX(H$65:INDIRECT("H"&amp;$C$61),$T16)</f>
        <v>#NUM!</v>
      </c>
      <c r="AA16" t="e">
        <f ca="1">INDEX(I$65:INDIRECT("I"&amp;$C$61),$T16)</f>
        <v>#NUM!</v>
      </c>
      <c r="AB16" s="23" t="e">
        <f t="array" aca="1" ref="AB16" ca="1">IF(ISBLANK($AE$11),LARGE(IF($E$65:INDIRECT("E"&amp;$C$61)=$AE$10,J$65:INDIRECT(AB$13&amp;$C$61)),$AH16),IF(ISBLANK($AE$10),LARGE(IF($D$65:INDIRECT("D"&amp;$C$61)=$AE$11,J$65:INDIRECT(AB$13&amp;$C$61)),$AH16),LARGE(IF(($E$65:INDIRECT("E"&amp;$C$61)=$AE$10)*($D$65:INDIRECT("D"&amp;$C$61)=$AE$11),J$65:INDIRECT(AB$13&amp;$C$61)),$AH16)))</f>
        <v>#NUM!</v>
      </c>
      <c r="AC16" t="e">
        <f ca="1">INDEX(K$65:INDIRECT("K"&amp;$C$61),$T16)</f>
        <v>#NUM!</v>
      </c>
      <c r="AD16" t="e">
        <f ca="1">INDEX(L$65:INDIRECT("L"&amp;$C$61),$T16)</f>
        <v>#NUM!</v>
      </c>
      <c r="AE16" t="e">
        <f ca="1">INDEX(M$65:INDIRECT("M"&amp;$C$61),$T16)</f>
        <v>#NUM!</v>
      </c>
      <c r="AF16" t="e">
        <f ca="1">INDEX(N$65:INDIRECT("N"&amp;$C$61),$T16)</f>
        <v>#NUM!</v>
      </c>
      <c r="AG16" t="e">
        <f ca="1">INDEX(O$65:INDIRECT("O"&amp;$C$61),$T16)</f>
        <v>#NUM!</v>
      </c>
      <c r="AH16" s="69">
        <v>2</v>
      </c>
      <c r="AI16" s="69" t="str">
        <f>AI15</f>
        <v>J</v>
      </c>
      <c r="AJ16" s="69" t="str">
        <f>AJ15</f>
        <v>Q</v>
      </c>
    </row>
    <row r="17" spans="1:36" x14ac:dyDescent="0.25">
      <c r="A17" s="73" t="s">
        <v>71</v>
      </c>
      <c r="B17" s="69" t="s">
        <v>31</v>
      </c>
      <c r="C17" s="73" t="e">
        <f ca="1">Z3</f>
        <v>#NUM!</v>
      </c>
      <c r="D17" s="69" t="e">
        <f ca="1">INDEX(D$65:INDIRECT("D"&amp;$C$61),$C17)</f>
        <v>#NUM!</v>
      </c>
      <c r="E17" s="69" t="e">
        <f ca="1">INDEX(INDIRECT(("'MemberID'!$C$6:C"&amp;MemberID!$C$1)),MATCH(D17,INDIRECT(("'MemberID'!$G$6:G"&amp;MemberID!$C$1)),0))</f>
        <v>#NUM!</v>
      </c>
      <c r="F17" s="69" t="e">
        <f ca="1">INDEX(E$65:INDIRECT("E"&amp;$C$61),$C17)</f>
        <v>#NUM!</v>
      </c>
      <c r="G17" t="e">
        <f ca="1">INDEX(F$65:INDIRECT("F"&amp;$C$61),$C17)</f>
        <v>#NUM!</v>
      </c>
      <c r="H17" t="e">
        <f ca="1">INDEX(G$65:INDIRECT("G"&amp;$C$61),$C17)</f>
        <v>#NUM!</v>
      </c>
      <c r="I17" t="e">
        <f ca="1">INDEX(H$65:INDIRECT("H"&amp;$C$61),$C17)</f>
        <v>#NUM!</v>
      </c>
      <c r="J17" t="e">
        <f ca="1">INDEX(I$65:INDIRECT("I"&amp;$C$61),$C17)</f>
        <v>#NUM!</v>
      </c>
      <c r="K17" s="23" t="e">
        <f ca="1">INDEX(J$65:INDIRECT("J"&amp;$C$61),$C17)</f>
        <v>#NUM!</v>
      </c>
      <c r="L17" t="e">
        <f ca="1">INDEX(K$65:INDIRECT("K"&amp;$C$61),$C17)</f>
        <v>#NUM!</v>
      </c>
      <c r="M17" t="e">
        <f ca="1">INDEX(L$65:INDIRECT("L"&amp;$C$61),$C17)</f>
        <v>#NUM!</v>
      </c>
      <c r="N17" t="e">
        <f ca="1">INDEX(M$65:INDIRECT("M"&amp;$C$61),$C17)</f>
        <v>#NUM!</v>
      </c>
      <c r="O17" t="e">
        <f ca="1">INDEX(N$65:INDIRECT("N"&amp;$C$61),$C17)</f>
        <v>#NUM!</v>
      </c>
      <c r="P17" t="e">
        <f ca="1">INDEX(O$65:INDIRECT("O"&amp;$C$61),$C17)</f>
        <v>#NUM!</v>
      </c>
      <c r="Q17" s="104"/>
      <c r="R17" s="73" t="s">
        <v>71</v>
      </c>
      <c r="S17" s="69" t="s">
        <v>31</v>
      </c>
      <c r="T17" s="73" t="e">
        <f t="array" aca="1" ref="T17" ca="1">MATCH(IF(ISBLANK($AE$11),LARGE(IF($E$65:INDIRECT("E"&amp;$C$61)=$AE$10,INDIRECT(AJ17&amp;65):INDIRECT(AJ17&amp;$C$61)),$AH17),IF(ISBLANK($AE$10),LARGE(IF($D$65:INDIRECT("D"&amp;$C$61)=$AE$11,INDIRECT(AJ17&amp;65):INDIRECT(AJ17&amp;$C$61)),$AH17),LARGE(IF(($E$65:INDIRECT("E"&amp;$C$61)=$AE$10)*($D$65:INDIRECT("D"&amp;$C$61)=$AE$11),INDIRECT(AJ17&amp;65):INDIRECT(AJ17&amp;$C$61)),$AH17))),INDIRECT(AJ17&amp;65):INDIRECT(AJ17&amp;$C$61),0)</f>
        <v>#NUM!</v>
      </c>
      <c r="U17" s="69" t="e">
        <f ca="1">INDEX(D$65:INDIRECT("D"&amp;$C$61),$T17)</f>
        <v>#NUM!</v>
      </c>
      <c r="V17" s="69" t="e">
        <f ca="1">INDEX(INDIRECT(("'MemberID'!$C$6:C"&amp;MemberID!$C$1)),MATCH(U17,INDIRECT(("'MemberID'!$G$6:G"&amp;MemberID!$C$1)),0))</f>
        <v>#NUM!</v>
      </c>
      <c r="W17" s="69" t="e">
        <f ca="1">INDEX(E$65:INDIRECT("E"&amp;$C$61),$T17)</f>
        <v>#NUM!</v>
      </c>
      <c r="X17" t="e">
        <f ca="1">INDEX(F$65:INDIRECT("F"&amp;$C$61),$T17)</f>
        <v>#NUM!</v>
      </c>
      <c r="Y17" t="e">
        <f ca="1">INDEX(G$65:INDIRECT("G"&amp;$C$61),$T17)</f>
        <v>#NUM!</v>
      </c>
      <c r="Z17" t="e">
        <f ca="1">INDEX(H$65:INDIRECT("H"&amp;$C$61),$T17)</f>
        <v>#NUM!</v>
      </c>
      <c r="AA17" t="e">
        <f ca="1">INDEX(I$65:INDIRECT("I"&amp;$C$61),$T17)</f>
        <v>#NUM!</v>
      </c>
      <c r="AB17" s="23" t="e">
        <f t="array" aca="1" ref="AB17" ca="1">IF(ISBLANK($AE$11),LARGE(IF($E$65:INDIRECT("E"&amp;$C$61)=$AE$10,J$65:INDIRECT(AB$13&amp;$C$61)),$AH17),IF(ISBLANK($AE$10),LARGE(IF($D$65:INDIRECT("D"&amp;$C$61)=$AE$11,J$65:INDIRECT(AB$13&amp;$C$61)),$AH17),LARGE(IF(($E$65:INDIRECT("E"&amp;$C$61)=$AE$10)*($D$65:INDIRECT("D"&amp;$C$61)=$AE$11),J$65:INDIRECT(AB$13&amp;$C$61)),$AH17)))</f>
        <v>#NUM!</v>
      </c>
      <c r="AC17" t="e">
        <f ca="1">INDEX(K$65:INDIRECT("K"&amp;$C$61),$T17)</f>
        <v>#NUM!</v>
      </c>
      <c r="AD17" t="e">
        <f ca="1">INDEX(L$65:INDIRECT("L"&amp;$C$61),$T17)</f>
        <v>#NUM!</v>
      </c>
      <c r="AE17" t="e">
        <f ca="1">INDEX(M$65:INDIRECT("M"&amp;$C$61),$T17)</f>
        <v>#NUM!</v>
      </c>
      <c r="AF17" t="e">
        <f ca="1">INDEX(N$65:INDIRECT("N"&amp;$C$61),$T17)</f>
        <v>#NUM!</v>
      </c>
      <c r="AG17" t="e">
        <f ca="1">INDEX(O$65:INDIRECT("O"&amp;$C$61),$T17)</f>
        <v>#NUM!</v>
      </c>
      <c r="AH17" s="69">
        <v>3</v>
      </c>
      <c r="AI17" s="69" t="str">
        <f t="shared" ref="AI17:AJ20" si="0">AI16</f>
        <v>J</v>
      </c>
      <c r="AJ17" s="69" t="str">
        <f t="shared" si="0"/>
        <v>Q</v>
      </c>
    </row>
    <row r="18" spans="1:36" x14ac:dyDescent="0.25">
      <c r="A18" s="74" t="s">
        <v>72</v>
      </c>
      <c r="B18" s="69" t="s">
        <v>31</v>
      </c>
      <c r="C18" s="74" t="e">
        <f ca="1">J6</f>
        <v>#N/A</v>
      </c>
      <c r="D18" s="69" t="e">
        <f ca="1">INDEX(D$65:INDIRECT("D"&amp;$C$61),$C18)</f>
        <v>#N/A</v>
      </c>
      <c r="E18" s="69" t="e">
        <f ca="1">INDEX(INDIRECT(("'MemberID'!$C$6:C"&amp;MemberID!$C$1)),MATCH(D18,INDIRECT(("'MemberID'!$G$6:G"&amp;MemberID!$C$1)),0))</f>
        <v>#N/A</v>
      </c>
      <c r="F18" s="69" t="e">
        <f ca="1">INDEX(E$65:INDIRECT("E"&amp;$C$61),$C18)</f>
        <v>#N/A</v>
      </c>
      <c r="G18" t="e">
        <f ca="1">INDEX(F$65:INDIRECT("F"&amp;$C$61),$C18)</f>
        <v>#N/A</v>
      </c>
      <c r="H18" t="e">
        <f ca="1">INDEX(G$65:INDIRECT("G"&amp;$C$61),$C18)</f>
        <v>#N/A</v>
      </c>
      <c r="I18" t="e">
        <f ca="1">INDEX(H$65:INDIRECT("H"&amp;$C$61),$C18)</f>
        <v>#N/A</v>
      </c>
      <c r="J18" t="e">
        <f ca="1">INDEX(I$65:INDIRECT("I"&amp;$C$61),$C18)</f>
        <v>#N/A</v>
      </c>
      <c r="K18" s="23" t="e">
        <f ca="1">INDEX(J$65:INDIRECT("J"&amp;$C$61),$C18)</f>
        <v>#N/A</v>
      </c>
      <c r="L18" t="e">
        <f ca="1">INDEX(K$65:INDIRECT("K"&amp;$C$61),$C18)</f>
        <v>#N/A</v>
      </c>
      <c r="M18" t="e">
        <f ca="1">INDEX(L$65:INDIRECT("L"&amp;$C$61),$C18)</f>
        <v>#N/A</v>
      </c>
      <c r="N18" t="e">
        <f ca="1">INDEX(M$65:INDIRECT("M"&amp;$C$61),$C18)</f>
        <v>#N/A</v>
      </c>
      <c r="O18" t="e">
        <f ca="1">INDEX(N$65:INDIRECT("N"&amp;$C$61),$C18)</f>
        <v>#N/A</v>
      </c>
      <c r="P18" t="e">
        <f ca="1">INDEX(O$65:INDIRECT("O"&amp;$C$61),$C18)</f>
        <v>#N/A</v>
      </c>
      <c r="Q18" s="104"/>
      <c r="R18" s="74" t="s">
        <v>72</v>
      </c>
      <c r="S18" s="69" t="s">
        <v>31</v>
      </c>
      <c r="T18" s="74" t="e">
        <f t="array" aca="1" ref="T18" ca="1">MATCH(IF(ISBLANK($AE$11),SMALL(IF($E$65:INDIRECT("E"&amp;$C$61)=$AE$10,INDIRECT(AJ18&amp;65):INDIRECT(AJ18&amp;$C$61)),$AH18),IF(ISBLANK($AE$10),SMALL(IF($D$65:INDIRECT("D"&amp;$C$61)=$AE$11,INDIRECT(AJ18&amp;65):INDIRECT(AJ18&amp;$C$61)),$AH18),SMALL(IF(($E$65:INDIRECT("E"&amp;$C$61)=$AE$10)*($D$65:INDIRECT("D"&amp;$C$61)=$AE$11),INDIRECT(AJ18&amp;65):INDIRECT(AJ18&amp;$C$61)),$AH18))),INDIRECT(AJ18&amp;65):INDIRECT(AJ18&amp;$C$61),0)</f>
        <v>#NUM!</v>
      </c>
      <c r="U18" s="69" t="e">
        <f ca="1">INDEX(D$65:INDIRECT("D"&amp;$C$61),$T18)</f>
        <v>#NUM!</v>
      </c>
      <c r="V18" s="69" t="e">
        <f ca="1">INDEX(INDIRECT(("'MemberID'!$C$6:C"&amp;MemberID!$C$1)),MATCH(U18,INDIRECT(("'MemberID'!$G$6:G"&amp;MemberID!$C$1)),0))</f>
        <v>#NUM!</v>
      </c>
      <c r="W18" s="69" t="e">
        <f ca="1">INDEX(E$65:INDIRECT("E"&amp;$C$61),$T18)</f>
        <v>#NUM!</v>
      </c>
      <c r="X18" t="e">
        <f ca="1">INDEX(F$65:INDIRECT("F"&amp;$C$61),$T18)</f>
        <v>#NUM!</v>
      </c>
      <c r="Y18" t="e">
        <f ca="1">INDEX(G$65:INDIRECT("G"&amp;$C$61),$T18)</f>
        <v>#NUM!</v>
      </c>
      <c r="Z18" t="e">
        <f ca="1">INDEX(H$65:INDIRECT("H"&amp;$C$61),$T18)</f>
        <v>#NUM!</v>
      </c>
      <c r="AA18" t="e">
        <f ca="1">INDEX(I$65:INDIRECT("I"&amp;$C$61),$T18)</f>
        <v>#NUM!</v>
      </c>
      <c r="AB18" s="23" t="e">
        <f t="array" aca="1" ref="AB18" ca="1">IF(ISBLANK($AE$11),SMALL(IF($E$65:INDIRECT("E"&amp;$C$61)=$AE$10,J$65:INDIRECT(AB$13&amp;$C$61)),$AH18),IF(ISBLANK($AE$10),SMALL(IF($D$65:INDIRECT("D"&amp;$C$61)=$AE$11,J$65:INDIRECT(AB$13&amp;$C$61)),$AH18),SMALL(IF(($E$65:INDIRECT("E"&amp;$C$61)=$AE$10)*($D$65:INDIRECT("D"&amp;$C$61)=$AE$11),J$65:INDIRECT(AB$13&amp;$C$61)),$AH18)))</f>
        <v>#NUM!</v>
      </c>
      <c r="AC18" t="e">
        <f ca="1">INDEX(K$65:INDIRECT("K"&amp;$C$61),$T18)</f>
        <v>#NUM!</v>
      </c>
      <c r="AD18" t="e">
        <f ca="1">INDEX(L$65:INDIRECT("L"&amp;$C$61),$T18)</f>
        <v>#NUM!</v>
      </c>
      <c r="AE18" t="e">
        <f ca="1">INDEX(M$65:INDIRECT("M"&amp;$C$61),$T18)</f>
        <v>#NUM!</v>
      </c>
      <c r="AF18" t="e">
        <f ca="1">INDEX(N$65:INDIRECT("N"&amp;$C$61),$T18)</f>
        <v>#NUM!</v>
      </c>
      <c r="AG18" t="e">
        <f ca="1">INDEX(O$65:INDIRECT("O"&amp;$C$61),$T18)</f>
        <v>#NUM!</v>
      </c>
      <c r="AH18" s="69">
        <v>1</v>
      </c>
      <c r="AI18" s="69" t="str">
        <f t="shared" si="0"/>
        <v>J</v>
      </c>
      <c r="AJ18" s="69" t="str">
        <f t="shared" si="0"/>
        <v>Q</v>
      </c>
    </row>
    <row r="19" spans="1:36" x14ac:dyDescent="0.25">
      <c r="A19" s="74" t="s">
        <v>73</v>
      </c>
      <c r="B19" s="69" t="s">
        <v>31</v>
      </c>
      <c r="C19" s="74" t="e">
        <f ca="1">R6</f>
        <v>#NUM!</v>
      </c>
      <c r="D19" s="69" t="e">
        <f ca="1">INDEX(D$65:INDIRECT("D"&amp;$C$61),$C19)</f>
        <v>#NUM!</v>
      </c>
      <c r="E19" s="69" t="e">
        <f ca="1">INDEX(INDIRECT(("'MemberID'!$C$6:C"&amp;MemberID!$C$1)),MATCH(D19,INDIRECT(("'MemberID'!$G$6:G"&amp;MemberID!$C$1)),0))</f>
        <v>#NUM!</v>
      </c>
      <c r="F19" s="69" t="e">
        <f ca="1">INDEX(E$65:INDIRECT("E"&amp;$C$61),$C19)</f>
        <v>#NUM!</v>
      </c>
      <c r="G19" t="e">
        <f ca="1">INDEX(F$65:INDIRECT("F"&amp;$C$61),$C19)</f>
        <v>#NUM!</v>
      </c>
      <c r="H19" t="e">
        <f ca="1">INDEX(G$65:INDIRECT("G"&amp;$C$61),$C19)</f>
        <v>#NUM!</v>
      </c>
      <c r="I19" t="e">
        <f ca="1">INDEX(H$65:INDIRECT("H"&amp;$C$61),$C19)</f>
        <v>#NUM!</v>
      </c>
      <c r="J19" t="e">
        <f ca="1">INDEX(I$65:INDIRECT("I"&amp;$C$61),$C19)</f>
        <v>#NUM!</v>
      </c>
      <c r="K19" s="23" t="e">
        <f ca="1">INDEX(J$65:INDIRECT("J"&amp;$C$61),$C19)</f>
        <v>#NUM!</v>
      </c>
      <c r="L19" t="e">
        <f ca="1">INDEX(K$65:INDIRECT("K"&amp;$C$61),$C19)</f>
        <v>#NUM!</v>
      </c>
      <c r="M19" t="e">
        <f ca="1">INDEX(L$65:INDIRECT("L"&amp;$C$61),$C19)</f>
        <v>#NUM!</v>
      </c>
      <c r="N19" t="e">
        <f ca="1">INDEX(M$65:INDIRECT("M"&amp;$C$61),$C19)</f>
        <v>#NUM!</v>
      </c>
      <c r="O19" t="e">
        <f ca="1">INDEX(N$65:INDIRECT("N"&amp;$C$61),$C19)</f>
        <v>#NUM!</v>
      </c>
      <c r="P19" t="e">
        <f ca="1">INDEX(O$65:INDIRECT("O"&amp;$C$61),$C19)</f>
        <v>#NUM!</v>
      </c>
      <c r="Q19" s="104"/>
      <c r="R19" s="74" t="s">
        <v>73</v>
      </c>
      <c r="S19" s="69" t="s">
        <v>31</v>
      </c>
      <c r="T19" s="74" t="e">
        <f t="array" aca="1" ref="T19" ca="1">MATCH(IF(ISBLANK($AE$11),SMALL(IF($E$65:INDIRECT("E"&amp;$C$61)=$AE$10,INDIRECT(AJ19&amp;65):INDIRECT(AJ19&amp;$C$61)),$AH19),IF(ISBLANK($AE$10),SMALL(IF($D$65:INDIRECT("D"&amp;$C$61)=$AE$11,INDIRECT(AJ19&amp;65):INDIRECT(AJ19&amp;$C$61)),$AH19),SMALL(IF(($E$65:INDIRECT("E"&amp;$C$61)=$AE$10)*($D$65:INDIRECT("D"&amp;$C$61)=$AE$11),INDIRECT(AJ19&amp;65):INDIRECT(AJ19&amp;$C$61)),$AH19))),INDIRECT(AJ19&amp;65):INDIRECT(AJ19&amp;$C$61),0)</f>
        <v>#NUM!</v>
      </c>
      <c r="U19" s="69" t="e">
        <f ca="1">INDEX(D$65:INDIRECT("D"&amp;$C$61),$T19)</f>
        <v>#NUM!</v>
      </c>
      <c r="V19" s="69" t="e">
        <f ca="1">INDEX(INDIRECT(("'MemberID'!$C$6:C"&amp;MemberID!$C$1)),MATCH(U19,INDIRECT(("'MemberID'!$G$6:G"&amp;MemberID!$C$1)),0))</f>
        <v>#NUM!</v>
      </c>
      <c r="W19" s="69" t="e">
        <f ca="1">INDEX(E$65:INDIRECT("E"&amp;$C$61),$T19)</f>
        <v>#NUM!</v>
      </c>
      <c r="X19" t="e">
        <f ca="1">INDEX(F$65:INDIRECT("F"&amp;$C$61),$T19)</f>
        <v>#NUM!</v>
      </c>
      <c r="Y19" t="e">
        <f ca="1">INDEX(G$65:INDIRECT("G"&amp;$C$61),$T19)</f>
        <v>#NUM!</v>
      </c>
      <c r="Z19" t="e">
        <f ca="1">INDEX(H$65:INDIRECT("H"&amp;$C$61),$T19)</f>
        <v>#NUM!</v>
      </c>
      <c r="AA19" t="e">
        <f ca="1">INDEX(I$65:INDIRECT("I"&amp;$C$61),$T19)</f>
        <v>#NUM!</v>
      </c>
      <c r="AB19" s="23" t="e">
        <f t="array" aca="1" ref="AB19" ca="1">IF(ISBLANK($AE$11),SMALL(IF($E$65:INDIRECT("E"&amp;$C$61)=$AE$10,J$65:INDIRECT(AB$13&amp;$C$61)),$AH19),IF(ISBLANK($AE$10),SMALL(IF($D$65:INDIRECT("D"&amp;$C$61)=$AE$11,J$65:INDIRECT(AB$13&amp;$C$61)),$AH19),SMALL(IF(($E$65:INDIRECT("E"&amp;$C$61)=$AE$10)*($D$65:INDIRECT("D"&amp;$C$61)=$AE$11),J$65:INDIRECT(AB$13&amp;$C$61)),$AH19)))</f>
        <v>#NUM!</v>
      </c>
      <c r="AC19" t="e">
        <f ca="1">INDEX(K$65:INDIRECT("K"&amp;$C$61),$T19)</f>
        <v>#NUM!</v>
      </c>
      <c r="AD19" t="e">
        <f ca="1">INDEX(L$65:INDIRECT("L"&amp;$C$61),$T19)</f>
        <v>#NUM!</v>
      </c>
      <c r="AE19" t="e">
        <f ca="1">INDEX(M$65:INDIRECT("M"&amp;$C$61),$T19)</f>
        <v>#NUM!</v>
      </c>
      <c r="AF19" t="e">
        <f ca="1">INDEX(N$65:INDIRECT("N"&amp;$C$61),$T19)</f>
        <v>#NUM!</v>
      </c>
      <c r="AG19" t="e">
        <f ca="1">INDEX(O$65:INDIRECT("O"&amp;$C$61),$T19)</f>
        <v>#NUM!</v>
      </c>
      <c r="AH19" s="69">
        <v>2</v>
      </c>
      <c r="AI19" s="69" t="str">
        <f t="shared" si="0"/>
        <v>J</v>
      </c>
      <c r="AJ19" s="69" t="str">
        <f t="shared" si="0"/>
        <v>Q</v>
      </c>
    </row>
    <row r="20" spans="1:36" x14ac:dyDescent="0.25">
      <c r="A20" s="74" t="s">
        <v>74</v>
      </c>
      <c r="B20" s="69" t="s">
        <v>31</v>
      </c>
      <c r="C20" s="74" t="e">
        <f ca="1">Z6</f>
        <v>#NUM!</v>
      </c>
      <c r="D20" s="69" t="e">
        <f ca="1">INDEX(D$65:INDIRECT("D"&amp;$C$61),$C20)</f>
        <v>#NUM!</v>
      </c>
      <c r="E20" s="69" t="e">
        <f ca="1">INDEX(INDIRECT(("'MemberID'!$C$6:C"&amp;MemberID!$C$1)),MATCH(D20,INDIRECT(("'MemberID'!$G$6:G"&amp;MemberID!$C$1)),0))</f>
        <v>#NUM!</v>
      </c>
      <c r="F20" s="69" t="e">
        <f ca="1">INDEX(E$65:INDIRECT("E"&amp;$C$61),$C20)</f>
        <v>#NUM!</v>
      </c>
      <c r="G20" t="e">
        <f ca="1">INDEX(F$65:INDIRECT("F"&amp;$C$61),$C20)</f>
        <v>#NUM!</v>
      </c>
      <c r="H20" t="e">
        <f ca="1">INDEX(G$65:INDIRECT("G"&amp;$C$61),$C20)</f>
        <v>#NUM!</v>
      </c>
      <c r="I20" t="e">
        <f ca="1">INDEX(H$65:INDIRECT("H"&amp;$C$61),$C20)</f>
        <v>#NUM!</v>
      </c>
      <c r="J20" t="e">
        <f ca="1">INDEX(I$65:INDIRECT("I"&amp;$C$61),$C20)</f>
        <v>#NUM!</v>
      </c>
      <c r="K20" s="23" t="e">
        <f ca="1">INDEX(J$65:INDIRECT("J"&amp;$C$61),$C20)</f>
        <v>#NUM!</v>
      </c>
      <c r="L20" t="e">
        <f ca="1">INDEX(K$65:INDIRECT("K"&amp;$C$61),$C20)</f>
        <v>#NUM!</v>
      </c>
      <c r="M20" t="e">
        <f ca="1">INDEX(L$65:INDIRECT("L"&amp;$C$61),$C20)</f>
        <v>#NUM!</v>
      </c>
      <c r="N20" t="e">
        <f ca="1">INDEX(M$65:INDIRECT("M"&amp;$C$61),$C20)</f>
        <v>#NUM!</v>
      </c>
      <c r="O20" t="e">
        <f ca="1">INDEX(N$65:INDIRECT("N"&amp;$C$61),$C20)</f>
        <v>#NUM!</v>
      </c>
      <c r="P20" t="e">
        <f ca="1">INDEX(O$65:INDIRECT("O"&amp;$C$61),$C20)</f>
        <v>#NUM!</v>
      </c>
      <c r="Q20" s="104"/>
      <c r="R20" s="74" t="s">
        <v>74</v>
      </c>
      <c r="S20" s="69" t="s">
        <v>31</v>
      </c>
      <c r="T20" s="74" t="e">
        <f t="array" aca="1" ref="T20" ca="1">MATCH(IF(ISBLANK($AE$11),SMALL(IF($E$65:INDIRECT("E"&amp;$C$61)=$AE$10,INDIRECT(AJ20&amp;65):INDIRECT(AJ20&amp;$C$61)),$AH20),IF(ISBLANK($AE$10),SMALL(IF($D$65:INDIRECT("D"&amp;$C$61)=$AE$11,INDIRECT(AJ20&amp;65):INDIRECT(AJ20&amp;$C$61)),$AH20),SMALL(IF(($E$65:INDIRECT("E"&amp;$C$61)=$AE$10)*($D$65:INDIRECT("D"&amp;$C$61)=$AE$11),INDIRECT(AJ20&amp;65):INDIRECT(AJ20&amp;$C$61)),$AH20))),INDIRECT(AJ20&amp;65):INDIRECT(AJ20&amp;$C$61),0)</f>
        <v>#NUM!</v>
      </c>
      <c r="U20" s="69" t="e">
        <f ca="1">INDEX(D$65:INDIRECT("D"&amp;$C$61),$T20)</f>
        <v>#NUM!</v>
      </c>
      <c r="V20" s="69" t="e">
        <f ca="1">INDEX(INDIRECT(("'MemberID'!$C$6:C"&amp;MemberID!$C$1)),MATCH(U20,INDIRECT(("'MemberID'!$G$6:G"&amp;MemberID!$C$1)),0))</f>
        <v>#NUM!</v>
      </c>
      <c r="W20" s="69" t="e">
        <f ca="1">INDEX(E$65:INDIRECT("E"&amp;$C$61),$T20)</f>
        <v>#NUM!</v>
      </c>
      <c r="X20" t="e">
        <f ca="1">INDEX(F$65:INDIRECT("F"&amp;$C$61),$T20)</f>
        <v>#NUM!</v>
      </c>
      <c r="Y20" t="e">
        <f ca="1">INDEX(G$65:INDIRECT("G"&amp;$C$61),$T20)</f>
        <v>#NUM!</v>
      </c>
      <c r="Z20" t="e">
        <f ca="1">INDEX(H$65:INDIRECT("H"&amp;$C$61),$T20)</f>
        <v>#NUM!</v>
      </c>
      <c r="AA20" t="e">
        <f ca="1">INDEX(I$65:INDIRECT("I"&amp;$C$61),$T20)</f>
        <v>#NUM!</v>
      </c>
      <c r="AB20" s="23" t="e">
        <f t="array" aca="1" ref="AB20" ca="1">IF(ISBLANK($AE$11),SMALL(IF($E$65:INDIRECT("E"&amp;$C$61)=$AE$10,J$65:INDIRECT(AB$13&amp;$C$61)),$AH20),IF(ISBLANK($AE$10),SMALL(IF($D$65:INDIRECT("D"&amp;$C$61)=$AE$11,J$65:INDIRECT(AB$13&amp;$C$61)),$AH20),SMALL(IF(($E$65:INDIRECT("E"&amp;$C$61)=$AE$10)*($D$65:INDIRECT("D"&amp;$C$61)=$AE$11),J$65:INDIRECT(AB$13&amp;$C$61)),$AH20)))</f>
        <v>#NUM!</v>
      </c>
      <c r="AC20" t="e">
        <f ca="1">INDEX(K$65:INDIRECT("K"&amp;$C$61),$T20)</f>
        <v>#NUM!</v>
      </c>
      <c r="AD20" t="e">
        <f ca="1">INDEX(L$65:INDIRECT("L"&amp;$C$61),$T20)</f>
        <v>#NUM!</v>
      </c>
      <c r="AE20" t="e">
        <f ca="1">INDEX(M$65:INDIRECT("M"&amp;$C$61),$T20)</f>
        <v>#NUM!</v>
      </c>
      <c r="AF20" t="e">
        <f ca="1">INDEX(N$65:INDIRECT("N"&amp;$C$61),$T20)</f>
        <v>#NUM!</v>
      </c>
      <c r="AG20" t="e">
        <f ca="1">INDEX(O$65:INDIRECT("O"&amp;$C$61),$T20)</f>
        <v>#NUM!</v>
      </c>
      <c r="AH20" s="69">
        <v>3</v>
      </c>
      <c r="AI20" s="69" t="str">
        <f t="shared" si="0"/>
        <v>J</v>
      </c>
      <c r="AJ20" s="69" t="str">
        <f t="shared" si="0"/>
        <v>Q</v>
      </c>
    </row>
    <row r="21" spans="1:36" x14ac:dyDescent="0.25">
      <c r="A21" s="5"/>
      <c r="B21" s="69"/>
      <c r="C21" s="69"/>
      <c r="D21" s="69"/>
      <c r="E21" s="69"/>
      <c r="F21" s="69"/>
      <c r="J21" s="7"/>
      <c r="K21" s="7"/>
      <c r="L21" s="7"/>
      <c r="Q21" s="104"/>
      <c r="R21" s="5"/>
      <c r="S21" s="69"/>
      <c r="T21" s="69"/>
      <c r="V21" s="69"/>
      <c r="W21" s="69"/>
      <c r="AH21" s="69"/>
      <c r="AI21" s="69"/>
      <c r="AJ21" s="69"/>
    </row>
    <row r="22" spans="1:36" x14ac:dyDescent="0.25">
      <c r="A22" s="73" t="s">
        <v>69</v>
      </c>
      <c r="B22" s="69" t="s">
        <v>32</v>
      </c>
      <c r="C22" s="73" t="e">
        <f ca="1">K3</f>
        <v>#N/A</v>
      </c>
      <c r="D22" s="69" t="e">
        <f ca="1">INDEX(D$65:INDIRECT("D"&amp;$C$61),$C22)</f>
        <v>#N/A</v>
      </c>
      <c r="E22" s="69" t="e">
        <f ca="1">INDEX(INDIRECT(("'MemberID'!$C$6:C"&amp;MemberID!$C$1)),MATCH(D22,INDIRECT(("'MemberID'!$G$6:G"&amp;MemberID!$C$1)),0))</f>
        <v>#N/A</v>
      </c>
      <c r="F22" s="69" t="e">
        <f ca="1">INDEX(E$65:INDIRECT("E"&amp;$C$61),$C22)</f>
        <v>#N/A</v>
      </c>
      <c r="G22" t="e">
        <f ca="1">INDEX(F$65:INDIRECT("F"&amp;$C$61),$C22)</f>
        <v>#N/A</v>
      </c>
      <c r="H22" t="e">
        <f ca="1">INDEX(G$65:INDIRECT("G"&amp;$C$61),$C22)</f>
        <v>#N/A</v>
      </c>
      <c r="I22" t="e">
        <f ca="1">INDEX(H$65:INDIRECT("H"&amp;$C$61),$C22)</f>
        <v>#N/A</v>
      </c>
      <c r="J22" t="e">
        <f ca="1">INDEX(I$65:INDIRECT("I"&amp;$C$61),$C22)</f>
        <v>#N/A</v>
      </c>
      <c r="K22" s="7" t="e">
        <f ca="1">INDEX(J$65:INDIRECT("J"&amp;$C$61),$C22)</f>
        <v>#N/A</v>
      </c>
      <c r="L22" s="23" t="e">
        <f ca="1">INDEX(K$65:INDIRECT("K"&amp;$C$61),$C22)</f>
        <v>#N/A</v>
      </c>
      <c r="M22" t="e">
        <f ca="1">INDEX(L$65:INDIRECT("L"&amp;$C$61),$C22)</f>
        <v>#N/A</v>
      </c>
      <c r="N22" t="e">
        <f ca="1">INDEX(M$65:INDIRECT("M"&amp;$C$61),$C22)</f>
        <v>#N/A</v>
      </c>
      <c r="O22" t="e">
        <f ca="1">INDEX(N$65:INDIRECT("N"&amp;$C$61),$C22)</f>
        <v>#N/A</v>
      </c>
      <c r="P22" t="e">
        <f ca="1">INDEX(O$65:INDIRECT("O"&amp;$C$61),$C22)</f>
        <v>#N/A</v>
      </c>
      <c r="Q22" s="104"/>
      <c r="R22" s="73" t="s">
        <v>69</v>
      </c>
      <c r="S22" s="69" t="s">
        <v>32</v>
      </c>
      <c r="T22" s="73" t="e">
        <f t="array" aca="1" ref="T22" ca="1">MATCH(IF(ISBLANK($AE$11),LARGE(IF($E$65:INDIRECT("E"&amp;$C$61)=$AE$10,INDIRECT(AJ22&amp;65):INDIRECT(AJ22&amp;$C$61)),$AH22),IF(ISBLANK($AE$10),LARGE(IF($D$65:INDIRECT("D"&amp;$C$61)=$AE$11,INDIRECT(AJ22&amp;65):INDIRECT(AJ22&amp;$C$61)),$AH22),LARGE(IF(($E$65:INDIRECT("E"&amp;$C$61)=$AE$10)*($D$65:INDIRECT("D"&amp;$C$61)=$AE$11),INDIRECT(AJ22&amp;65):INDIRECT(AJ22&amp;$C$61)),$AH22))),INDIRECT(AJ22&amp;65):INDIRECT(AJ22&amp;$C$61),0)</f>
        <v>#NUM!</v>
      </c>
      <c r="U22" s="69" t="e">
        <f ca="1">INDEX(D$65:INDIRECT("D"&amp;$C$61),$T22)</f>
        <v>#NUM!</v>
      </c>
      <c r="V22" s="69" t="e">
        <f ca="1">INDEX(INDIRECT(("'MemberID'!$C$6:C"&amp;MemberID!$C$1)),MATCH(U22,INDIRECT(("'MemberID'!$G$6:G"&amp;MemberID!$C$1)),0))</f>
        <v>#NUM!</v>
      </c>
      <c r="W22" s="69" t="e">
        <f ca="1">INDEX(E$65:INDIRECT("E"&amp;$C$61),$T22)</f>
        <v>#NUM!</v>
      </c>
      <c r="X22" t="e">
        <f ca="1">INDEX(F$65:INDIRECT("F"&amp;$C$61),$T22)</f>
        <v>#NUM!</v>
      </c>
      <c r="Y22" t="e">
        <f ca="1">INDEX(G$65:INDIRECT("G"&amp;$C$61),$T22)</f>
        <v>#NUM!</v>
      </c>
      <c r="Z22" t="e">
        <f ca="1">INDEX(H$65:INDIRECT("H"&amp;$C$61),$T22)</f>
        <v>#NUM!</v>
      </c>
      <c r="AA22" t="e">
        <f ca="1">INDEX(I$65:INDIRECT("I"&amp;$C$61),$T22)</f>
        <v>#NUM!</v>
      </c>
      <c r="AB22" t="e">
        <f ca="1">INDEX(J$65:INDIRECT("J"&amp;$C$61),$T22)</f>
        <v>#NUM!</v>
      </c>
      <c r="AC22" s="23" t="e">
        <f t="array" aca="1" ref="AC22" ca="1">IF(ISBLANK($AE$11),LARGE(IF($E$65:INDIRECT("E"&amp;$C$61)=$AE$10,K$65:INDIRECT(AC$13&amp;$C$61)),$AH22),IF(ISBLANK($AE$10),LARGE(IF($D$65:INDIRECT("D"&amp;$C$61)=$AE$11,K$65:INDIRECT(AC$13&amp;$C$61)),$AH22),LARGE(IF(($E$65:INDIRECT("E"&amp;$C$61)=$AE$10)*($D$65:INDIRECT("D"&amp;$C$61)=$AE$11),K$65:INDIRECT(AC$13&amp;$C$61)),$AH22)))</f>
        <v>#NUM!</v>
      </c>
      <c r="AD22" t="e">
        <f ca="1">INDEX(L$65:INDIRECT("L"&amp;$C$61),$T22)</f>
        <v>#NUM!</v>
      </c>
      <c r="AE22" t="e">
        <f ca="1">INDEX(M$65:INDIRECT("M"&amp;$C$61),$T22)</f>
        <v>#NUM!</v>
      </c>
      <c r="AF22" t="e">
        <f ca="1">INDEX(N$65:INDIRECT("N"&amp;$C$61),$T22)</f>
        <v>#NUM!</v>
      </c>
      <c r="AG22" t="e">
        <f ca="1">INDEX(O$65:INDIRECT("O"&amp;$C$61),$T22)</f>
        <v>#NUM!</v>
      </c>
      <c r="AH22" s="69">
        <v>1</v>
      </c>
      <c r="AI22" s="69" t="s">
        <v>151</v>
      </c>
      <c r="AJ22" s="69" t="s">
        <v>157</v>
      </c>
    </row>
    <row r="23" spans="1:36" x14ac:dyDescent="0.25">
      <c r="A23" s="73" t="s">
        <v>70</v>
      </c>
      <c r="B23" s="69" t="s">
        <v>32</v>
      </c>
      <c r="C23" s="73" t="e">
        <f ca="1">S3</f>
        <v>#NUM!</v>
      </c>
      <c r="D23" s="69" t="e">
        <f ca="1">INDEX(D$65:INDIRECT("D"&amp;$C$61),$C23)</f>
        <v>#NUM!</v>
      </c>
      <c r="E23" s="69" t="e">
        <f ca="1">INDEX(INDIRECT(("'MemberID'!$C$6:C"&amp;MemberID!$C$1)),MATCH(D23,INDIRECT(("'MemberID'!$G$6:G"&amp;MemberID!$C$1)),0))</f>
        <v>#NUM!</v>
      </c>
      <c r="F23" s="69" t="e">
        <f ca="1">INDEX(E$65:INDIRECT("E"&amp;$C$61),$C23)</f>
        <v>#NUM!</v>
      </c>
      <c r="G23" t="e">
        <f ca="1">INDEX(F$65:INDIRECT("F"&amp;$C$61),$C23)</f>
        <v>#NUM!</v>
      </c>
      <c r="H23" t="e">
        <f ca="1">INDEX(G$65:INDIRECT("G"&amp;$C$61),$C23)</f>
        <v>#NUM!</v>
      </c>
      <c r="I23" t="e">
        <f ca="1">INDEX(H$65:INDIRECT("H"&amp;$C$61),$C23)</f>
        <v>#NUM!</v>
      </c>
      <c r="J23" t="e">
        <f ca="1">INDEX(I$65:INDIRECT("I"&amp;$C$61),$C23)</f>
        <v>#NUM!</v>
      </c>
      <c r="K23" s="7" t="e">
        <f ca="1">INDEX(J$65:INDIRECT("J"&amp;$C$61),$C23)</f>
        <v>#NUM!</v>
      </c>
      <c r="L23" s="23" t="e">
        <f ca="1">INDEX(K$65:INDIRECT("K"&amp;$C$61),$C23)</f>
        <v>#NUM!</v>
      </c>
      <c r="M23" t="e">
        <f ca="1">INDEX(L$65:INDIRECT("L"&amp;$C$61),$C23)</f>
        <v>#NUM!</v>
      </c>
      <c r="N23" t="e">
        <f ca="1">INDEX(M$65:INDIRECT("M"&amp;$C$61),$C23)</f>
        <v>#NUM!</v>
      </c>
      <c r="O23" t="e">
        <f ca="1">INDEX(N$65:INDIRECT("N"&amp;$C$61),$C23)</f>
        <v>#NUM!</v>
      </c>
      <c r="P23" t="e">
        <f ca="1">INDEX(O$65:INDIRECT("O"&amp;$C$61),$C23)</f>
        <v>#NUM!</v>
      </c>
      <c r="Q23" s="104"/>
      <c r="R23" s="73" t="s">
        <v>70</v>
      </c>
      <c r="S23" s="69" t="s">
        <v>32</v>
      </c>
      <c r="T23" s="73" t="e">
        <f t="array" aca="1" ref="T23" ca="1">MATCH(IF(ISBLANK($AE$11),LARGE(IF($E$65:INDIRECT("E"&amp;$C$61)=$AE$10,INDIRECT(AJ23&amp;65):INDIRECT(AJ23&amp;$C$61)),$AH23),IF(ISBLANK($AE$10),LARGE(IF($D$65:INDIRECT("D"&amp;$C$61)=$AE$11,INDIRECT(AJ23&amp;65):INDIRECT(AJ23&amp;$C$61)),$AH23),LARGE(IF(($E$65:INDIRECT("E"&amp;$C$61)=$AE$10)*($D$65:INDIRECT("D"&amp;$C$61)=$AE$11),INDIRECT(AJ23&amp;65):INDIRECT(AJ23&amp;$C$61)),$AH23))),INDIRECT(AJ23&amp;65):INDIRECT(AJ23&amp;$C$61),0)</f>
        <v>#NUM!</v>
      </c>
      <c r="U23" s="69" t="e">
        <f ca="1">INDEX(D$65:INDIRECT("D"&amp;$C$61),$T23)</f>
        <v>#NUM!</v>
      </c>
      <c r="V23" s="69" t="e">
        <f ca="1">INDEX(INDIRECT(("'MemberID'!$C$6:C"&amp;MemberID!$C$1)),MATCH(U23,INDIRECT(("'MemberID'!$G$6:G"&amp;MemberID!$C$1)),0))</f>
        <v>#NUM!</v>
      </c>
      <c r="W23" s="69" t="e">
        <f ca="1">INDEX(E$65:INDIRECT("E"&amp;$C$61),$T23)</f>
        <v>#NUM!</v>
      </c>
      <c r="X23" t="e">
        <f ca="1">INDEX(F$65:INDIRECT("F"&amp;$C$61),$T23)</f>
        <v>#NUM!</v>
      </c>
      <c r="Y23" t="e">
        <f ca="1">INDEX(G$65:INDIRECT("G"&amp;$C$61),$T23)</f>
        <v>#NUM!</v>
      </c>
      <c r="Z23" t="e">
        <f ca="1">INDEX(H$65:INDIRECT("H"&amp;$C$61),$T23)</f>
        <v>#NUM!</v>
      </c>
      <c r="AA23" t="e">
        <f ca="1">INDEX(I$65:INDIRECT("I"&amp;$C$61),$T23)</f>
        <v>#NUM!</v>
      </c>
      <c r="AB23" t="e">
        <f ca="1">INDEX(J$65:INDIRECT("J"&amp;$C$61),$T23)</f>
        <v>#NUM!</v>
      </c>
      <c r="AC23" s="23" t="e">
        <f t="array" aca="1" ref="AC23" ca="1">IF(ISBLANK($AE$11),LARGE(IF($E$65:INDIRECT("E"&amp;$C$61)=$AE$10,K$65:INDIRECT(AC$13&amp;$C$61)),$AH23),IF(ISBLANK($AE$10),LARGE(IF($D$65:INDIRECT("D"&amp;$C$61)=$AE$11,K$65:INDIRECT(AC$13&amp;$C$61)),$AH23),LARGE(IF(($E$65:INDIRECT("E"&amp;$C$61)=$AE$10)*($D$65:INDIRECT("D"&amp;$C$61)=$AE$11),K$65:INDIRECT(AC$13&amp;$C$61)),$AH23)))</f>
        <v>#NUM!</v>
      </c>
      <c r="AD23" t="e">
        <f ca="1">INDEX(L$65:INDIRECT("L"&amp;$C$61),$T23)</f>
        <v>#NUM!</v>
      </c>
      <c r="AE23" t="e">
        <f ca="1">INDEX(M$65:INDIRECT("M"&amp;$C$61),$T23)</f>
        <v>#NUM!</v>
      </c>
      <c r="AF23" t="e">
        <f ca="1">INDEX(N$65:INDIRECT("N"&amp;$C$61),$T23)</f>
        <v>#NUM!</v>
      </c>
      <c r="AG23" t="e">
        <f ca="1">INDEX(O$65:INDIRECT("O"&amp;$C$61),$T23)</f>
        <v>#NUM!</v>
      </c>
      <c r="AH23" s="69">
        <v>2</v>
      </c>
      <c r="AI23" s="69" t="str">
        <f>AI22</f>
        <v>K</v>
      </c>
      <c r="AJ23" s="69" t="str">
        <f>AJ22</f>
        <v>R</v>
      </c>
    </row>
    <row r="24" spans="1:36" x14ac:dyDescent="0.25">
      <c r="A24" s="73" t="s">
        <v>71</v>
      </c>
      <c r="B24" s="69" t="s">
        <v>32</v>
      </c>
      <c r="C24" s="73" t="e">
        <f ca="1">AA3</f>
        <v>#NUM!</v>
      </c>
      <c r="D24" s="69" t="e">
        <f ca="1">INDEX(D$65:INDIRECT("D"&amp;$C$61),$C24)</f>
        <v>#NUM!</v>
      </c>
      <c r="E24" s="69" t="e">
        <f ca="1">INDEX(INDIRECT(("'MemberID'!$C$6:C"&amp;MemberID!$C$1)),MATCH(D24,INDIRECT(("'MemberID'!$G$6:G"&amp;MemberID!$C$1)),0))</f>
        <v>#NUM!</v>
      </c>
      <c r="F24" s="69" t="e">
        <f ca="1">INDEX(E$65:INDIRECT("E"&amp;$C$61),$C24)</f>
        <v>#NUM!</v>
      </c>
      <c r="G24" t="e">
        <f ca="1">INDEX(F$65:INDIRECT("F"&amp;$C$61),$C24)</f>
        <v>#NUM!</v>
      </c>
      <c r="H24" t="e">
        <f ca="1">INDEX(G$65:INDIRECT("G"&amp;$C$61),$C24)</f>
        <v>#NUM!</v>
      </c>
      <c r="I24" t="e">
        <f ca="1">INDEX(H$65:INDIRECT("H"&amp;$C$61),$C24)</f>
        <v>#NUM!</v>
      </c>
      <c r="J24" t="e">
        <f ca="1">INDEX(I$65:INDIRECT("I"&amp;$C$61),$C24)</f>
        <v>#NUM!</v>
      </c>
      <c r="K24" s="7" t="e">
        <f ca="1">INDEX(J$65:INDIRECT("J"&amp;$C$61),$C24)</f>
        <v>#NUM!</v>
      </c>
      <c r="L24" s="23" t="e">
        <f ca="1">INDEX(K$65:INDIRECT("K"&amp;$C$61),$C24)</f>
        <v>#NUM!</v>
      </c>
      <c r="M24" t="e">
        <f ca="1">INDEX(L$65:INDIRECT("L"&amp;$C$61),$C24)</f>
        <v>#NUM!</v>
      </c>
      <c r="N24" t="e">
        <f ca="1">INDEX(M$65:INDIRECT("M"&amp;$C$61),$C24)</f>
        <v>#NUM!</v>
      </c>
      <c r="O24" t="e">
        <f ca="1">INDEX(N$65:INDIRECT("N"&amp;$C$61),$C24)</f>
        <v>#NUM!</v>
      </c>
      <c r="P24" t="e">
        <f ca="1">INDEX(O$65:INDIRECT("O"&amp;$C$61),$C24)</f>
        <v>#NUM!</v>
      </c>
      <c r="Q24" s="104"/>
      <c r="R24" s="73" t="s">
        <v>71</v>
      </c>
      <c r="S24" s="69" t="s">
        <v>32</v>
      </c>
      <c r="T24" s="73" t="e">
        <f t="array" aca="1" ref="T24" ca="1">MATCH(IF(ISBLANK($AE$11),LARGE(IF($E$65:INDIRECT("E"&amp;$C$61)=$AE$10,INDIRECT(AJ24&amp;65):INDIRECT(AJ24&amp;$C$61)),$AH24),IF(ISBLANK($AE$10),LARGE(IF($D$65:INDIRECT("D"&amp;$C$61)=$AE$11,INDIRECT(AJ24&amp;65):INDIRECT(AJ24&amp;$C$61)),$AH24),LARGE(IF(($E$65:INDIRECT("E"&amp;$C$61)=$AE$10)*($D$65:INDIRECT("D"&amp;$C$61)=$AE$11),INDIRECT(AJ24&amp;65):INDIRECT(AJ24&amp;$C$61)),$AH24))),INDIRECT(AJ24&amp;65):INDIRECT(AJ24&amp;$C$61),0)</f>
        <v>#NUM!</v>
      </c>
      <c r="U24" s="69" t="e">
        <f ca="1">INDEX(D$65:INDIRECT("D"&amp;$C$61),$T24)</f>
        <v>#NUM!</v>
      </c>
      <c r="V24" s="69" t="e">
        <f ca="1">INDEX(INDIRECT(("'MemberID'!$C$6:C"&amp;MemberID!$C$1)),MATCH(U24,INDIRECT(("'MemberID'!$G$6:G"&amp;MemberID!$C$1)),0))</f>
        <v>#NUM!</v>
      </c>
      <c r="W24" s="69" t="e">
        <f ca="1">INDEX(E$65:INDIRECT("E"&amp;$C$61),$T24)</f>
        <v>#NUM!</v>
      </c>
      <c r="X24" t="e">
        <f ca="1">INDEX(F$65:INDIRECT("F"&amp;$C$61),$T24)</f>
        <v>#NUM!</v>
      </c>
      <c r="Y24" t="e">
        <f ca="1">INDEX(G$65:INDIRECT("G"&amp;$C$61),$T24)</f>
        <v>#NUM!</v>
      </c>
      <c r="Z24" t="e">
        <f ca="1">INDEX(H$65:INDIRECT("H"&amp;$C$61),$T24)</f>
        <v>#NUM!</v>
      </c>
      <c r="AA24" t="e">
        <f ca="1">INDEX(I$65:INDIRECT("I"&amp;$C$61),$T24)</f>
        <v>#NUM!</v>
      </c>
      <c r="AB24" t="e">
        <f ca="1">INDEX(J$65:INDIRECT("J"&amp;$C$61),$T24)</f>
        <v>#NUM!</v>
      </c>
      <c r="AC24" s="23" t="e">
        <f t="array" aca="1" ref="AC24" ca="1">IF(ISBLANK($AE$11),LARGE(IF($E$65:INDIRECT("E"&amp;$C$61)=$AE$10,K$65:INDIRECT(AC$13&amp;$C$61)),$AH24),IF(ISBLANK($AE$10),LARGE(IF($D$65:INDIRECT("D"&amp;$C$61)=$AE$11,K$65:INDIRECT(AC$13&amp;$C$61)),$AH24),LARGE(IF(($E$65:INDIRECT("E"&amp;$C$61)=$AE$10)*($D$65:INDIRECT("D"&amp;$C$61)=$AE$11),K$65:INDIRECT(AC$13&amp;$C$61)),$AH24)))</f>
        <v>#NUM!</v>
      </c>
      <c r="AD24" t="e">
        <f ca="1">INDEX(L$65:INDIRECT("L"&amp;$C$61),$T24)</f>
        <v>#NUM!</v>
      </c>
      <c r="AE24" t="e">
        <f ca="1">INDEX(M$65:INDIRECT("M"&amp;$C$61),$T24)</f>
        <v>#NUM!</v>
      </c>
      <c r="AF24" t="e">
        <f ca="1">INDEX(N$65:INDIRECT("N"&amp;$C$61),$T24)</f>
        <v>#NUM!</v>
      </c>
      <c r="AG24" t="e">
        <f ca="1">INDEX(O$65:INDIRECT("O"&amp;$C$61),$T24)</f>
        <v>#NUM!</v>
      </c>
      <c r="AH24" s="69">
        <v>3</v>
      </c>
      <c r="AI24" s="69" t="str">
        <f t="shared" ref="AI24:AJ27" si="1">AI23</f>
        <v>K</v>
      </c>
      <c r="AJ24" s="69" t="str">
        <f t="shared" si="1"/>
        <v>R</v>
      </c>
    </row>
    <row r="25" spans="1:36" x14ac:dyDescent="0.25">
      <c r="A25" s="74" t="s">
        <v>72</v>
      </c>
      <c r="B25" s="69" t="s">
        <v>32</v>
      </c>
      <c r="C25" s="74" t="e">
        <f ca="1">K6</f>
        <v>#N/A</v>
      </c>
      <c r="D25" s="69" t="e">
        <f ca="1">INDEX(D$65:INDIRECT("D"&amp;$C$61),$C25)</f>
        <v>#N/A</v>
      </c>
      <c r="E25" s="69" t="e">
        <f ca="1">INDEX(INDIRECT(("'MemberID'!$C$6:C"&amp;MemberID!$C$1)),MATCH(D25,INDIRECT(("'MemberID'!$G$6:G"&amp;MemberID!$C$1)),0))</f>
        <v>#N/A</v>
      </c>
      <c r="F25" s="69" t="e">
        <f ca="1">INDEX(E$65:INDIRECT("E"&amp;$C$61),$C25)</f>
        <v>#N/A</v>
      </c>
      <c r="G25" t="e">
        <f ca="1">INDEX(F$65:INDIRECT("F"&amp;$C$61),$C25)</f>
        <v>#N/A</v>
      </c>
      <c r="H25" t="e">
        <f ca="1">INDEX(G$65:INDIRECT("G"&amp;$C$61),$C25)</f>
        <v>#N/A</v>
      </c>
      <c r="I25" t="e">
        <f ca="1">INDEX(H$65:INDIRECT("H"&amp;$C$61),$C25)</f>
        <v>#N/A</v>
      </c>
      <c r="J25" t="e">
        <f ca="1">INDEX(I$65:INDIRECT("I"&amp;$C$61),$C25)</f>
        <v>#N/A</v>
      </c>
      <c r="K25" s="7" t="e">
        <f ca="1">INDEX(J$65:INDIRECT("J"&amp;$C$61),$C25)</f>
        <v>#N/A</v>
      </c>
      <c r="L25" s="23" t="e">
        <f ca="1">INDEX(K$65:INDIRECT("K"&amp;$C$61),$C25)</f>
        <v>#N/A</v>
      </c>
      <c r="M25" t="e">
        <f ca="1">INDEX(L$65:INDIRECT("L"&amp;$C$61),$C25)</f>
        <v>#N/A</v>
      </c>
      <c r="N25" t="e">
        <f ca="1">INDEX(M$65:INDIRECT("M"&amp;$C$61),$C25)</f>
        <v>#N/A</v>
      </c>
      <c r="O25" t="e">
        <f ca="1">INDEX(N$65:INDIRECT("N"&amp;$C$61),$C25)</f>
        <v>#N/A</v>
      </c>
      <c r="P25" t="e">
        <f ca="1">INDEX(O$65:INDIRECT("O"&amp;$C$61),$C25)</f>
        <v>#N/A</v>
      </c>
      <c r="Q25" s="104"/>
      <c r="R25" s="74" t="s">
        <v>72</v>
      </c>
      <c r="S25" s="69" t="s">
        <v>32</v>
      </c>
      <c r="T25" s="74" t="e">
        <f t="array" aca="1" ref="T25" ca="1">MATCH(IF(ISBLANK($AE$11),SMALL(IF($E$65:INDIRECT("E"&amp;$C$61)=$AE$10,INDIRECT(AJ25&amp;65):INDIRECT(AJ25&amp;$C$61)),$AH25),IF(ISBLANK($AE$10),SMALL(IF($D$65:INDIRECT("D"&amp;$C$61)=$AE$11,INDIRECT(AJ25&amp;65):INDIRECT(AJ25&amp;$C$61)),$AH25),SMALL(IF(($E$65:INDIRECT("E"&amp;$C$61)=$AE$10)*($D$65:INDIRECT("D"&amp;$C$61)=$AE$11),INDIRECT(AJ25&amp;65):INDIRECT(AJ25&amp;$C$61)),$AH25))),INDIRECT(AJ25&amp;65):INDIRECT(AJ25&amp;$C$61),0)</f>
        <v>#NUM!</v>
      </c>
      <c r="U25" s="69" t="e">
        <f ca="1">INDEX(D$65:INDIRECT("D"&amp;$C$61),$T25)</f>
        <v>#NUM!</v>
      </c>
      <c r="V25" s="69" t="e">
        <f ca="1">INDEX(INDIRECT(("'MemberID'!$C$6:C"&amp;MemberID!$C$1)),MATCH(U25,INDIRECT(("'MemberID'!$G$6:G"&amp;MemberID!$C$1)),0))</f>
        <v>#NUM!</v>
      </c>
      <c r="W25" s="69" t="e">
        <f ca="1">INDEX(E$65:INDIRECT("E"&amp;$C$61),$T25)</f>
        <v>#NUM!</v>
      </c>
      <c r="X25" t="e">
        <f ca="1">INDEX(F$65:INDIRECT("F"&amp;$C$61),$T25)</f>
        <v>#NUM!</v>
      </c>
      <c r="Y25" t="e">
        <f ca="1">INDEX(G$65:INDIRECT("G"&amp;$C$61),$T25)</f>
        <v>#NUM!</v>
      </c>
      <c r="Z25" t="e">
        <f ca="1">INDEX(H$65:INDIRECT("H"&amp;$C$61),$T25)</f>
        <v>#NUM!</v>
      </c>
      <c r="AA25" t="e">
        <f ca="1">INDEX(I$65:INDIRECT("I"&amp;$C$61),$T25)</f>
        <v>#NUM!</v>
      </c>
      <c r="AB25" t="e">
        <f ca="1">INDEX(J$65:INDIRECT("J"&amp;$C$61),$T25)</f>
        <v>#NUM!</v>
      </c>
      <c r="AC25" s="23" t="e">
        <f t="array" aca="1" ref="AC25" ca="1">IF(ISBLANK($AE$11),SMALL(IF($E$65:INDIRECT("E"&amp;$C$61)=$AE$10,K$65:INDIRECT(AC$13&amp;$C$61)),$AH25),IF(ISBLANK($AE$10),SMALL(IF($D$65:INDIRECT("D"&amp;$C$61)=$AE$11,K$65:INDIRECT(AC$13&amp;$C$61)),$AH25),SMALL(IF(($E$65:INDIRECT("E"&amp;$C$61)=$AE$10)*($D$65:INDIRECT("D"&amp;$C$61)=$AE$11),K$65:INDIRECT(AC$13&amp;$C$61)),$AH25)))</f>
        <v>#NUM!</v>
      </c>
      <c r="AD25" t="e">
        <f ca="1">INDEX(L$65:INDIRECT("L"&amp;$C$61),$T25)</f>
        <v>#NUM!</v>
      </c>
      <c r="AE25" t="e">
        <f ca="1">INDEX(M$65:INDIRECT("M"&amp;$C$61),$T25)</f>
        <v>#NUM!</v>
      </c>
      <c r="AF25" t="e">
        <f ca="1">INDEX(N$65:INDIRECT("N"&amp;$C$61),$T25)</f>
        <v>#NUM!</v>
      </c>
      <c r="AG25" t="e">
        <f ca="1">INDEX(O$65:INDIRECT("O"&amp;$C$61),$T25)</f>
        <v>#NUM!</v>
      </c>
      <c r="AH25" s="69">
        <v>1</v>
      </c>
      <c r="AI25" s="69" t="str">
        <f t="shared" si="1"/>
        <v>K</v>
      </c>
      <c r="AJ25" s="69" t="str">
        <f t="shared" si="1"/>
        <v>R</v>
      </c>
    </row>
    <row r="26" spans="1:36" x14ac:dyDescent="0.25">
      <c r="A26" s="74" t="s">
        <v>73</v>
      </c>
      <c r="B26" s="69" t="s">
        <v>32</v>
      </c>
      <c r="C26" s="74" t="e">
        <f ca="1">S6</f>
        <v>#NUM!</v>
      </c>
      <c r="D26" s="69" t="e">
        <f ca="1">INDEX(D$65:INDIRECT("D"&amp;$C$61),$C26)</f>
        <v>#NUM!</v>
      </c>
      <c r="E26" s="69" t="e">
        <f ca="1">INDEX(INDIRECT(("'MemberID'!$C$6:C"&amp;MemberID!$C$1)),MATCH(D26,INDIRECT(("'MemberID'!$G$6:G"&amp;MemberID!$C$1)),0))</f>
        <v>#NUM!</v>
      </c>
      <c r="F26" s="69" t="e">
        <f ca="1">INDEX(E$65:INDIRECT("E"&amp;$C$61),$C26)</f>
        <v>#NUM!</v>
      </c>
      <c r="G26" t="e">
        <f ca="1">INDEX(F$65:INDIRECT("F"&amp;$C$61),$C26)</f>
        <v>#NUM!</v>
      </c>
      <c r="H26" t="e">
        <f ca="1">INDEX(G$65:INDIRECT("G"&amp;$C$61),$C26)</f>
        <v>#NUM!</v>
      </c>
      <c r="I26" t="e">
        <f ca="1">INDEX(H$65:INDIRECT("H"&amp;$C$61),$C26)</f>
        <v>#NUM!</v>
      </c>
      <c r="J26" t="e">
        <f ca="1">INDEX(I$65:INDIRECT("I"&amp;$C$61),$C26)</f>
        <v>#NUM!</v>
      </c>
      <c r="K26" s="7" t="e">
        <f ca="1">INDEX(J$65:INDIRECT("J"&amp;$C$61),$C26)</f>
        <v>#NUM!</v>
      </c>
      <c r="L26" s="23" t="e">
        <f ca="1">INDEX(K$65:INDIRECT("K"&amp;$C$61),$C26)</f>
        <v>#NUM!</v>
      </c>
      <c r="M26" t="e">
        <f ca="1">INDEX(L$65:INDIRECT("L"&amp;$C$61),$C26)</f>
        <v>#NUM!</v>
      </c>
      <c r="N26" t="e">
        <f ca="1">INDEX(M$65:INDIRECT("M"&amp;$C$61),$C26)</f>
        <v>#NUM!</v>
      </c>
      <c r="O26" t="e">
        <f ca="1">INDEX(N$65:INDIRECT("N"&amp;$C$61),$C26)</f>
        <v>#NUM!</v>
      </c>
      <c r="P26" t="e">
        <f ca="1">INDEX(O$65:INDIRECT("O"&amp;$C$61),$C26)</f>
        <v>#NUM!</v>
      </c>
      <c r="Q26" s="104"/>
      <c r="R26" s="74" t="s">
        <v>73</v>
      </c>
      <c r="S26" s="69" t="s">
        <v>32</v>
      </c>
      <c r="T26" s="74" t="e">
        <f t="array" aca="1" ref="T26" ca="1">MATCH(IF(ISBLANK($AE$11),SMALL(IF($E$65:INDIRECT("E"&amp;$C$61)=$AE$10,INDIRECT(AJ26&amp;65):INDIRECT(AJ26&amp;$C$61)),$AH26),IF(ISBLANK($AE$10),SMALL(IF($D$65:INDIRECT("D"&amp;$C$61)=$AE$11,INDIRECT(AJ26&amp;65):INDIRECT(AJ26&amp;$C$61)),$AH26),SMALL(IF(($E$65:INDIRECT("E"&amp;$C$61)=$AE$10)*($D$65:INDIRECT("D"&amp;$C$61)=$AE$11),INDIRECT(AJ26&amp;65):INDIRECT(AJ26&amp;$C$61)),$AH26))),INDIRECT(AJ26&amp;65):INDIRECT(AJ26&amp;$C$61),0)</f>
        <v>#NUM!</v>
      </c>
      <c r="U26" s="69" t="e">
        <f ca="1">INDEX(D$65:INDIRECT("D"&amp;$C$61),$T26)</f>
        <v>#NUM!</v>
      </c>
      <c r="V26" s="69" t="e">
        <f ca="1">INDEX(INDIRECT(("'MemberID'!$C$6:C"&amp;MemberID!$C$1)),MATCH(U26,INDIRECT(("'MemberID'!$G$6:G"&amp;MemberID!$C$1)),0))</f>
        <v>#NUM!</v>
      </c>
      <c r="W26" s="69" t="e">
        <f ca="1">INDEX(E$65:INDIRECT("E"&amp;$C$61),$T26)</f>
        <v>#NUM!</v>
      </c>
      <c r="X26" t="e">
        <f ca="1">INDEX(F$65:INDIRECT("F"&amp;$C$61),$T26)</f>
        <v>#NUM!</v>
      </c>
      <c r="Y26" t="e">
        <f ca="1">INDEX(G$65:INDIRECT("G"&amp;$C$61),$T26)</f>
        <v>#NUM!</v>
      </c>
      <c r="Z26" t="e">
        <f ca="1">INDEX(H$65:INDIRECT("H"&amp;$C$61),$T26)</f>
        <v>#NUM!</v>
      </c>
      <c r="AA26" t="e">
        <f ca="1">INDEX(I$65:INDIRECT("I"&amp;$C$61),$T26)</f>
        <v>#NUM!</v>
      </c>
      <c r="AB26" t="e">
        <f ca="1">INDEX(J$65:INDIRECT("J"&amp;$C$61),$T26)</f>
        <v>#NUM!</v>
      </c>
      <c r="AC26" s="23" t="e">
        <f t="array" aca="1" ref="AC26" ca="1">IF(ISBLANK($AE$11),SMALL(IF($E$65:INDIRECT("E"&amp;$C$61)=$AE$10,K$65:INDIRECT(AC$13&amp;$C$61)),$AH26),IF(ISBLANK($AE$10),SMALL(IF($D$65:INDIRECT("D"&amp;$C$61)=$AE$11,K$65:INDIRECT(AC$13&amp;$C$61)),$AH26),SMALL(IF(($E$65:INDIRECT("E"&amp;$C$61)=$AE$10)*($D$65:INDIRECT("D"&amp;$C$61)=$AE$11),K$65:INDIRECT(AC$13&amp;$C$61)),$AH26)))</f>
        <v>#NUM!</v>
      </c>
      <c r="AD26" t="e">
        <f ca="1">INDEX(L$65:INDIRECT("L"&amp;$C$61),$T26)</f>
        <v>#NUM!</v>
      </c>
      <c r="AE26" t="e">
        <f ca="1">INDEX(M$65:INDIRECT("M"&amp;$C$61),$T26)</f>
        <v>#NUM!</v>
      </c>
      <c r="AF26" t="e">
        <f ca="1">INDEX(N$65:INDIRECT("N"&amp;$C$61),$T26)</f>
        <v>#NUM!</v>
      </c>
      <c r="AG26" t="e">
        <f ca="1">INDEX(O$65:INDIRECT("O"&amp;$C$61),$T26)</f>
        <v>#NUM!</v>
      </c>
      <c r="AH26" s="69">
        <v>2</v>
      </c>
      <c r="AI26" s="69" t="str">
        <f t="shared" si="1"/>
        <v>K</v>
      </c>
      <c r="AJ26" s="69" t="str">
        <f t="shared" si="1"/>
        <v>R</v>
      </c>
    </row>
    <row r="27" spans="1:36" x14ac:dyDescent="0.25">
      <c r="A27" s="74" t="s">
        <v>74</v>
      </c>
      <c r="B27" s="69" t="s">
        <v>32</v>
      </c>
      <c r="C27" s="74" t="e">
        <f ca="1">AA6</f>
        <v>#NUM!</v>
      </c>
      <c r="D27" s="69" t="e">
        <f ca="1">INDEX(D$65:INDIRECT("D"&amp;$C$61),$C27)</f>
        <v>#NUM!</v>
      </c>
      <c r="E27" s="69" t="e">
        <f ca="1">INDEX(INDIRECT(("'MemberID'!$C$6:C"&amp;MemberID!$C$1)),MATCH(D27,INDIRECT(("'MemberID'!$G$6:G"&amp;MemberID!$C$1)),0))</f>
        <v>#NUM!</v>
      </c>
      <c r="F27" s="69" t="e">
        <f ca="1">INDEX(E$65:INDIRECT("E"&amp;$C$61),$C27)</f>
        <v>#NUM!</v>
      </c>
      <c r="G27" t="e">
        <f ca="1">INDEX(F$65:INDIRECT("F"&amp;$C$61),$C27)</f>
        <v>#NUM!</v>
      </c>
      <c r="H27" t="e">
        <f ca="1">INDEX(G$65:INDIRECT("G"&amp;$C$61),$C27)</f>
        <v>#NUM!</v>
      </c>
      <c r="I27" t="e">
        <f ca="1">INDEX(H$65:INDIRECT("H"&amp;$C$61),$C27)</f>
        <v>#NUM!</v>
      </c>
      <c r="J27" t="e">
        <f ca="1">INDEX(I$65:INDIRECT("I"&amp;$C$61),$C27)</f>
        <v>#NUM!</v>
      </c>
      <c r="K27" s="7" t="e">
        <f ca="1">INDEX(J$65:INDIRECT("J"&amp;$C$61),$C27)</f>
        <v>#NUM!</v>
      </c>
      <c r="L27" s="23" t="e">
        <f ca="1">INDEX(K$65:INDIRECT("K"&amp;$C$61),$C27)</f>
        <v>#NUM!</v>
      </c>
      <c r="M27" t="e">
        <f ca="1">INDEX(L$65:INDIRECT("L"&amp;$C$61),$C27)</f>
        <v>#NUM!</v>
      </c>
      <c r="N27" t="e">
        <f ca="1">INDEX(M$65:INDIRECT("M"&amp;$C$61),$C27)</f>
        <v>#NUM!</v>
      </c>
      <c r="O27" t="e">
        <f ca="1">INDEX(N$65:INDIRECT("N"&amp;$C$61),$C27)</f>
        <v>#NUM!</v>
      </c>
      <c r="P27" t="e">
        <f ca="1">INDEX(O$65:INDIRECT("O"&amp;$C$61),$C27)</f>
        <v>#NUM!</v>
      </c>
      <c r="Q27" s="104"/>
      <c r="R27" s="74" t="s">
        <v>74</v>
      </c>
      <c r="S27" s="69" t="s">
        <v>32</v>
      </c>
      <c r="T27" s="74" t="e">
        <f t="array" aca="1" ref="T27" ca="1">MATCH(IF(ISBLANK($AE$11),SMALL(IF($E$65:INDIRECT("E"&amp;$C$61)=$AE$10,INDIRECT(AJ27&amp;65):INDIRECT(AJ27&amp;$C$61)),$AH27),IF(ISBLANK($AE$10),SMALL(IF($D$65:INDIRECT("D"&amp;$C$61)=$AE$11,INDIRECT(AJ27&amp;65):INDIRECT(AJ27&amp;$C$61)),$AH27),SMALL(IF(($E$65:INDIRECT("E"&amp;$C$61)=$AE$10)*($D$65:INDIRECT("D"&amp;$C$61)=$AE$11),INDIRECT(AJ27&amp;65):INDIRECT(AJ27&amp;$C$61)),$AH27))),INDIRECT(AJ27&amp;65):INDIRECT(AJ27&amp;$C$61),0)</f>
        <v>#NUM!</v>
      </c>
      <c r="U27" s="69" t="e">
        <f ca="1">INDEX(D$65:INDIRECT("D"&amp;$C$61),$T27)</f>
        <v>#NUM!</v>
      </c>
      <c r="V27" s="69" t="e">
        <f ca="1">INDEX(INDIRECT(("'MemberID'!$C$6:C"&amp;MemberID!$C$1)),MATCH(U27,INDIRECT(("'MemberID'!$G$6:G"&amp;MemberID!$C$1)),0))</f>
        <v>#NUM!</v>
      </c>
      <c r="W27" s="69" t="e">
        <f ca="1">INDEX(E$65:INDIRECT("E"&amp;$C$61),$T27)</f>
        <v>#NUM!</v>
      </c>
      <c r="X27" t="e">
        <f ca="1">INDEX(F$65:INDIRECT("F"&amp;$C$61),$T27)</f>
        <v>#NUM!</v>
      </c>
      <c r="Y27" t="e">
        <f ca="1">INDEX(G$65:INDIRECT("G"&amp;$C$61),$T27)</f>
        <v>#NUM!</v>
      </c>
      <c r="Z27" t="e">
        <f ca="1">INDEX(H$65:INDIRECT("H"&amp;$C$61),$T27)</f>
        <v>#NUM!</v>
      </c>
      <c r="AA27" t="e">
        <f ca="1">INDEX(I$65:INDIRECT("I"&amp;$C$61),$T27)</f>
        <v>#NUM!</v>
      </c>
      <c r="AB27" t="e">
        <f ca="1">INDEX(J$65:INDIRECT("J"&amp;$C$61),$T27)</f>
        <v>#NUM!</v>
      </c>
      <c r="AC27" s="23" t="e">
        <f t="array" aca="1" ref="AC27" ca="1">IF(ISBLANK($AE$11),SMALL(IF($E$65:INDIRECT("E"&amp;$C$61)=$AE$10,K$65:INDIRECT(AC$13&amp;$C$61)),$AH27),IF(ISBLANK($AE$10),SMALL(IF($D$65:INDIRECT("D"&amp;$C$61)=$AE$11,K$65:INDIRECT(AC$13&amp;$C$61)),$AH27),SMALL(IF(($E$65:INDIRECT("E"&amp;$C$61)=$AE$10)*($D$65:INDIRECT("D"&amp;$C$61)=$AE$11),K$65:INDIRECT(AC$13&amp;$C$61)),$AH27)))</f>
        <v>#NUM!</v>
      </c>
      <c r="AD27" t="e">
        <f ca="1">INDEX(L$65:INDIRECT("L"&amp;$C$61),$T27)</f>
        <v>#NUM!</v>
      </c>
      <c r="AE27" t="e">
        <f ca="1">INDEX(M$65:INDIRECT("M"&amp;$C$61),$T27)</f>
        <v>#NUM!</v>
      </c>
      <c r="AF27" t="e">
        <f ca="1">INDEX(N$65:INDIRECT("N"&amp;$C$61),$T27)</f>
        <v>#NUM!</v>
      </c>
      <c r="AG27" t="e">
        <f ca="1">INDEX(O$65:INDIRECT("O"&amp;$C$61),$T27)</f>
        <v>#NUM!</v>
      </c>
      <c r="AH27" s="69">
        <v>3</v>
      </c>
      <c r="AI27" s="69" t="str">
        <f t="shared" si="1"/>
        <v>K</v>
      </c>
      <c r="AJ27" s="69" t="str">
        <f t="shared" si="1"/>
        <v>R</v>
      </c>
    </row>
    <row r="28" spans="1:36" x14ac:dyDescent="0.25">
      <c r="A28" s="5"/>
      <c r="B28" s="69"/>
      <c r="C28" s="69"/>
      <c r="D28" s="69"/>
      <c r="E28" s="69"/>
      <c r="F28" s="69"/>
      <c r="J28" s="7"/>
      <c r="K28" s="7"/>
      <c r="L28" s="7"/>
      <c r="M28" s="7"/>
      <c r="N28" s="7"/>
      <c r="O28" s="7"/>
      <c r="P28" s="7"/>
      <c r="Q28" s="104"/>
      <c r="R28" s="5"/>
      <c r="S28" s="69"/>
      <c r="T28" s="69"/>
      <c r="V28" s="69"/>
      <c r="W28" s="69"/>
      <c r="AH28" s="69"/>
      <c r="AI28" s="69"/>
      <c r="AJ28" s="69"/>
    </row>
    <row r="29" spans="1:36" x14ac:dyDescent="0.25">
      <c r="A29" s="73" t="s">
        <v>69</v>
      </c>
      <c r="B29" s="69" t="s">
        <v>33</v>
      </c>
      <c r="C29" s="73" t="e">
        <f ca="1">L3</f>
        <v>#N/A</v>
      </c>
      <c r="D29" s="69" t="e">
        <f ca="1">INDEX(D$65:INDIRECT("D"&amp;$C$61),$C29)</f>
        <v>#N/A</v>
      </c>
      <c r="E29" s="69" t="e">
        <f ca="1">INDEX(INDIRECT(("'MemberID'!$C$6:C"&amp;MemberID!$C$1)),MATCH(D29,INDIRECT(("'MemberID'!$G$6:G"&amp;MemberID!$C$1)),0))</f>
        <v>#N/A</v>
      </c>
      <c r="F29" s="69" t="e">
        <f ca="1">INDEX(E$65:INDIRECT("E"&amp;$C$61),$C29)</f>
        <v>#N/A</v>
      </c>
      <c r="G29" t="e">
        <f ca="1">INDEX(F$65:INDIRECT("F"&amp;$C$61),$C29)</f>
        <v>#N/A</v>
      </c>
      <c r="H29" t="e">
        <f ca="1">INDEX(G$65:INDIRECT("G"&amp;$C$61),$C29)</f>
        <v>#N/A</v>
      </c>
      <c r="I29" t="e">
        <f ca="1">INDEX(H$65:INDIRECT("H"&amp;$C$61),$C29)</f>
        <v>#N/A</v>
      </c>
      <c r="J29" t="e">
        <f ca="1">INDEX(I$65:INDIRECT("I"&amp;$C$61),$C29)</f>
        <v>#N/A</v>
      </c>
      <c r="K29" s="7" t="e">
        <f ca="1">INDEX(J$65:INDIRECT("J"&amp;$C$61),$C29)</f>
        <v>#N/A</v>
      </c>
      <c r="L29" t="e">
        <f ca="1">INDEX(K$65:INDIRECT("K"&amp;$C$61),$C29)</f>
        <v>#N/A</v>
      </c>
      <c r="M29" s="23" t="e">
        <f ca="1">INDEX(L$65:INDIRECT("L"&amp;$C$61),$C29)</f>
        <v>#N/A</v>
      </c>
      <c r="N29" t="e">
        <f ca="1">INDEX(M$65:INDIRECT("M"&amp;$C$61),$C29)</f>
        <v>#N/A</v>
      </c>
      <c r="O29" t="e">
        <f ca="1">INDEX(N$65:INDIRECT("N"&amp;$C$61),$C29)</f>
        <v>#N/A</v>
      </c>
      <c r="P29" t="e">
        <f ca="1">INDEX(O$65:INDIRECT("O"&amp;$C$61),$C29)</f>
        <v>#N/A</v>
      </c>
      <c r="Q29" s="104"/>
      <c r="R29" s="73" t="s">
        <v>69</v>
      </c>
      <c r="S29" s="69" t="s">
        <v>33</v>
      </c>
      <c r="T29" s="73" t="e">
        <f t="array" aca="1" ref="T29" ca="1">MATCH(IF(ISBLANK($AE$11),LARGE(IF($E$65:INDIRECT("E"&amp;$C$61)=$AE$10,INDIRECT(AJ29&amp;65):INDIRECT(AJ29&amp;$C$61)),$AH29),IF(ISBLANK($AE$10),LARGE(IF($D$65:INDIRECT("D"&amp;$C$61)=$AE$11,INDIRECT(AJ29&amp;65):INDIRECT(AJ29&amp;$C$61)),$AH29),LARGE(IF(($E$65:INDIRECT("E"&amp;$C$61)=$AE$10)*($D$65:INDIRECT("D"&amp;$C$61)=$AE$11),INDIRECT(AJ29&amp;65):INDIRECT(AJ29&amp;$C$61)),$AH29))),INDIRECT(AJ29&amp;65):INDIRECT(AJ29&amp;$C$61),0)</f>
        <v>#NUM!</v>
      </c>
      <c r="U29" s="69" t="e">
        <f ca="1">INDEX(D$65:INDIRECT("D"&amp;$C$61),$T29)</f>
        <v>#NUM!</v>
      </c>
      <c r="V29" s="69" t="e">
        <f ca="1">INDEX(INDIRECT(("'MemberID'!$C$6:C"&amp;MemberID!$C$1)),MATCH(U29,INDIRECT(("'MemberID'!$G$6:G"&amp;MemberID!$C$1)),0))</f>
        <v>#NUM!</v>
      </c>
      <c r="W29" s="69" t="e">
        <f ca="1">INDEX(E$65:INDIRECT("E"&amp;$C$61),$T29)</f>
        <v>#NUM!</v>
      </c>
      <c r="X29" t="e">
        <f ca="1">INDEX(F$65:INDIRECT("F"&amp;$C$61),$T29)</f>
        <v>#NUM!</v>
      </c>
      <c r="Y29" t="e">
        <f ca="1">INDEX(G$65:INDIRECT("G"&amp;$C$61),$T29)</f>
        <v>#NUM!</v>
      </c>
      <c r="Z29" t="e">
        <f ca="1">INDEX(H$65:INDIRECT("H"&amp;$C$61),$T29)</f>
        <v>#NUM!</v>
      </c>
      <c r="AA29" t="e">
        <f ca="1">INDEX(I$65:INDIRECT("I"&amp;$C$61),$T29)</f>
        <v>#NUM!</v>
      </c>
      <c r="AB29" t="e">
        <f ca="1">INDEX(J$65:INDIRECT("J"&amp;$C$61),$T29)</f>
        <v>#NUM!</v>
      </c>
      <c r="AC29" t="e">
        <f ca="1">INDEX(K$65:INDIRECT("K"&amp;$C$61),$T29)</f>
        <v>#NUM!</v>
      </c>
      <c r="AD29" s="23" t="e">
        <f t="array" aca="1" ref="AD29" ca="1">IF(ISBLANK($AE$11),LARGE(IF($E$65:INDIRECT("E"&amp;$C$61)=$AE$10,L$65:INDIRECT(AD$13&amp;$C$61)),$AH29),IF(ISBLANK($AE$10),LARGE(IF($D$65:INDIRECT("D"&amp;$C$61)=$AE$11,L$65:INDIRECT(AD$13&amp;$C$61)),$AH29),LARGE(IF(($E$65:INDIRECT("E"&amp;$C$61)=$AE$10)*($D$65:INDIRECT("D"&amp;$C$61)=$AE$11),L$65:INDIRECT(AD$13&amp;$C$61)),$AH29)))</f>
        <v>#NUM!</v>
      </c>
      <c r="AE29" t="e">
        <f ca="1">INDEX(M$65:INDIRECT("M"&amp;$C$61),$T29)</f>
        <v>#NUM!</v>
      </c>
      <c r="AF29" t="e">
        <f ca="1">INDEX(N$65:INDIRECT("N"&amp;$C$61),$T29)</f>
        <v>#NUM!</v>
      </c>
      <c r="AG29" t="e">
        <f ca="1">INDEX(O$65:INDIRECT("O"&amp;$C$61),$T29)</f>
        <v>#NUM!</v>
      </c>
      <c r="AH29" s="69">
        <v>1</v>
      </c>
      <c r="AI29" s="69" t="s">
        <v>152</v>
      </c>
      <c r="AJ29" s="69" t="s">
        <v>158</v>
      </c>
    </row>
    <row r="30" spans="1:36" x14ac:dyDescent="0.25">
      <c r="A30" s="73" t="s">
        <v>70</v>
      </c>
      <c r="B30" s="69" t="s">
        <v>33</v>
      </c>
      <c r="C30" s="73" t="e">
        <f ca="1">T3</f>
        <v>#NUM!</v>
      </c>
      <c r="D30" s="69" t="e">
        <f ca="1">INDEX(D$65:INDIRECT("D"&amp;$C$61),$C30)</f>
        <v>#NUM!</v>
      </c>
      <c r="E30" s="69" t="e">
        <f ca="1">INDEX(INDIRECT(("'MemberID'!$C$6:C"&amp;MemberID!$C$1)),MATCH(D30,INDIRECT(("'MemberID'!$G$6:G"&amp;MemberID!$C$1)),0))</f>
        <v>#NUM!</v>
      </c>
      <c r="F30" s="69" t="e">
        <f ca="1">INDEX(E$65:INDIRECT("E"&amp;$C$61),$C30)</f>
        <v>#NUM!</v>
      </c>
      <c r="G30" t="e">
        <f ca="1">INDEX(F$65:INDIRECT("F"&amp;$C$61),$C30)</f>
        <v>#NUM!</v>
      </c>
      <c r="H30" t="e">
        <f ca="1">INDEX(G$65:INDIRECT("G"&amp;$C$61),$C30)</f>
        <v>#NUM!</v>
      </c>
      <c r="I30" t="e">
        <f ca="1">INDEX(H$65:INDIRECT("H"&amp;$C$61),$C30)</f>
        <v>#NUM!</v>
      </c>
      <c r="J30" t="e">
        <f ca="1">INDEX(I$65:INDIRECT("I"&amp;$C$61),$C30)</f>
        <v>#NUM!</v>
      </c>
      <c r="K30" s="7" t="e">
        <f ca="1">INDEX(J$65:INDIRECT("J"&amp;$C$61),$C30)</f>
        <v>#NUM!</v>
      </c>
      <c r="L30" t="e">
        <f ca="1">INDEX(K$65:INDIRECT("K"&amp;$C$61),$C30)</f>
        <v>#NUM!</v>
      </c>
      <c r="M30" s="23" t="e">
        <f ca="1">INDEX(L$65:INDIRECT("L"&amp;$C$61),$C30)</f>
        <v>#NUM!</v>
      </c>
      <c r="N30" t="e">
        <f ca="1">INDEX(M$65:INDIRECT("M"&amp;$C$61),$C30)</f>
        <v>#NUM!</v>
      </c>
      <c r="O30" t="e">
        <f ca="1">INDEX(N$65:INDIRECT("N"&amp;$C$61),$C30)</f>
        <v>#NUM!</v>
      </c>
      <c r="P30" t="e">
        <f ca="1">INDEX(O$65:INDIRECT("O"&amp;$C$61),$C30)</f>
        <v>#NUM!</v>
      </c>
      <c r="Q30" s="104"/>
      <c r="R30" s="73" t="s">
        <v>70</v>
      </c>
      <c r="S30" s="69" t="s">
        <v>33</v>
      </c>
      <c r="T30" s="73" t="e">
        <f t="array" aca="1" ref="T30" ca="1">MATCH(IF(ISBLANK($AE$11),LARGE(IF($E$65:INDIRECT("E"&amp;$C$61)=$AE$10,INDIRECT(AJ30&amp;65):INDIRECT(AJ30&amp;$C$61)),$AH30),IF(ISBLANK($AE$10),LARGE(IF($D$65:INDIRECT("D"&amp;$C$61)=$AE$11,INDIRECT(AJ30&amp;65):INDIRECT(AJ30&amp;$C$61)),$AH30),LARGE(IF(($E$65:INDIRECT("E"&amp;$C$61)=$AE$10)*($D$65:INDIRECT("D"&amp;$C$61)=$AE$11),INDIRECT(AJ30&amp;65):INDIRECT(AJ30&amp;$C$61)),$AH30))),INDIRECT(AJ30&amp;65):INDIRECT(AJ30&amp;$C$61),0)</f>
        <v>#NUM!</v>
      </c>
      <c r="U30" s="69" t="e">
        <f ca="1">INDEX(D$65:INDIRECT("D"&amp;$C$61),$T30)</f>
        <v>#NUM!</v>
      </c>
      <c r="V30" s="69" t="e">
        <f ca="1">INDEX(INDIRECT(("'MemberID'!$C$6:C"&amp;MemberID!$C$1)),MATCH(U30,INDIRECT(("'MemberID'!$G$6:G"&amp;MemberID!$C$1)),0))</f>
        <v>#NUM!</v>
      </c>
      <c r="W30" s="69" t="e">
        <f ca="1">INDEX(E$65:INDIRECT("E"&amp;$C$61),$T30)</f>
        <v>#NUM!</v>
      </c>
      <c r="X30" t="e">
        <f ca="1">INDEX(F$65:INDIRECT("F"&amp;$C$61),$T30)</f>
        <v>#NUM!</v>
      </c>
      <c r="Y30" t="e">
        <f ca="1">INDEX(G$65:INDIRECT("G"&amp;$C$61),$T30)</f>
        <v>#NUM!</v>
      </c>
      <c r="Z30" t="e">
        <f ca="1">INDEX(H$65:INDIRECT("H"&amp;$C$61),$T30)</f>
        <v>#NUM!</v>
      </c>
      <c r="AA30" t="e">
        <f ca="1">INDEX(I$65:INDIRECT("I"&amp;$C$61),$T30)</f>
        <v>#NUM!</v>
      </c>
      <c r="AB30" t="e">
        <f ca="1">INDEX(J$65:INDIRECT("J"&amp;$C$61),$T30)</f>
        <v>#NUM!</v>
      </c>
      <c r="AC30" t="e">
        <f ca="1">INDEX(K$65:INDIRECT("K"&amp;$C$61),$T30)</f>
        <v>#NUM!</v>
      </c>
      <c r="AD30" s="23" t="e">
        <f t="array" aca="1" ref="AD30" ca="1">IF(ISBLANK($AE$11),LARGE(IF($E$65:INDIRECT("E"&amp;$C$61)=$AE$10,L$65:INDIRECT(AD$13&amp;$C$61)),$AH30),IF(ISBLANK($AE$10),LARGE(IF($D$65:INDIRECT("D"&amp;$C$61)=$AE$11,L$65:INDIRECT(AD$13&amp;$C$61)),$AH30),LARGE(IF(($E$65:INDIRECT("E"&amp;$C$61)=$AE$10)*($D$65:INDIRECT("D"&amp;$C$61)=$AE$11),L$65:INDIRECT(AD$13&amp;$C$61)),$AH30)))</f>
        <v>#NUM!</v>
      </c>
      <c r="AE30" t="e">
        <f ca="1">INDEX(M$65:INDIRECT("M"&amp;$C$61),$T30)</f>
        <v>#NUM!</v>
      </c>
      <c r="AF30" t="e">
        <f ca="1">INDEX(N$65:INDIRECT("N"&amp;$C$61),$T30)</f>
        <v>#NUM!</v>
      </c>
      <c r="AG30" t="e">
        <f ca="1">INDEX(O$65:INDIRECT("O"&amp;$C$61),$T30)</f>
        <v>#NUM!</v>
      </c>
      <c r="AH30" s="69">
        <v>2</v>
      </c>
      <c r="AI30" s="69" t="str">
        <f>AI29</f>
        <v>L</v>
      </c>
      <c r="AJ30" s="69" t="str">
        <f>AJ29</f>
        <v>S</v>
      </c>
    </row>
    <row r="31" spans="1:36" x14ac:dyDescent="0.25">
      <c r="A31" s="73" t="s">
        <v>71</v>
      </c>
      <c r="B31" s="69" t="s">
        <v>33</v>
      </c>
      <c r="C31" s="73" t="e">
        <f ca="1">AB3</f>
        <v>#NUM!</v>
      </c>
      <c r="D31" s="69" t="e">
        <f ca="1">INDEX(D$65:INDIRECT("D"&amp;$C$61),$C31)</f>
        <v>#NUM!</v>
      </c>
      <c r="E31" s="69" t="e">
        <f ca="1">INDEX(INDIRECT(("'MemberID'!$C$6:C"&amp;MemberID!$C$1)),MATCH(D31,INDIRECT(("'MemberID'!$G$6:G"&amp;MemberID!$C$1)),0))</f>
        <v>#NUM!</v>
      </c>
      <c r="F31" s="69" t="e">
        <f ca="1">INDEX(E$65:INDIRECT("E"&amp;$C$61),$C31)</f>
        <v>#NUM!</v>
      </c>
      <c r="G31" t="e">
        <f ca="1">INDEX(F$65:INDIRECT("F"&amp;$C$61),$C31)</f>
        <v>#NUM!</v>
      </c>
      <c r="H31" t="e">
        <f ca="1">INDEX(G$65:INDIRECT("G"&amp;$C$61),$C31)</f>
        <v>#NUM!</v>
      </c>
      <c r="I31" t="e">
        <f ca="1">INDEX(H$65:INDIRECT("H"&amp;$C$61),$C31)</f>
        <v>#NUM!</v>
      </c>
      <c r="J31" t="e">
        <f ca="1">INDEX(I$65:INDIRECT("I"&amp;$C$61),$C31)</f>
        <v>#NUM!</v>
      </c>
      <c r="K31" s="7" t="e">
        <f ca="1">INDEX(J$65:INDIRECT("J"&amp;$C$61),$C31)</f>
        <v>#NUM!</v>
      </c>
      <c r="L31" t="e">
        <f ca="1">INDEX(K$65:INDIRECT("K"&amp;$C$61),$C31)</f>
        <v>#NUM!</v>
      </c>
      <c r="M31" s="23" t="e">
        <f ca="1">INDEX(L$65:INDIRECT("L"&amp;$C$61),$C31)</f>
        <v>#NUM!</v>
      </c>
      <c r="N31" t="e">
        <f ca="1">INDEX(M$65:INDIRECT("M"&amp;$C$61),$C31)</f>
        <v>#NUM!</v>
      </c>
      <c r="O31" t="e">
        <f ca="1">INDEX(N$65:INDIRECT("N"&amp;$C$61),$C31)</f>
        <v>#NUM!</v>
      </c>
      <c r="P31" t="e">
        <f ca="1">INDEX(O$65:INDIRECT("O"&amp;$C$61),$C31)</f>
        <v>#NUM!</v>
      </c>
      <c r="Q31" s="104"/>
      <c r="R31" s="73" t="s">
        <v>71</v>
      </c>
      <c r="S31" s="69" t="s">
        <v>33</v>
      </c>
      <c r="T31" s="73" t="e">
        <f t="array" aca="1" ref="T31" ca="1">MATCH(IF(ISBLANK($AE$11),LARGE(IF($E$65:INDIRECT("E"&amp;$C$61)=$AE$10,INDIRECT(AJ31&amp;65):INDIRECT(AJ31&amp;$C$61)),$AH31),IF(ISBLANK($AE$10),LARGE(IF($D$65:INDIRECT("D"&amp;$C$61)=$AE$11,INDIRECT(AJ31&amp;65):INDIRECT(AJ31&amp;$C$61)),$AH31),LARGE(IF(($E$65:INDIRECT("E"&amp;$C$61)=$AE$10)*($D$65:INDIRECT("D"&amp;$C$61)=$AE$11),INDIRECT(AJ31&amp;65):INDIRECT(AJ31&amp;$C$61)),$AH31))),INDIRECT(AJ31&amp;65):INDIRECT(AJ31&amp;$C$61),0)</f>
        <v>#NUM!</v>
      </c>
      <c r="U31" s="69" t="e">
        <f ca="1">INDEX(D$65:INDIRECT("D"&amp;$C$61),$T31)</f>
        <v>#NUM!</v>
      </c>
      <c r="V31" s="69" t="e">
        <f ca="1">INDEX(INDIRECT(("'MemberID'!$C$6:C"&amp;MemberID!$C$1)),MATCH(U31,INDIRECT(("'MemberID'!$G$6:G"&amp;MemberID!$C$1)),0))</f>
        <v>#NUM!</v>
      </c>
      <c r="W31" s="69" t="e">
        <f ca="1">INDEX(E$65:INDIRECT("E"&amp;$C$61),$T31)</f>
        <v>#NUM!</v>
      </c>
      <c r="X31" t="e">
        <f ca="1">INDEX(F$65:INDIRECT("F"&amp;$C$61),$T31)</f>
        <v>#NUM!</v>
      </c>
      <c r="Y31" t="e">
        <f ca="1">INDEX(G$65:INDIRECT("G"&amp;$C$61),$T31)</f>
        <v>#NUM!</v>
      </c>
      <c r="Z31" t="e">
        <f ca="1">INDEX(H$65:INDIRECT("H"&amp;$C$61),$T31)</f>
        <v>#NUM!</v>
      </c>
      <c r="AA31" t="e">
        <f ca="1">INDEX(I$65:INDIRECT("I"&amp;$C$61),$T31)</f>
        <v>#NUM!</v>
      </c>
      <c r="AB31" t="e">
        <f ca="1">INDEX(J$65:INDIRECT("J"&amp;$C$61),$T31)</f>
        <v>#NUM!</v>
      </c>
      <c r="AC31" t="e">
        <f ca="1">INDEX(K$65:INDIRECT("K"&amp;$C$61),$T31)</f>
        <v>#NUM!</v>
      </c>
      <c r="AD31" s="23" t="e">
        <f t="array" aca="1" ref="AD31" ca="1">IF(ISBLANK($AE$11),LARGE(IF($E$65:INDIRECT("E"&amp;$C$61)=$AE$10,L$65:INDIRECT(AD$13&amp;$C$61)),$AH31),IF(ISBLANK($AE$10),LARGE(IF($D$65:INDIRECT("D"&amp;$C$61)=$AE$11,L$65:INDIRECT(AD$13&amp;$C$61)),$AH31),LARGE(IF(($E$65:INDIRECT("E"&amp;$C$61)=$AE$10)*($D$65:INDIRECT("D"&amp;$C$61)=$AE$11),L$65:INDIRECT(AD$13&amp;$C$61)),$AH31)))</f>
        <v>#NUM!</v>
      </c>
      <c r="AE31" t="e">
        <f ca="1">INDEX(M$65:INDIRECT("M"&amp;$C$61),$T31)</f>
        <v>#NUM!</v>
      </c>
      <c r="AF31" t="e">
        <f ca="1">INDEX(N$65:INDIRECT("N"&amp;$C$61),$T31)</f>
        <v>#NUM!</v>
      </c>
      <c r="AG31" t="e">
        <f ca="1">INDEX(O$65:INDIRECT("O"&amp;$C$61),$T31)</f>
        <v>#NUM!</v>
      </c>
      <c r="AH31" s="69">
        <v>3</v>
      </c>
      <c r="AI31" s="69" t="str">
        <f t="shared" ref="AI31:AJ34" si="2">AI30</f>
        <v>L</v>
      </c>
      <c r="AJ31" s="69" t="str">
        <f t="shared" si="2"/>
        <v>S</v>
      </c>
    </row>
    <row r="32" spans="1:36" x14ac:dyDescent="0.25">
      <c r="A32" s="74" t="s">
        <v>72</v>
      </c>
      <c r="B32" s="69" t="s">
        <v>33</v>
      </c>
      <c r="C32" s="74" t="e">
        <f ca="1">L6</f>
        <v>#N/A</v>
      </c>
      <c r="D32" s="69" t="e">
        <f ca="1">INDEX(D$65:INDIRECT("D"&amp;$C$61),$C32)</f>
        <v>#N/A</v>
      </c>
      <c r="E32" s="69" t="e">
        <f ca="1">INDEX(INDIRECT(("'MemberID'!$C$6:C"&amp;MemberID!$C$1)),MATCH(D32,INDIRECT(("'MemberID'!$G$6:G"&amp;MemberID!$C$1)),0))</f>
        <v>#N/A</v>
      </c>
      <c r="F32" s="69" t="e">
        <f ca="1">INDEX(E$65:INDIRECT("E"&amp;$C$61),$C32)</f>
        <v>#N/A</v>
      </c>
      <c r="G32" t="e">
        <f ca="1">INDEX(F$65:INDIRECT("F"&amp;$C$61),$C32)</f>
        <v>#N/A</v>
      </c>
      <c r="H32" t="e">
        <f ca="1">INDEX(G$65:INDIRECT("G"&amp;$C$61),$C32)</f>
        <v>#N/A</v>
      </c>
      <c r="I32" t="e">
        <f ca="1">INDEX(H$65:INDIRECT("H"&amp;$C$61),$C32)</f>
        <v>#N/A</v>
      </c>
      <c r="J32" t="e">
        <f ca="1">INDEX(I$65:INDIRECT("I"&amp;$C$61),$C32)</f>
        <v>#N/A</v>
      </c>
      <c r="K32" s="7" t="e">
        <f ca="1">INDEX(J$65:INDIRECT("J"&amp;$C$61),$C32)</f>
        <v>#N/A</v>
      </c>
      <c r="L32" t="e">
        <f ca="1">INDEX(K$65:INDIRECT("K"&amp;$C$61),$C32)</f>
        <v>#N/A</v>
      </c>
      <c r="M32" s="23" t="e">
        <f ca="1">INDEX(L$65:INDIRECT("L"&amp;$C$61),$C32)</f>
        <v>#N/A</v>
      </c>
      <c r="N32" t="e">
        <f ca="1">INDEX(M$65:INDIRECT("M"&amp;$C$61),$C32)</f>
        <v>#N/A</v>
      </c>
      <c r="O32" t="e">
        <f ca="1">INDEX(N$65:INDIRECT("N"&amp;$C$61),$C32)</f>
        <v>#N/A</v>
      </c>
      <c r="P32" t="e">
        <f ca="1">INDEX(O$65:INDIRECT("O"&amp;$C$61),$C32)</f>
        <v>#N/A</v>
      </c>
      <c r="Q32" s="104"/>
      <c r="R32" s="74" t="s">
        <v>72</v>
      </c>
      <c r="S32" s="69" t="s">
        <v>33</v>
      </c>
      <c r="T32" s="74" t="e">
        <f t="array" aca="1" ref="T32" ca="1">MATCH(IF(ISBLANK($AE$11),SMALL(IF($E$65:INDIRECT("E"&amp;$C$61)=$AE$10,INDIRECT(AJ32&amp;65):INDIRECT(AJ32&amp;$C$61)),$AH32),IF(ISBLANK($AE$10),SMALL(IF($D$65:INDIRECT("D"&amp;$C$61)=$AE$11,INDIRECT(AJ32&amp;65):INDIRECT(AJ32&amp;$C$61)),$AH32),SMALL(IF(($E$65:INDIRECT("E"&amp;$C$61)=$AE$10)*($D$65:INDIRECT("D"&amp;$C$61)=$AE$11),INDIRECT(AJ32&amp;65):INDIRECT(AJ32&amp;$C$61)),$AH32))),INDIRECT(AJ32&amp;65):INDIRECT(AJ32&amp;$C$61),0)</f>
        <v>#NUM!</v>
      </c>
      <c r="U32" s="69" t="e">
        <f ca="1">INDEX(D$65:INDIRECT("D"&amp;$C$61),$T32)</f>
        <v>#NUM!</v>
      </c>
      <c r="V32" s="69" t="e">
        <f ca="1">INDEX(INDIRECT(("'MemberID'!$C$6:C"&amp;MemberID!$C$1)),MATCH(U32,INDIRECT(("'MemberID'!$G$6:G"&amp;MemberID!$C$1)),0))</f>
        <v>#NUM!</v>
      </c>
      <c r="W32" s="69" t="e">
        <f ca="1">INDEX(E$65:INDIRECT("E"&amp;$C$61),$T32)</f>
        <v>#NUM!</v>
      </c>
      <c r="X32" t="e">
        <f ca="1">INDEX(F$65:INDIRECT("F"&amp;$C$61),$T32)</f>
        <v>#NUM!</v>
      </c>
      <c r="Y32" t="e">
        <f ca="1">INDEX(G$65:INDIRECT("G"&amp;$C$61),$T32)</f>
        <v>#NUM!</v>
      </c>
      <c r="Z32" t="e">
        <f ca="1">INDEX(H$65:INDIRECT("H"&amp;$C$61),$T32)</f>
        <v>#NUM!</v>
      </c>
      <c r="AA32" t="e">
        <f ca="1">INDEX(I$65:INDIRECT("I"&amp;$C$61),$T32)</f>
        <v>#NUM!</v>
      </c>
      <c r="AB32" t="e">
        <f ca="1">INDEX(J$65:INDIRECT("J"&amp;$C$61),$T32)</f>
        <v>#NUM!</v>
      </c>
      <c r="AC32" t="e">
        <f ca="1">INDEX(K$65:INDIRECT("K"&amp;$C$61),$T32)</f>
        <v>#NUM!</v>
      </c>
      <c r="AD32" s="23" t="e">
        <f t="array" aca="1" ref="AD32" ca="1">IF(ISBLANK($AE$11),SMALL(IF($E$65:INDIRECT("E"&amp;$C$61)=$AE$10,L$65:INDIRECT(AD$13&amp;$C$61)),$AH32),IF(ISBLANK($AE$10),SMALL(IF($D$65:INDIRECT("D"&amp;$C$61)=$AE$11,L$65:INDIRECT(AD$13&amp;$C$61)),$AH32),SMALL(IF(($E$65:INDIRECT("E"&amp;$C$61)=$AE$10)*($D$65:INDIRECT("D"&amp;$C$61)=$AE$11),L$65:INDIRECT(AD$13&amp;$C$61)),$AH32)))</f>
        <v>#NUM!</v>
      </c>
      <c r="AE32" t="e">
        <f ca="1">INDEX(M$65:INDIRECT("M"&amp;$C$61),$T32)</f>
        <v>#NUM!</v>
      </c>
      <c r="AF32" t="e">
        <f ca="1">INDEX(N$65:INDIRECT("N"&amp;$C$61),$T32)</f>
        <v>#NUM!</v>
      </c>
      <c r="AG32" t="e">
        <f ca="1">INDEX(O$65:INDIRECT("O"&amp;$C$61),$T32)</f>
        <v>#NUM!</v>
      </c>
      <c r="AH32" s="69">
        <v>1</v>
      </c>
      <c r="AI32" s="69" t="str">
        <f t="shared" si="2"/>
        <v>L</v>
      </c>
      <c r="AJ32" s="69" t="str">
        <f t="shared" si="2"/>
        <v>S</v>
      </c>
    </row>
    <row r="33" spans="1:52" x14ac:dyDescent="0.25">
      <c r="A33" s="74" t="s">
        <v>73</v>
      </c>
      <c r="B33" s="69" t="s">
        <v>33</v>
      </c>
      <c r="C33" s="74" t="e">
        <f ca="1">T6</f>
        <v>#NUM!</v>
      </c>
      <c r="D33" s="69" t="e">
        <f ca="1">INDEX(D$65:INDIRECT("D"&amp;$C$61),$C33)</f>
        <v>#NUM!</v>
      </c>
      <c r="E33" s="69" t="e">
        <f ca="1">INDEX(INDIRECT(("'MemberID'!$C$6:C"&amp;MemberID!$C$1)),MATCH(D33,INDIRECT(("'MemberID'!$G$6:G"&amp;MemberID!$C$1)),0))</f>
        <v>#NUM!</v>
      </c>
      <c r="F33" s="69" t="e">
        <f ca="1">INDEX(E$65:INDIRECT("E"&amp;$C$61),$C33)</f>
        <v>#NUM!</v>
      </c>
      <c r="G33" t="e">
        <f ca="1">INDEX(F$65:INDIRECT("F"&amp;$C$61),$C33)</f>
        <v>#NUM!</v>
      </c>
      <c r="H33" t="e">
        <f ca="1">INDEX(G$65:INDIRECT("G"&amp;$C$61),$C33)</f>
        <v>#NUM!</v>
      </c>
      <c r="I33" t="e">
        <f ca="1">INDEX(H$65:INDIRECT("H"&amp;$C$61),$C33)</f>
        <v>#NUM!</v>
      </c>
      <c r="J33" t="e">
        <f ca="1">INDEX(I$65:INDIRECT("I"&amp;$C$61),$C33)</f>
        <v>#NUM!</v>
      </c>
      <c r="K33" s="7" t="e">
        <f ca="1">INDEX(J$65:INDIRECT("J"&amp;$C$61),$C33)</f>
        <v>#NUM!</v>
      </c>
      <c r="L33" t="e">
        <f ca="1">INDEX(K$65:INDIRECT("K"&amp;$C$61),$C33)</f>
        <v>#NUM!</v>
      </c>
      <c r="M33" s="23" t="e">
        <f ca="1">INDEX(L$65:INDIRECT("L"&amp;$C$61),$C33)</f>
        <v>#NUM!</v>
      </c>
      <c r="N33" t="e">
        <f ca="1">INDEX(M$65:INDIRECT("M"&amp;$C$61),$C33)</f>
        <v>#NUM!</v>
      </c>
      <c r="O33" t="e">
        <f ca="1">INDEX(N$65:INDIRECT("N"&amp;$C$61),$C33)</f>
        <v>#NUM!</v>
      </c>
      <c r="P33" t="e">
        <f ca="1">INDEX(O$65:INDIRECT("O"&amp;$C$61),$C33)</f>
        <v>#NUM!</v>
      </c>
      <c r="Q33" s="104"/>
      <c r="R33" s="74" t="s">
        <v>73</v>
      </c>
      <c r="S33" s="69" t="s">
        <v>33</v>
      </c>
      <c r="T33" s="74" t="e">
        <f t="array" aca="1" ref="T33" ca="1">MATCH(IF(ISBLANK($AE$11),SMALL(IF($E$65:INDIRECT("E"&amp;$C$61)=$AE$10,INDIRECT(AJ33&amp;65):INDIRECT(AJ33&amp;$C$61)),$AH33),IF(ISBLANK($AE$10),SMALL(IF($D$65:INDIRECT("D"&amp;$C$61)=$AE$11,INDIRECT(AJ33&amp;65):INDIRECT(AJ33&amp;$C$61)),$AH33),SMALL(IF(($E$65:INDIRECT("E"&amp;$C$61)=$AE$10)*($D$65:INDIRECT("D"&amp;$C$61)=$AE$11),INDIRECT(AJ33&amp;65):INDIRECT(AJ33&amp;$C$61)),$AH33))),INDIRECT(AJ33&amp;65):INDIRECT(AJ33&amp;$C$61),0)</f>
        <v>#NUM!</v>
      </c>
      <c r="U33" s="69" t="e">
        <f ca="1">INDEX(D$65:INDIRECT("D"&amp;$C$61),$T33)</f>
        <v>#NUM!</v>
      </c>
      <c r="V33" s="69" t="e">
        <f ca="1">INDEX(INDIRECT(("'MemberID'!$C$6:C"&amp;MemberID!$C$1)),MATCH(U33,INDIRECT(("'MemberID'!$G$6:G"&amp;MemberID!$C$1)),0))</f>
        <v>#NUM!</v>
      </c>
      <c r="W33" s="69" t="e">
        <f ca="1">INDEX(E$65:INDIRECT("E"&amp;$C$61),$T33)</f>
        <v>#NUM!</v>
      </c>
      <c r="X33" t="e">
        <f ca="1">INDEX(F$65:INDIRECT("F"&amp;$C$61),$T33)</f>
        <v>#NUM!</v>
      </c>
      <c r="Y33" t="e">
        <f ca="1">INDEX(G$65:INDIRECT("G"&amp;$C$61),$T33)</f>
        <v>#NUM!</v>
      </c>
      <c r="Z33" t="e">
        <f ca="1">INDEX(H$65:INDIRECT("H"&amp;$C$61),$T33)</f>
        <v>#NUM!</v>
      </c>
      <c r="AA33" t="e">
        <f ca="1">INDEX(I$65:INDIRECT("I"&amp;$C$61),$T33)</f>
        <v>#NUM!</v>
      </c>
      <c r="AB33" t="e">
        <f ca="1">INDEX(J$65:INDIRECT("J"&amp;$C$61),$T33)</f>
        <v>#NUM!</v>
      </c>
      <c r="AC33" t="e">
        <f ca="1">INDEX(K$65:INDIRECT("K"&amp;$C$61),$T33)</f>
        <v>#NUM!</v>
      </c>
      <c r="AD33" s="23" t="e">
        <f t="array" aca="1" ref="AD33" ca="1">IF(ISBLANK($AE$11),SMALL(IF($E$65:INDIRECT("E"&amp;$C$61)=$AE$10,L$65:INDIRECT(AD$13&amp;$C$61)),$AH33),IF(ISBLANK($AE$10),SMALL(IF($D$65:INDIRECT("D"&amp;$C$61)=$AE$11,L$65:INDIRECT(AD$13&amp;$C$61)),$AH33),SMALL(IF(($E$65:INDIRECT("E"&amp;$C$61)=$AE$10)*($D$65:INDIRECT("D"&amp;$C$61)=$AE$11),L$65:INDIRECT(AD$13&amp;$C$61)),$AH33)))</f>
        <v>#NUM!</v>
      </c>
      <c r="AE33" t="e">
        <f ca="1">INDEX(M$65:INDIRECT("M"&amp;$C$61),$T33)</f>
        <v>#NUM!</v>
      </c>
      <c r="AF33" t="e">
        <f ca="1">INDEX(N$65:INDIRECT("N"&amp;$C$61),$T33)</f>
        <v>#NUM!</v>
      </c>
      <c r="AG33" t="e">
        <f ca="1">INDEX(O$65:INDIRECT("O"&amp;$C$61),$T33)</f>
        <v>#NUM!</v>
      </c>
      <c r="AH33" s="69">
        <v>2</v>
      </c>
      <c r="AI33" s="69" t="str">
        <f t="shared" si="2"/>
        <v>L</v>
      </c>
      <c r="AJ33" s="69" t="str">
        <f t="shared" si="2"/>
        <v>S</v>
      </c>
    </row>
    <row r="34" spans="1:52" x14ac:dyDescent="0.25">
      <c r="A34" s="74" t="s">
        <v>74</v>
      </c>
      <c r="B34" s="69" t="s">
        <v>33</v>
      </c>
      <c r="C34" s="74" t="e">
        <f ca="1">AB6</f>
        <v>#NUM!</v>
      </c>
      <c r="D34" s="69" t="e">
        <f ca="1">INDEX(D$65:INDIRECT("D"&amp;$C$61),$C34)</f>
        <v>#NUM!</v>
      </c>
      <c r="E34" s="69" t="e">
        <f ca="1">INDEX(INDIRECT(("'MemberID'!$C$6:C"&amp;MemberID!$C$1)),MATCH(D34,INDIRECT(("'MemberID'!$G$6:G"&amp;MemberID!$C$1)),0))</f>
        <v>#NUM!</v>
      </c>
      <c r="F34" s="69" t="e">
        <f ca="1">INDEX(E$65:INDIRECT("E"&amp;$C$61),$C34)</f>
        <v>#NUM!</v>
      </c>
      <c r="G34" t="e">
        <f ca="1">INDEX(F$65:INDIRECT("F"&amp;$C$61),$C34)</f>
        <v>#NUM!</v>
      </c>
      <c r="H34" t="e">
        <f ca="1">INDEX(G$65:INDIRECT("G"&amp;$C$61),$C34)</f>
        <v>#NUM!</v>
      </c>
      <c r="I34" t="e">
        <f ca="1">INDEX(H$65:INDIRECT("H"&amp;$C$61),$C34)</f>
        <v>#NUM!</v>
      </c>
      <c r="J34" t="e">
        <f ca="1">INDEX(I$65:INDIRECT("I"&amp;$C$61),$C34)</f>
        <v>#NUM!</v>
      </c>
      <c r="K34" s="7" t="e">
        <f ca="1">INDEX(J$65:INDIRECT("J"&amp;$C$61),$C34)</f>
        <v>#NUM!</v>
      </c>
      <c r="L34" t="e">
        <f ca="1">INDEX(K$65:INDIRECT("K"&amp;$C$61),$C34)</f>
        <v>#NUM!</v>
      </c>
      <c r="M34" s="23" t="e">
        <f ca="1">INDEX(L$65:INDIRECT("L"&amp;$C$61),$C34)</f>
        <v>#NUM!</v>
      </c>
      <c r="N34" t="e">
        <f ca="1">INDEX(M$65:INDIRECT("M"&amp;$C$61),$C34)</f>
        <v>#NUM!</v>
      </c>
      <c r="O34" t="e">
        <f ca="1">INDEX(N$65:INDIRECT("N"&amp;$C$61),$C34)</f>
        <v>#NUM!</v>
      </c>
      <c r="P34" t="e">
        <f ca="1">INDEX(O$65:INDIRECT("O"&amp;$C$61),$C34)</f>
        <v>#NUM!</v>
      </c>
      <c r="Q34" s="104"/>
      <c r="R34" s="74" t="s">
        <v>74</v>
      </c>
      <c r="S34" s="69" t="s">
        <v>33</v>
      </c>
      <c r="T34" s="74" t="e">
        <f t="array" aca="1" ref="T34" ca="1">MATCH(IF(ISBLANK($AE$11),SMALL(IF($E$65:INDIRECT("E"&amp;$C$61)=$AE$10,INDIRECT(AJ34&amp;65):INDIRECT(AJ34&amp;$C$61)),$AH34),IF(ISBLANK($AE$10),SMALL(IF($D$65:INDIRECT("D"&amp;$C$61)=$AE$11,INDIRECT(AJ34&amp;65):INDIRECT(AJ34&amp;$C$61)),$AH34),SMALL(IF(($E$65:INDIRECT("E"&amp;$C$61)=$AE$10)*($D$65:INDIRECT("D"&amp;$C$61)=$AE$11),INDIRECT(AJ34&amp;65):INDIRECT(AJ34&amp;$C$61)),$AH34))),INDIRECT(AJ34&amp;65):INDIRECT(AJ34&amp;$C$61),0)</f>
        <v>#NUM!</v>
      </c>
      <c r="U34" s="69" t="e">
        <f ca="1">INDEX(D$65:INDIRECT("D"&amp;$C$61),$T34)</f>
        <v>#NUM!</v>
      </c>
      <c r="V34" s="69" t="e">
        <f ca="1">INDEX(INDIRECT(("'MemberID'!$C$6:C"&amp;MemberID!$C$1)),MATCH(U34,INDIRECT(("'MemberID'!$G$6:G"&amp;MemberID!$C$1)),0))</f>
        <v>#NUM!</v>
      </c>
      <c r="W34" s="69" t="e">
        <f ca="1">INDEX(E$65:INDIRECT("E"&amp;$C$61),$T34)</f>
        <v>#NUM!</v>
      </c>
      <c r="X34" t="e">
        <f ca="1">INDEX(F$65:INDIRECT("F"&amp;$C$61),$T34)</f>
        <v>#NUM!</v>
      </c>
      <c r="Y34" t="e">
        <f ca="1">INDEX(G$65:INDIRECT("G"&amp;$C$61),$T34)</f>
        <v>#NUM!</v>
      </c>
      <c r="Z34" t="e">
        <f ca="1">INDEX(H$65:INDIRECT("H"&amp;$C$61),$T34)</f>
        <v>#NUM!</v>
      </c>
      <c r="AA34" t="e">
        <f ca="1">INDEX(I$65:INDIRECT("I"&amp;$C$61),$T34)</f>
        <v>#NUM!</v>
      </c>
      <c r="AB34" t="e">
        <f ca="1">INDEX(J$65:INDIRECT("J"&amp;$C$61),$T34)</f>
        <v>#NUM!</v>
      </c>
      <c r="AC34" t="e">
        <f ca="1">INDEX(K$65:INDIRECT("K"&amp;$C$61),$T34)</f>
        <v>#NUM!</v>
      </c>
      <c r="AD34" s="23" t="e">
        <f t="array" aca="1" ref="AD34" ca="1">IF(ISBLANK($AE$11),SMALL(IF($E$65:INDIRECT("E"&amp;$C$61)=$AE$10,L$65:INDIRECT(AD$13&amp;$C$61)),$AH34),IF(ISBLANK($AE$10),SMALL(IF($D$65:INDIRECT("D"&amp;$C$61)=$AE$11,L$65:INDIRECT(AD$13&amp;$C$61)),$AH34),SMALL(IF(($E$65:INDIRECT("E"&amp;$C$61)=$AE$10)*($D$65:INDIRECT("D"&amp;$C$61)=$AE$11),L$65:INDIRECT(AD$13&amp;$C$61)),$AH34)))</f>
        <v>#NUM!</v>
      </c>
      <c r="AE34" t="e">
        <f ca="1">INDEX(M$65:INDIRECT("M"&amp;$C$61),$T34)</f>
        <v>#NUM!</v>
      </c>
      <c r="AF34" t="e">
        <f ca="1">INDEX(N$65:INDIRECT("N"&amp;$C$61),$T34)</f>
        <v>#NUM!</v>
      </c>
      <c r="AG34" t="e">
        <f ca="1">INDEX(O$65:INDIRECT("O"&amp;$C$61),$T34)</f>
        <v>#NUM!</v>
      </c>
      <c r="AH34" s="69">
        <v>3</v>
      </c>
      <c r="AI34" s="69" t="str">
        <f t="shared" si="2"/>
        <v>L</v>
      </c>
      <c r="AJ34" s="69" t="str">
        <f t="shared" si="2"/>
        <v>S</v>
      </c>
    </row>
    <row r="35" spans="1:52" x14ac:dyDescent="0.25">
      <c r="A35" s="5"/>
      <c r="B35" s="69"/>
      <c r="C35" s="69"/>
      <c r="D35" s="69"/>
      <c r="E35" s="69"/>
      <c r="F35" s="69"/>
      <c r="K35" s="7"/>
      <c r="Q35" s="104"/>
      <c r="R35" s="5"/>
      <c r="S35" s="69"/>
      <c r="T35" s="69"/>
      <c r="V35" s="69"/>
      <c r="W35" s="69"/>
      <c r="AH35" s="69"/>
      <c r="AI35" s="69"/>
      <c r="AJ35" s="69"/>
    </row>
    <row r="36" spans="1:52" x14ac:dyDescent="0.25">
      <c r="A36" s="73" t="s">
        <v>69</v>
      </c>
      <c r="B36" s="69" t="s">
        <v>34</v>
      </c>
      <c r="C36" s="73" t="e">
        <f ca="1">M3</f>
        <v>#N/A</v>
      </c>
      <c r="D36" s="69" t="e">
        <f ca="1">INDEX(D$65:INDIRECT("D"&amp;$C$61),$C36)</f>
        <v>#N/A</v>
      </c>
      <c r="E36" s="69" t="e">
        <f ca="1">INDEX(INDIRECT(("'MemberID'!$C$6:C"&amp;MemberID!$C$1)),MATCH(D36,INDIRECT(("'MemberID'!$G$6:G"&amp;MemberID!$C$1)),0))</f>
        <v>#N/A</v>
      </c>
      <c r="F36" s="69" t="e">
        <f ca="1">INDEX(E$65:INDIRECT("E"&amp;$C$61),$C36)</f>
        <v>#N/A</v>
      </c>
      <c r="G36" t="e">
        <f ca="1">INDEX(F$65:INDIRECT("F"&amp;$C$61),$C36)</f>
        <v>#N/A</v>
      </c>
      <c r="H36" t="e">
        <f ca="1">INDEX(G$65:INDIRECT("G"&amp;$C$61),$C36)</f>
        <v>#N/A</v>
      </c>
      <c r="I36" t="e">
        <f ca="1">INDEX(H$65:INDIRECT("H"&amp;$C$61),$C36)</f>
        <v>#N/A</v>
      </c>
      <c r="J36" t="e">
        <f ca="1">INDEX(I$65:INDIRECT("I"&amp;$C$61),$C36)</f>
        <v>#N/A</v>
      </c>
      <c r="K36" s="7" t="e">
        <f ca="1">INDEX(J$65:INDIRECT("J"&amp;$C$61),$C36)</f>
        <v>#N/A</v>
      </c>
      <c r="L36" t="e">
        <f ca="1">INDEX(K$65:INDIRECT("K"&amp;$C$61),$C36)</f>
        <v>#N/A</v>
      </c>
      <c r="M36" t="e">
        <f ca="1">INDEX(L$65:INDIRECT("L"&amp;$C$61),$C36)</f>
        <v>#N/A</v>
      </c>
      <c r="N36" s="23" t="e">
        <f ca="1">INDEX(M$65:INDIRECT("M"&amp;$C$61),$C36)</f>
        <v>#N/A</v>
      </c>
      <c r="O36" t="e">
        <f ca="1">INDEX(N$65:INDIRECT("N"&amp;$C$61),$C36)</f>
        <v>#N/A</v>
      </c>
      <c r="P36" t="e">
        <f ca="1">INDEX(O$65:INDIRECT("O"&amp;$C$61),$C36)</f>
        <v>#N/A</v>
      </c>
      <c r="Q36" s="104"/>
      <c r="R36" s="73" t="s">
        <v>69</v>
      </c>
      <c r="S36" s="69" t="s">
        <v>34</v>
      </c>
      <c r="T36" s="73" t="e">
        <f t="array" aca="1" ref="T36" ca="1">MATCH(IF(ISBLANK($AE$11),LARGE(IF($E$65:INDIRECT("E"&amp;$C$61)=$AE$10,INDIRECT(AJ36&amp;65):INDIRECT(AJ36&amp;$C$61)),$AH36),IF(ISBLANK($AE$10),LARGE(IF($D$65:INDIRECT("D"&amp;$C$61)=$AE$11,INDIRECT(AJ36&amp;65):INDIRECT(AJ36&amp;$C$61)),$AH36),LARGE(IF(($E$65:INDIRECT("E"&amp;$C$61)=$AE$10)*($D$65:INDIRECT("D"&amp;$C$61)=$AE$11),INDIRECT(AJ36&amp;65):INDIRECT(AJ36&amp;$C$61)),$AH36))),INDIRECT(AJ36&amp;65):INDIRECT(AJ36&amp;$C$61),0)</f>
        <v>#NUM!</v>
      </c>
      <c r="U36" s="69" t="e">
        <f ca="1">INDEX(D$65:INDIRECT("D"&amp;$C$61),$T36)</f>
        <v>#NUM!</v>
      </c>
      <c r="V36" s="69" t="e">
        <f ca="1">INDEX(INDIRECT(("'MemberID'!$C$6:C"&amp;MemberID!$C$1)),MATCH(U36,INDIRECT(("'MemberID'!$G$6:G"&amp;MemberID!$C$1)),0))</f>
        <v>#NUM!</v>
      </c>
      <c r="W36" s="69" t="e">
        <f ca="1">INDEX(E$65:INDIRECT("E"&amp;$C$61),$T36)</f>
        <v>#NUM!</v>
      </c>
      <c r="X36" t="e">
        <f ca="1">INDEX(F$65:INDIRECT("F"&amp;$C$61),$T36)</f>
        <v>#NUM!</v>
      </c>
      <c r="Y36" t="e">
        <f ca="1">INDEX(G$65:INDIRECT("G"&amp;$C$61),$T36)</f>
        <v>#NUM!</v>
      </c>
      <c r="Z36" t="e">
        <f ca="1">INDEX(H$65:INDIRECT("H"&amp;$C$61),$T36)</f>
        <v>#NUM!</v>
      </c>
      <c r="AA36" t="e">
        <f ca="1">INDEX(I$65:INDIRECT("I"&amp;$C$61),$T36)</f>
        <v>#NUM!</v>
      </c>
      <c r="AB36" t="e">
        <f ca="1">INDEX(J$65:INDIRECT("J"&amp;$C$61),$T36)</f>
        <v>#NUM!</v>
      </c>
      <c r="AC36" t="e">
        <f ca="1">INDEX(K$65:INDIRECT("K"&amp;$C$61),$T36)</f>
        <v>#NUM!</v>
      </c>
      <c r="AD36" t="e">
        <f ca="1">INDEX(L$65:INDIRECT("L"&amp;$C$61),$T36)</f>
        <v>#NUM!</v>
      </c>
      <c r="AE36" s="23" t="e">
        <f t="array" aca="1" ref="AE36" ca="1">IF(ISBLANK($AE$11),LARGE(IF($E$65:INDIRECT("E"&amp;$C$61)=$AE$10,M$65:INDIRECT(AE$13&amp;$C$61)),$AH36),IF(ISBLANK($AE$10),LARGE(IF($D$65:INDIRECT("D"&amp;$C$61)=$AE$11,M$65:INDIRECT(AE$13&amp;$C$61)),$AH36),LARGE(IF(($E$65:INDIRECT("E"&amp;$C$61)=$AE$10)*($D$65:INDIRECT("D"&amp;$C$61)=$AE$11),M$65:INDIRECT(AE$13&amp;$C$61)),$AH36)))</f>
        <v>#NUM!</v>
      </c>
      <c r="AF36" t="e">
        <f ca="1">INDEX(N$65:INDIRECT("N"&amp;$C$61),$T36)</f>
        <v>#NUM!</v>
      </c>
      <c r="AG36" t="e">
        <f ca="1">INDEX(O$65:INDIRECT("O"&amp;$C$61),$T36)</f>
        <v>#NUM!</v>
      </c>
      <c r="AH36" s="69">
        <v>1</v>
      </c>
      <c r="AI36" s="69" t="s">
        <v>198</v>
      </c>
      <c r="AJ36" s="69" t="s">
        <v>195</v>
      </c>
    </row>
    <row r="37" spans="1:52" x14ac:dyDescent="0.25">
      <c r="A37" s="73" t="s">
        <v>70</v>
      </c>
      <c r="B37" s="69" t="s">
        <v>34</v>
      </c>
      <c r="C37" s="73" t="e">
        <f ca="1">U3</f>
        <v>#NUM!</v>
      </c>
      <c r="D37" s="69" t="e">
        <f ca="1">INDEX(D$65:INDIRECT("D"&amp;$C$61),$C37)</f>
        <v>#NUM!</v>
      </c>
      <c r="E37" s="69" t="e">
        <f ca="1">INDEX(INDIRECT(("'MemberID'!$C$6:C"&amp;MemberID!$C$1)),MATCH(D37,INDIRECT(("'MemberID'!$G$6:G"&amp;MemberID!$C$1)),0))</f>
        <v>#NUM!</v>
      </c>
      <c r="F37" s="69" t="e">
        <f ca="1">INDEX(E$65:INDIRECT("E"&amp;$C$61),$C37)</f>
        <v>#NUM!</v>
      </c>
      <c r="G37" t="e">
        <f ca="1">INDEX(F$65:INDIRECT("F"&amp;$C$61),$C37)</f>
        <v>#NUM!</v>
      </c>
      <c r="H37" t="e">
        <f ca="1">INDEX(G$65:INDIRECT("G"&amp;$C$61),$C37)</f>
        <v>#NUM!</v>
      </c>
      <c r="I37" t="e">
        <f ca="1">INDEX(H$65:INDIRECT("H"&amp;$C$61),$C37)</f>
        <v>#NUM!</v>
      </c>
      <c r="J37" t="e">
        <f ca="1">INDEX(I$65:INDIRECT("I"&amp;$C$61),$C37)</f>
        <v>#NUM!</v>
      </c>
      <c r="K37" s="7" t="e">
        <f ca="1">INDEX(J$65:INDIRECT("J"&amp;$C$61),$C37)</f>
        <v>#NUM!</v>
      </c>
      <c r="L37" t="e">
        <f ca="1">INDEX(K$65:INDIRECT("K"&amp;$C$61),$C37)</f>
        <v>#NUM!</v>
      </c>
      <c r="M37" t="e">
        <f ca="1">INDEX(L$65:INDIRECT("L"&amp;$C$61),$C37)</f>
        <v>#NUM!</v>
      </c>
      <c r="N37" s="23" t="e">
        <f ca="1">INDEX(M$65:INDIRECT("M"&amp;$C$61),$C37)</f>
        <v>#NUM!</v>
      </c>
      <c r="O37" t="e">
        <f ca="1">INDEX(N$65:INDIRECT("N"&amp;$C$61),$C37)</f>
        <v>#NUM!</v>
      </c>
      <c r="P37" t="e">
        <f ca="1">INDEX(O$65:INDIRECT("O"&amp;$C$61),$C37)</f>
        <v>#NUM!</v>
      </c>
      <c r="Q37" s="104"/>
      <c r="R37" s="73" t="s">
        <v>70</v>
      </c>
      <c r="S37" s="69" t="s">
        <v>34</v>
      </c>
      <c r="T37" s="73" t="e">
        <f t="array" aca="1" ref="T37" ca="1">MATCH(IF(ISBLANK($AE$11),LARGE(IF($E$65:INDIRECT("E"&amp;$C$61)=$AE$10,INDIRECT(AJ37&amp;65):INDIRECT(AJ37&amp;$C$61)),$AH37),IF(ISBLANK($AE$10),LARGE(IF($D$65:INDIRECT("D"&amp;$C$61)=$AE$11,INDIRECT(AJ37&amp;65):INDIRECT(AJ37&amp;$C$61)),$AH37),LARGE(IF(($E$65:INDIRECT("E"&amp;$C$61)=$AE$10)*($D$65:INDIRECT("D"&amp;$C$61)=$AE$11),INDIRECT(AJ37&amp;65):INDIRECT(AJ37&amp;$C$61)),$AH37))),INDIRECT(AJ37&amp;65):INDIRECT(AJ37&amp;$C$61),0)</f>
        <v>#NUM!</v>
      </c>
      <c r="U37" s="69" t="e">
        <f ca="1">INDEX(D$65:INDIRECT("D"&amp;$C$61),$T37)</f>
        <v>#NUM!</v>
      </c>
      <c r="V37" s="69" t="e">
        <f ca="1">INDEX(INDIRECT(("'MemberID'!$C$6:C"&amp;MemberID!$C$1)),MATCH(U37,INDIRECT(("'MemberID'!$G$6:G"&amp;MemberID!$C$1)),0))</f>
        <v>#NUM!</v>
      </c>
      <c r="W37" s="69" t="e">
        <f ca="1">INDEX(E$65:INDIRECT("E"&amp;$C$61),$T37)</f>
        <v>#NUM!</v>
      </c>
      <c r="X37" t="e">
        <f ca="1">INDEX(F$65:INDIRECT("F"&amp;$C$61),$T37)</f>
        <v>#NUM!</v>
      </c>
      <c r="Y37" t="e">
        <f ca="1">INDEX(G$65:INDIRECT("G"&amp;$C$61),$T37)</f>
        <v>#NUM!</v>
      </c>
      <c r="Z37" t="e">
        <f ca="1">INDEX(H$65:INDIRECT("H"&amp;$C$61),$T37)</f>
        <v>#NUM!</v>
      </c>
      <c r="AA37" t="e">
        <f ca="1">INDEX(I$65:INDIRECT("I"&amp;$C$61),$T37)</f>
        <v>#NUM!</v>
      </c>
      <c r="AB37" t="e">
        <f ca="1">INDEX(J$65:INDIRECT("J"&amp;$C$61),$T37)</f>
        <v>#NUM!</v>
      </c>
      <c r="AC37" t="e">
        <f ca="1">INDEX(K$65:INDIRECT("K"&amp;$C$61),$T37)</f>
        <v>#NUM!</v>
      </c>
      <c r="AD37" t="e">
        <f ca="1">INDEX(L$65:INDIRECT("L"&amp;$C$61),$T37)</f>
        <v>#NUM!</v>
      </c>
      <c r="AE37" s="23" t="e">
        <f t="array" aca="1" ref="AE37" ca="1">IF(ISBLANK($AE$11),LARGE(IF($E$65:INDIRECT("E"&amp;$C$61)=$AE$10,M$65:INDIRECT(AE$13&amp;$C$61)),$AH37),IF(ISBLANK($AE$10),LARGE(IF($D$65:INDIRECT("D"&amp;$C$61)=$AE$11,M$65:INDIRECT(AE$13&amp;$C$61)),$AH37),LARGE(IF(($E$65:INDIRECT("E"&amp;$C$61)=$AE$10)*($D$65:INDIRECT("D"&amp;$C$61)=$AE$11),M$65:INDIRECT(AE$13&amp;$C$61)),$AH37)))</f>
        <v>#NUM!</v>
      </c>
      <c r="AF37" t="e">
        <f ca="1">INDEX(N$65:INDIRECT("N"&amp;$C$61),$T37)</f>
        <v>#NUM!</v>
      </c>
      <c r="AG37" t="e">
        <f ca="1">INDEX(O$65:INDIRECT("O"&amp;$C$61),$T37)</f>
        <v>#NUM!</v>
      </c>
      <c r="AH37" s="69">
        <v>2</v>
      </c>
      <c r="AI37" s="69" t="str">
        <f>AI36</f>
        <v>M</v>
      </c>
      <c r="AJ37" s="69" t="str">
        <f>AJ36</f>
        <v>T</v>
      </c>
    </row>
    <row r="38" spans="1:52" x14ac:dyDescent="0.25">
      <c r="A38" s="73" t="s">
        <v>71</v>
      </c>
      <c r="B38" s="69" t="s">
        <v>34</v>
      </c>
      <c r="C38" s="73" t="e">
        <f ca="1">AC3</f>
        <v>#NUM!</v>
      </c>
      <c r="D38" s="69" t="e">
        <f ca="1">INDEX(D$65:INDIRECT("D"&amp;$C$61),$C38)</f>
        <v>#NUM!</v>
      </c>
      <c r="E38" s="69" t="e">
        <f ca="1">INDEX(INDIRECT(("'MemberID'!$C$6:C"&amp;MemberID!$C$1)),MATCH(D38,INDIRECT(("'MemberID'!$G$6:G"&amp;MemberID!$C$1)),0))</f>
        <v>#NUM!</v>
      </c>
      <c r="F38" s="69" t="e">
        <f ca="1">INDEX(E$65:INDIRECT("E"&amp;$C$61),$C38)</f>
        <v>#NUM!</v>
      </c>
      <c r="G38" t="e">
        <f ca="1">INDEX(F$65:INDIRECT("F"&amp;$C$61),$C38)</f>
        <v>#NUM!</v>
      </c>
      <c r="H38" t="e">
        <f ca="1">INDEX(G$65:INDIRECT("G"&amp;$C$61),$C38)</f>
        <v>#NUM!</v>
      </c>
      <c r="I38" t="e">
        <f ca="1">INDEX(H$65:INDIRECT("H"&amp;$C$61),$C38)</f>
        <v>#NUM!</v>
      </c>
      <c r="J38" t="e">
        <f ca="1">INDEX(I$65:INDIRECT("I"&amp;$C$61),$C38)</f>
        <v>#NUM!</v>
      </c>
      <c r="K38" s="7" t="e">
        <f ca="1">INDEX(J$65:INDIRECT("J"&amp;$C$61),$C38)</f>
        <v>#NUM!</v>
      </c>
      <c r="L38" t="e">
        <f ca="1">INDEX(K$65:INDIRECT("K"&amp;$C$61),$C38)</f>
        <v>#NUM!</v>
      </c>
      <c r="M38" t="e">
        <f ca="1">INDEX(L$65:INDIRECT("L"&amp;$C$61),$C38)</f>
        <v>#NUM!</v>
      </c>
      <c r="N38" s="23" t="e">
        <f ca="1">INDEX(M$65:INDIRECT("M"&amp;$C$61),$C38)</f>
        <v>#NUM!</v>
      </c>
      <c r="O38" t="e">
        <f ca="1">INDEX(N$65:INDIRECT("N"&amp;$C$61),$C38)</f>
        <v>#NUM!</v>
      </c>
      <c r="P38" t="e">
        <f ca="1">INDEX(O$65:INDIRECT("O"&amp;$C$61),$C38)</f>
        <v>#NUM!</v>
      </c>
      <c r="Q38" s="104"/>
      <c r="R38" s="73" t="s">
        <v>71</v>
      </c>
      <c r="S38" s="69" t="s">
        <v>34</v>
      </c>
      <c r="T38" s="73" t="e">
        <f t="array" aca="1" ref="T38" ca="1">MATCH(IF(ISBLANK($AE$11),LARGE(IF($E$65:INDIRECT("E"&amp;$C$61)=$AE$10,INDIRECT(AJ38&amp;65):INDIRECT(AJ38&amp;$C$61)),$AH38),IF(ISBLANK($AE$10),LARGE(IF($D$65:INDIRECT("D"&amp;$C$61)=$AE$11,INDIRECT(AJ38&amp;65):INDIRECT(AJ38&amp;$C$61)),$AH38),LARGE(IF(($E$65:INDIRECT("E"&amp;$C$61)=$AE$10)*($D$65:INDIRECT("D"&amp;$C$61)=$AE$11),INDIRECT(AJ38&amp;65):INDIRECT(AJ38&amp;$C$61)),$AH38))),INDIRECT(AJ38&amp;65):INDIRECT(AJ38&amp;$C$61),0)</f>
        <v>#NUM!</v>
      </c>
      <c r="U38" s="69" t="e">
        <f ca="1">INDEX(D$65:INDIRECT("D"&amp;$C$61),$T38)</f>
        <v>#NUM!</v>
      </c>
      <c r="V38" s="69" t="e">
        <f ca="1">INDEX(INDIRECT(("'MemberID'!$C$6:C"&amp;MemberID!$C$1)),MATCH(U38,INDIRECT(("'MemberID'!$G$6:G"&amp;MemberID!$C$1)),0))</f>
        <v>#NUM!</v>
      </c>
      <c r="W38" s="69" t="e">
        <f ca="1">INDEX(E$65:INDIRECT("E"&amp;$C$61),$T38)</f>
        <v>#NUM!</v>
      </c>
      <c r="X38" t="e">
        <f ca="1">INDEX(F$65:INDIRECT("F"&amp;$C$61),$T38)</f>
        <v>#NUM!</v>
      </c>
      <c r="Y38" t="e">
        <f ca="1">INDEX(G$65:INDIRECT("G"&amp;$C$61),$T38)</f>
        <v>#NUM!</v>
      </c>
      <c r="Z38" t="e">
        <f ca="1">INDEX(H$65:INDIRECT("H"&amp;$C$61),$T38)</f>
        <v>#NUM!</v>
      </c>
      <c r="AA38" t="e">
        <f ca="1">INDEX(I$65:INDIRECT("I"&amp;$C$61),$T38)</f>
        <v>#NUM!</v>
      </c>
      <c r="AB38" t="e">
        <f ca="1">INDEX(J$65:INDIRECT("J"&amp;$C$61),$T38)</f>
        <v>#NUM!</v>
      </c>
      <c r="AC38" t="e">
        <f ca="1">INDEX(K$65:INDIRECT("K"&amp;$C$61),$T38)</f>
        <v>#NUM!</v>
      </c>
      <c r="AD38" t="e">
        <f ca="1">INDEX(L$65:INDIRECT("L"&amp;$C$61),$T38)</f>
        <v>#NUM!</v>
      </c>
      <c r="AE38" s="23" t="e">
        <f t="array" aca="1" ref="AE38" ca="1">IF(ISBLANK($AE$11),LARGE(IF($E$65:INDIRECT("E"&amp;$C$61)=$AE$10,M$65:INDIRECT(AE$13&amp;$C$61)),$AH38),IF(ISBLANK($AE$10),LARGE(IF($D$65:INDIRECT("D"&amp;$C$61)=$AE$11,M$65:INDIRECT(AE$13&amp;$C$61)),$AH38),LARGE(IF(($E$65:INDIRECT("E"&amp;$C$61)=$AE$10)*($D$65:INDIRECT("D"&amp;$C$61)=$AE$11),M$65:INDIRECT(AE$13&amp;$C$61)),$AH38)))</f>
        <v>#NUM!</v>
      </c>
      <c r="AF38" t="e">
        <f ca="1">INDEX(N$65:INDIRECT("N"&amp;$C$61),$T38)</f>
        <v>#NUM!</v>
      </c>
      <c r="AG38" t="e">
        <f ca="1">INDEX(O$65:INDIRECT("O"&amp;$C$61),$T38)</f>
        <v>#NUM!</v>
      </c>
      <c r="AH38" s="69">
        <v>3</v>
      </c>
      <c r="AI38" s="69" t="str">
        <f t="shared" ref="AI38:AJ41" si="3">AI37</f>
        <v>M</v>
      </c>
      <c r="AJ38" s="69" t="str">
        <f t="shared" si="3"/>
        <v>T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74" t="s">
        <v>72</v>
      </c>
      <c r="B39" s="69" t="s">
        <v>34</v>
      </c>
      <c r="C39" s="74" t="e">
        <f ca="1">M6</f>
        <v>#N/A</v>
      </c>
      <c r="D39" s="69" t="e">
        <f ca="1">INDEX(D$65:INDIRECT("D"&amp;$C$61),$C39)</f>
        <v>#N/A</v>
      </c>
      <c r="E39" s="69" t="e">
        <f ca="1">INDEX(INDIRECT(("'MemberID'!$C$6:C"&amp;MemberID!$C$1)),MATCH(D39,INDIRECT(("'MemberID'!$G$6:G"&amp;MemberID!$C$1)),0))</f>
        <v>#N/A</v>
      </c>
      <c r="F39" s="69" t="e">
        <f ca="1">INDEX(E$65:INDIRECT("E"&amp;$C$61),$C39)</f>
        <v>#N/A</v>
      </c>
      <c r="G39" t="e">
        <f ca="1">INDEX(F$65:INDIRECT("F"&amp;$C$61),$C39)</f>
        <v>#N/A</v>
      </c>
      <c r="H39" t="e">
        <f ca="1">INDEX(G$65:INDIRECT("G"&amp;$C$61),$C39)</f>
        <v>#N/A</v>
      </c>
      <c r="I39" t="e">
        <f ca="1">INDEX(H$65:INDIRECT("H"&amp;$C$61),$C39)</f>
        <v>#N/A</v>
      </c>
      <c r="J39" t="e">
        <f ca="1">INDEX(I$65:INDIRECT("I"&amp;$C$61),$C39)</f>
        <v>#N/A</v>
      </c>
      <c r="K39" s="7" t="e">
        <f ca="1">INDEX(J$65:INDIRECT("J"&amp;$C$61),$C39)</f>
        <v>#N/A</v>
      </c>
      <c r="L39" t="e">
        <f ca="1">INDEX(K$65:INDIRECT("K"&amp;$C$61),$C39)</f>
        <v>#N/A</v>
      </c>
      <c r="M39" t="e">
        <f ca="1">INDEX(L$65:INDIRECT("L"&amp;$C$61),$C39)</f>
        <v>#N/A</v>
      </c>
      <c r="N39" s="23" t="e">
        <f ca="1">INDEX(M$65:INDIRECT("M"&amp;$C$61),$C39)</f>
        <v>#N/A</v>
      </c>
      <c r="O39" t="e">
        <f ca="1">INDEX(N$65:INDIRECT("N"&amp;$C$61),$C39)</f>
        <v>#N/A</v>
      </c>
      <c r="P39" t="e">
        <f ca="1">INDEX(O$65:INDIRECT("O"&amp;$C$61),$C39)</f>
        <v>#N/A</v>
      </c>
      <c r="Q39" s="104"/>
      <c r="R39" s="74" t="s">
        <v>72</v>
      </c>
      <c r="S39" s="69" t="s">
        <v>34</v>
      </c>
      <c r="T39" s="74" t="e">
        <f t="array" aca="1" ref="T39" ca="1">MATCH(IF(ISBLANK($AE$11),SMALL(IF($E$65:INDIRECT("E"&amp;$C$61)=$AE$10,INDIRECT(AJ39&amp;65):INDIRECT(AJ39&amp;$C$61)),$AH39),IF(ISBLANK($AE$10),SMALL(IF($D$65:INDIRECT("D"&amp;$C$61)=$AE$11,INDIRECT(AJ39&amp;65):INDIRECT(AJ39&amp;$C$61)),$AH39),SMALL(IF(($E$65:INDIRECT("E"&amp;$C$61)=$AE$10)*($D$65:INDIRECT("D"&amp;$C$61)=$AE$11),INDIRECT(AJ39&amp;65):INDIRECT(AJ39&amp;$C$61)),$AH39))),INDIRECT(AJ39&amp;65):INDIRECT(AJ39&amp;$C$61),0)</f>
        <v>#NUM!</v>
      </c>
      <c r="U39" s="69" t="e">
        <f ca="1">INDEX(D$65:INDIRECT("D"&amp;$C$61),$T39)</f>
        <v>#NUM!</v>
      </c>
      <c r="V39" s="69" t="e">
        <f ca="1">INDEX(INDIRECT(("'MemberID'!$C$6:C"&amp;MemberID!$C$1)),MATCH(U39,INDIRECT(("'MemberID'!$G$6:G"&amp;MemberID!$C$1)),0))</f>
        <v>#NUM!</v>
      </c>
      <c r="W39" s="69" t="e">
        <f ca="1">INDEX(E$65:INDIRECT("E"&amp;$C$61),$T39)</f>
        <v>#NUM!</v>
      </c>
      <c r="X39" t="e">
        <f ca="1">INDEX(F$65:INDIRECT("F"&amp;$C$61),$T39)</f>
        <v>#NUM!</v>
      </c>
      <c r="Y39" t="e">
        <f ca="1">INDEX(G$65:INDIRECT("G"&amp;$C$61),$T39)</f>
        <v>#NUM!</v>
      </c>
      <c r="Z39" t="e">
        <f ca="1">INDEX(H$65:INDIRECT("H"&amp;$C$61),$T39)</f>
        <v>#NUM!</v>
      </c>
      <c r="AA39" t="e">
        <f ca="1">INDEX(I$65:INDIRECT("I"&amp;$C$61),$T39)</f>
        <v>#NUM!</v>
      </c>
      <c r="AB39" t="e">
        <f ca="1">INDEX(J$65:INDIRECT("J"&amp;$C$61),$T39)</f>
        <v>#NUM!</v>
      </c>
      <c r="AC39" t="e">
        <f ca="1">INDEX(K$65:INDIRECT("K"&amp;$C$61),$T39)</f>
        <v>#NUM!</v>
      </c>
      <c r="AD39" t="e">
        <f ca="1">INDEX(L$65:INDIRECT("L"&amp;$C$61),$T39)</f>
        <v>#NUM!</v>
      </c>
      <c r="AE39" s="23" t="e">
        <f t="array" aca="1" ref="AE39" ca="1">IF(ISBLANK($AE$11),SMALL(IF($E$65:INDIRECT("E"&amp;$C$61)=$AE$10,M$65:INDIRECT(AE$13&amp;$C$61)),$AH39),IF(ISBLANK($AE$10),SMALL(IF($D$65:INDIRECT("D"&amp;$C$61)=$AE$11,M$65:INDIRECT(AE$13&amp;$C$61)),$AH39),SMALL(IF(($E$65:INDIRECT("E"&amp;$C$61)=$AE$10)*($D$65:INDIRECT("D"&amp;$C$61)=$AE$11),M$65:INDIRECT(AE$13&amp;$C$61)),$AH39)))</f>
        <v>#NUM!</v>
      </c>
      <c r="AF39" t="e">
        <f ca="1">INDEX(N$65:INDIRECT("N"&amp;$C$61),$T39)</f>
        <v>#NUM!</v>
      </c>
      <c r="AG39" t="e">
        <f ca="1">INDEX(O$65:INDIRECT("O"&amp;$C$61),$T39)</f>
        <v>#NUM!</v>
      </c>
      <c r="AH39" s="69">
        <v>1</v>
      </c>
      <c r="AI39" s="69" t="str">
        <f t="shared" si="3"/>
        <v>M</v>
      </c>
      <c r="AJ39" s="69" t="str">
        <f t="shared" si="3"/>
        <v>T</v>
      </c>
    </row>
    <row r="40" spans="1:52" x14ac:dyDescent="0.25">
      <c r="A40" s="74" t="s">
        <v>73</v>
      </c>
      <c r="B40" s="69" t="s">
        <v>34</v>
      </c>
      <c r="C40" s="74" t="e">
        <f ca="1">U6</f>
        <v>#NUM!</v>
      </c>
      <c r="D40" s="69" t="e">
        <f ca="1">INDEX(D$65:INDIRECT("D"&amp;$C$61),$C40)</f>
        <v>#NUM!</v>
      </c>
      <c r="E40" s="69" t="e">
        <f ca="1">INDEX(INDIRECT(("'MemberID'!$C$6:C"&amp;MemberID!$C$1)),MATCH(D40,INDIRECT(("'MemberID'!$G$6:G"&amp;MemberID!$C$1)),0))</f>
        <v>#NUM!</v>
      </c>
      <c r="F40" s="69" t="e">
        <f ca="1">INDEX(E$65:INDIRECT("E"&amp;$C$61),$C40)</f>
        <v>#NUM!</v>
      </c>
      <c r="G40" t="e">
        <f ca="1">INDEX(F$65:INDIRECT("F"&amp;$C$61),$C40)</f>
        <v>#NUM!</v>
      </c>
      <c r="H40" t="e">
        <f ca="1">INDEX(G$65:INDIRECT("G"&amp;$C$61),$C40)</f>
        <v>#NUM!</v>
      </c>
      <c r="I40" t="e">
        <f ca="1">INDEX(H$65:INDIRECT("H"&amp;$C$61),$C40)</f>
        <v>#NUM!</v>
      </c>
      <c r="J40" t="e">
        <f ca="1">INDEX(I$65:INDIRECT("I"&amp;$C$61),$C40)</f>
        <v>#NUM!</v>
      </c>
      <c r="K40" s="7" t="e">
        <f ca="1">INDEX(J$65:INDIRECT("J"&amp;$C$61),$C40)</f>
        <v>#NUM!</v>
      </c>
      <c r="L40" t="e">
        <f ca="1">INDEX(K$65:INDIRECT("K"&amp;$C$61),$C40)</f>
        <v>#NUM!</v>
      </c>
      <c r="M40" t="e">
        <f ca="1">INDEX(L$65:INDIRECT("L"&amp;$C$61),$C40)</f>
        <v>#NUM!</v>
      </c>
      <c r="N40" s="23" t="e">
        <f ca="1">INDEX(M$65:INDIRECT("M"&amp;$C$61),$C40)</f>
        <v>#NUM!</v>
      </c>
      <c r="O40" t="e">
        <f ca="1">INDEX(N$65:INDIRECT("N"&amp;$C$61),$C40)</f>
        <v>#NUM!</v>
      </c>
      <c r="P40" t="e">
        <f ca="1">INDEX(O$65:INDIRECT("O"&amp;$C$61),$C40)</f>
        <v>#NUM!</v>
      </c>
      <c r="Q40" s="104"/>
      <c r="R40" s="74" t="s">
        <v>73</v>
      </c>
      <c r="S40" s="69" t="s">
        <v>34</v>
      </c>
      <c r="T40" s="74" t="e">
        <f t="array" aca="1" ref="T40" ca="1">MATCH(IF(ISBLANK($AE$11),SMALL(IF($E$65:INDIRECT("E"&amp;$C$61)=$AE$10,INDIRECT(AJ40&amp;65):INDIRECT(AJ40&amp;$C$61)),$AH40),IF(ISBLANK($AE$10),SMALL(IF($D$65:INDIRECT("D"&amp;$C$61)=$AE$11,INDIRECT(AJ40&amp;65):INDIRECT(AJ40&amp;$C$61)),$AH40),SMALL(IF(($E$65:INDIRECT("E"&amp;$C$61)=$AE$10)*($D$65:INDIRECT("D"&amp;$C$61)=$AE$11),INDIRECT(AJ40&amp;65):INDIRECT(AJ40&amp;$C$61)),$AH40))),INDIRECT(AJ40&amp;65):INDIRECT(AJ40&amp;$C$61),0)</f>
        <v>#NUM!</v>
      </c>
      <c r="U40" s="69" t="e">
        <f ca="1">INDEX(D$65:INDIRECT("D"&amp;$C$61),$T40)</f>
        <v>#NUM!</v>
      </c>
      <c r="V40" s="69" t="e">
        <f ca="1">INDEX(INDIRECT(("'MemberID'!$C$6:C"&amp;MemberID!$C$1)),MATCH(U40,INDIRECT(("'MemberID'!$G$6:G"&amp;MemberID!$C$1)),0))</f>
        <v>#NUM!</v>
      </c>
      <c r="W40" s="69" t="e">
        <f ca="1">INDEX(E$65:INDIRECT("E"&amp;$C$61),$T40)</f>
        <v>#NUM!</v>
      </c>
      <c r="X40" t="e">
        <f ca="1">INDEX(F$65:INDIRECT("F"&amp;$C$61),$T40)</f>
        <v>#NUM!</v>
      </c>
      <c r="Y40" t="e">
        <f ca="1">INDEX(G$65:INDIRECT("G"&amp;$C$61),$T40)</f>
        <v>#NUM!</v>
      </c>
      <c r="Z40" t="e">
        <f ca="1">INDEX(H$65:INDIRECT("H"&amp;$C$61),$T40)</f>
        <v>#NUM!</v>
      </c>
      <c r="AA40" t="e">
        <f ca="1">INDEX(I$65:INDIRECT("I"&amp;$C$61),$T40)</f>
        <v>#NUM!</v>
      </c>
      <c r="AB40" t="e">
        <f ca="1">INDEX(J$65:INDIRECT("J"&amp;$C$61),$T40)</f>
        <v>#NUM!</v>
      </c>
      <c r="AC40" t="e">
        <f ca="1">INDEX(K$65:INDIRECT("K"&amp;$C$61),$T40)</f>
        <v>#NUM!</v>
      </c>
      <c r="AD40" t="e">
        <f ca="1">INDEX(L$65:INDIRECT("L"&amp;$C$61),$T40)</f>
        <v>#NUM!</v>
      </c>
      <c r="AE40" s="23" t="e">
        <f t="array" aca="1" ref="AE40" ca="1">IF(ISBLANK($AE$11),SMALL(IF($E$65:INDIRECT("E"&amp;$C$61)=$AE$10,M$65:INDIRECT(AE$13&amp;$C$61)),$AH40),IF(ISBLANK($AE$10),SMALL(IF($D$65:INDIRECT("D"&amp;$C$61)=$AE$11,M$65:INDIRECT(AE$13&amp;$C$61)),$AH40),SMALL(IF(($E$65:INDIRECT("E"&amp;$C$61)=$AE$10)*($D$65:INDIRECT("D"&amp;$C$61)=$AE$11),M$65:INDIRECT(AE$13&amp;$C$61)),$AH40)))</f>
        <v>#NUM!</v>
      </c>
      <c r="AF40" t="e">
        <f ca="1">INDEX(N$65:INDIRECT("N"&amp;$C$61),$T40)</f>
        <v>#NUM!</v>
      </c>
      <c r="AG40" t="e">
        <f ca="1">INDEX(O$65:INDIRECT("O"&amp;$C$61),$T40)</f>
        <v>#NUM!</v>
      </c>
      <c r="AH40" s="69">
        <v>2</v>
      </c>
      <c r="AI40" s="69" t="str">
        <f t="shared" si="3"/>
        <v>M</v>
      </c>
      <c r="AJ40" s="69" t="str">
        <f t="shared" si="3"/>
        <v>T</v>
      </c>
    </row>
    <row r="41" spans="1:52" x14ac:dyDescent="0.25">
      <c r="A41" s="74" t="s">
        <v>74</v>
      </c>
      <c r="B41" s="69" t="s">
        <v>34</v>
      </c>
      <c r="C41" s="74" t="e">
        <f ca="1">AC6</f>
        <v>#NUM!</v>
      </c>
      <c r="D41" s="69" t="e">
        <f ca="1">INDEX(D$65:INDIRECT("D"&amp;$C$61),$C41)</f>
        <v>#NUM!</v>
      </c>
      <c r="E41" s="69" t="e">
        <f ca="1">INDEX(INDIRECT(("'MemberID'!$C$6:C"&amp;MemberID!$C$1)),MATCH(D41,INDIRECT(("'MemberID'!$G$6:G"&amp;MemberID!$C$1)),0))</f>
        <v>#NUM!</v>
      </c>
      <c r="F41" s="69" t="e">
        <f ca="1">INDEX(E$65:INDIRECT("E"&amp;$C$61),$C41)</f>
        <v>#NUM!</v>
      </c>
      <c r="G41" t="e">
        <f ca="1">INDEX(F$65:INDIRECT("F"&amp;$C$61),$C41)</f>
        <v>#NUM!</v>
      </c>
      <c r="H41" t="e">
        <f ca="1">INDEX(G$65:INDIRECT("G"&amp;$C$61),$C41)</f>
        <v>#NUM!</v>
      </c>
      <c r="I41" t="e">
        <f ca="1">INDEX(H$65:INDIRECT("H"&amp;$C$61),$C41)</f>
        <v>#NUM!</v>
      </c>
      <c r="J41" t="e">
        <f ca="1">INDEX(I$65:INDIRECT("I"&amp;$C$61),$C41)</f>
        <v>#NUM!</v>
      </c>
      <c r="K41" s="7" t="e">
        <f ca="1">INDEX(J$65:INDIRECT("J"&amp;$C$61),$C41)</f>
        <v>#NUM!</v>
      </c>
      <c r="L41" t="e">
        <f ca="1">INDEX(K$65:INDIRECT("K"&amp;$C$61),$C41)</f>
        <v>#NUM!</v>
      </c>
      <c r="M41" t="e">
        <f ca="1">INDEX(L$65:INDIRECT("L"&amp;$C$61),$C41)</f>
        <v>#NUM!</v>
      </c>
      <c r="N41" s="23" t="e">
        <f ca="1">INDEX(M$65:INDIRECT("M"&amp;$C$61),$C41)</f>
        <v>#NUM!</v>
      </c>
      <c r="O41" t="e">
        <f ca="1">INDEX(N$65:INDIRECT("N"&amp;$C$61),$C41)</f>
        <v>#NUM!</v>
      </c>
      <c r="P41" t="e">
        <f ca="1">INDEX(O$65:INDIRECT("O"&amp;$C$61),$C41)</f>
        <v>#NUM!</v>
      </c>
      <c r="Q41" s="104"/>
      <c r="R41" s="74" t="s">
        <v>74</v>
      </c>
      <c r="S41" s="69" t="s">
        <v>34</v>
      </c>
      <c r="T41" s="74" t="e">
        <f t="array" aca="1" ref="T41" ca="1">MATCH(IF(ISBLANK($AE$11),SMALL(IF($E$65:INDIRECT("E"&amp;$C$61)=$AE$10,INDIRECT(AJ41&amp;65):INDIRECT(AJ41&amp;$C$61)),$AH41),IF(ISBLANK($AE$10),SMALL(IF($D$65:INDIRECT("D"&amp;$C$61)=$AE$11,INDIRECT(AJ41&amp;65):INDIRECT(AJ41&amp;$C$61)),$AH41),SMALL(IF(($E$65:INDIRECT("E"&amp;$C$61)=$AE$10)*($D$65:INDIRECT("D"&amp;$C$61)=$AE$11),INDIRECT(AJ41&amp;65):INDIRECT(AJ41&amp;$C$61)),$AH41))),INDIRECT(AJ41&amp;65):INDIRECT(AJ41&amp;$C$61),0)</f>
        <v>#NUM!</v>
      </c>
      <c r="U41" s="69" t="e">
        <f ca="1">INDEX(D$65:INDIRECT("D"&amp;$C$61),$T41)</f>
        <v>#NUM!</v>
      </c>
      <c r="V41" s="69" t="e">
        <f ca="1">INDEX(INDIRECT(("'MemberID'!$C$6:C"&amp;MemberID!$C$1)),MATCH(U41,INDIRECT(("'MemberID'!$G$6:G"&amp;MemberID!$C$1)),0))</f>
        <v>#NUM!</v>
      </c>
      <c r="W41" s="69" t="e">
        <f ca="1">INDEX(E$65:INDIRECT("E"&amp;$C$61),$T41)</f>
        <v>#NUM!</v>
      </c>
      <c r="X41" t="e">
        <f ca="1">INDEX(F$65:INDIRECT("F"&amp;$C$61),$T41)</f>
        <v>#NUM!</v>
      </c>
      <c r="Y41" t="e">
        <f ca="1">INDEX(G$65:INDIRECT("G"&amp;$C$61),$T41)</f>
        <v>#NUM!</v>
      </c>
      <c r="Z41" t="e">
        <f ca="1">INDEX(H$65:INDIRECT("H"&amp;$C$61),$T41)</f>
        <v>#NUM!</v>
      </c>
      <c r="AA41" t="e">
        <f ca="1">INDEX(I$65:INDIRECT("I"&amp;$C$61),$T41)</f>
        <v>#NUM!</v>
      </c>
      <c r="AB41" t="e">
        <f ca="1">INDEX(J$65:INDIRECT("J"&amp;$C$61),$T41)</f>
        <v>#NUM!</v>
      </c>
      <c r="AC41" t="e">
        <f ca="1">INDEX(K$65:INDIRECT("K"&amp;$C$61),$T41)</f>
        <v>#NUM!</v>
      </c>
      <c r="AD41" t="e">
        <f ca="1">INDEX(L$65:INDIRECT("L"&amp;$C$61),$T41)</f>
        <v>#NUM!</v>
      </c>
      <c r="AE41" s="23" t="e">
        <f t="array" aca="1" ref="AE41" ca="1">IF(ISBLANK($AE$11),SMALL(IF($E$65:INDIRECT("E"&amp;$C$61)=$AE$10,M$65:INDIRECT(AE$13&amp;$C$61)),$AH41),IF(ISBLANK($AE$10),SMALL(IF($D$65:INDIRECT("D"&amp;$C$61)=$AE$11,M$65:INDIRECT(AE$13&amp;$C$61)),$AH41),SMALL(IF(($E$65:INDIRECT("E"&amp;$C$61)=$AE$10)*($D$65:INDIRECT("D"&amp;$C$61)=$AE$11),M$65:INDIRECT(AE$13&amp;$C$61)),$AH41)))</f>
        <v>#NUM!</v>
      </c>
      <c r="AF41" t="e">
        <f ca="1">INDEX(N$65:INDIRECT("N"&amp;$C$61),$T41)</f>
        <v>#NUM!</v>
      </c>
      <c r="AG41" t="e">
        <f ca="1">INDEX(O$65:INDIRECT("O"&amp;$C$61),$T41)</f>
        <v>#NUM!</v>
      </c>
      <c r="AH41" s="69">
        <v>3</v>
      </c>
      <c r="AI41" s="69" t="str">
        <f t="shared" si="3"/>
        <v>M</v>
      </c>
      <c r="AJ41" s="69" t="str">
        <f t="shared" si="3"/>
        <v>T</v>
      </c>
      <c r="AL41" s="86"/>
    </row>
    <row r="42" spans="1:52" x14ac:dyDescent="0.25">
      <c r="A42" s="5"/>
      <c r="B42" s="69"/>
      <c r="C42" s="69"/>
      <c r="D42" s="69"/>
      <c r="E42" s="69"/>
      <c r="F42" s="69"/>
      <c r="K42" s="7"/>
      <c r="Q42" s="104"/>
      <c r="R42" s="5"/>
      <c r="S42" s="69"/>
      <c r="T42" s="69"/>
      <c r="V42" s="69"/>
      <c r="W42" s="69"/>
      <c r="AH42" s="69"/>
      <c r="AI42" s="69"/>
      <c r="AJ42" s="69"/>
    </row>
    <row r="43" spans="1:52" x14ac:dyDescent="0.25">
      <c r="A43" s="73" t="s">
        <v>69</v>
      </c>
      <c r="B43" s="69" t="s">
        <v>35</v>
      </c>
      <c r="C43" s="73" t="e">
        <f ca="1">N3</f>
        <v>#N/A</v>
      </c>
      <c r="D43" s="69" t="e">
        <f ca="1">INDEX(D$65:INDIRECT("D"&amp;$C$61),$C43)</f>
        <v>#N/A</v>
      </c>
      <c r="E43" s="69" t="e">
        <f ca="1">INDEX(INDIRECT(("'MemberID'!$C$6:C"&amp;MemberID!$C$1)),MATCH(D43,INDIRECT(("'MemberID'!$G$6:G"&amp;MemberID!$C$1)),0))</f>
        <v>#N/A</v>
      </c>
      <c r="F43" s="69" t="e">
        <f ca="1">INDEX(E$65:INDIRECT("E"&amp;$C$61),$C43)</f>
        <v>#N/A</v>
      </c>
      <c r="G43" t="e">
        <f ca="1">INDEX(F$65:INDIRECT("F"&amp;$C$61),$C43)</f>
        <v>#N/A</v>
      </c>
      <c r="H43" t="e">
        <f ca="1">INDEX(G$65:INDIRECT("G"&amp;$C$61),$C43)</f>
        <v>#N/A</v>
      </c>
      <c r="I43" t="e">
        <f ca="1">INDEX(H$65:INDIRECT("H"&amp;$C$61),$C43)</f>
        <v>#N/A</v>
      </c>
      <c r="J43" t="e">
        <f ca="1">INDEX(I$65:INDIRECT("I"&amp;$C$61),$C43)</f>
        <v>#N/A</v>
      </c>
      <c r="K43" s="7" t="e">
        <f ca="1">INDEX(J$65:INDIRECT("J"&amp;$C$61),$C43)</f>
        <v>#N/A</v>
      </c>
      <c r="L43" t="e">
        <f ca="1">INDEX(K$65:INDIRECT("K"&amp;$C$61),$C43)</f>
        <v>#N/A</v>
      </c>
      <c r="M43" t="e">
        <f ca="1">INDEX(L$65:INDIRECT("L"&amp;$C$61),$C43)</f>
        <v>#N/A</v>
      </c>
      <c r="N43" t="e">
        <f ca="1">INDEX(M$65:INDIRECT("M"&amp;$C$61),$C43)</f>
        <v>#N/A</v>
      </c>
      <c r="O43" s="23" t="e">
        <f ca="1">INDEX(N$65:INDIRECT("N"&amp;$C$61),$C43)</f>
        <v>#N/A</v>
      </c>
      <c r="P43" t="e">
        <f ca="1">INDEX(O$65:INDIRECT("O"&amp;$C$61),$C43)</f>
        <v>#N/A</v>
      </c>
      <c r="Q43" s="104"/>
      <c r="R43" s="73" t="s">
        <v>69</v>
      </c>
      <c r="S43" s="69" t="s">
        <v>35</v>
      </c>
      <c r="T43" s="73" t="e">
        <f t="array" aca="1" ref="T43" ca="1">MATCH(IF(ISBLANK($AE$11),LARGE(IF($E$65:INDIRECT("E"&amp;$C$61)=$AE$10,INDIRECT(AJ43&amp;65):INDIRECT(AJ43&amp;$C$61)),$AH43),IF(ISBLANK($AE$10),LARGE(IF($D$65:INDIRECT("D"&amp;$C$61)=$AE$11,INDIRECT(AJ43&amp;65):INDIRECT(AJ43&amp;$C$61)),$AH43),LARGE(IF(($E$65:INDIRECT("E"&amp;$C$61)=$AE$10)*($D$65:INDIRECT("D"&amp;$C$61)=$AE$11),INDIRECT(AJ43&amp;65):INDIRECT(AJ43&amp;$C$61)),$AH43))),INDIRECT(AJ43&amp;65):INDIRECT(AJ43&amp;$C$61),0)</f>
        <v>#NUM!</v>
      </c>
      <c r="U43" s="69" t="e">
        <f ca="1">INDEX(D$65:INDIRECT("D"&amp;$C$61),$T43)</f>
        <v>#NUM!</v>
      </c>
      <c r="V43" s="69" t="e">
        <f ca="1">INDEX(INDIRECT(("'MemberID'!$C$6:C"&amp;MemberID!$C$1)),MATCH(U43,INDIRECT(("'MemberID'!$G$6:G"&amp;MemberID!$C$1)),0))</f>
        <v>#NUM!</v>
      </c>
      <c r="W43" s="69" t="e">
        <f ca="1">INDEX(E$65:INDIRECT("E"&amp;$C$61),$T43)</f>
        <v>#NUM!</v>
      </c>
      <c r="X43" t="e">
        <f ca="1">INDEX(F$65:INDIRECT("F"&amp;$C$61),$T43)</f>
        <v>#NUM!</v>
      </c>
      <c r="Y43" t="e">
        <f ca="1">INDEX(G$65:INDIRECT("G"&amp;$C$61),$T43)</f>
        <v>#NUM!</v>
      </c>
      <c r="Z43" t="e">
        <f ca="1">INDEX(H$65:INDIRECT("H"&amp;$C$61),$T43)</f>
        <v>#NUM!</v>
      </c>
      <c r="AA43" t="e">
        <f ca="1">INDEX(I$65:INDIRECT("I"&amp;$C$61),$T43)</f>
        <v>#NUM!</v>
      </c>
      <c r="AB43" t="e">
        <f ca="1">INDEX(J$65:INDIRECT("J"&amp;$C$61),$T43)</f>
        <v>#NUM!</v>
      </c>
      <c r="AC43" t="e">
        <f ca="1">INDEX(K$65:INDIRECT("K"&amp;$C$61),$T43)</f>
        <v>#NUM!</v>
      </c>
      <c r="AD43" t="e">
        <f ca="1">INDEX(L$65:INDIRECT("L"&amp;$C$61),$T43)</f>
        <v>#NUM!</v>
      </c>
      <c r="AE43" t="e">
        <f ca="1">INDEX(M$65:INDIRECT("M"&amp;$C$61),$T43)</f>
        <v>#NUM!</v>
      </c>
      <c r="AF43" s="23" t="e">
        <f t="array" aca="1" ref="AF43" ca="1">IF(ISBLANK($AE$11),LARGE(IF($E$65:INDIRECT("E"&amp;$C$61)=$AE$10,N$65:INDIRECT(AF$13&amp;$C$61)),$AH43),IF(ISBLANK($AE$10),LARGE(IF($D$65:INDIRECT("D"&amp;$C$61)=$AE$11,N$65:INDIRECT(AF$13&amp;$C$61)),$AH43),LARGE(IF(($E$65:INDIRECT("E"&amp;$C$61)=$AE$10)*($D$65:INDIRECT("D"&amp;$C$61)=$AE$11),N$65:INDIRECT(AF$13&amp;$C$61)),$AH43)))</f>
        <v>#NUM!</v>
      </c>
      <c r="AG43" t="e">
        <f ca="1">INDEX(O$65:INDIRECT("O"&amp;$C$61),$T43)</f>
        <v>#NUM!</v>
      </c>
      <c r="AH43" s="69">
        <v>1</v>
      </c>
      <c r="AI43" s="69" t="s">
        <v>154</v>
      </c>
      <c r="AJ43" s="69" t="s">
        <v>196</v>
      </c>
    </row>
    <row r="44" spans="1:52" x14ac:dyDescent="0.25">
      <c r="A44" s="73" t="s">
        <v>70</v>
      </c>
      <c r="B44" s="69" t="s">
        <v>35</v>
      </c>
      <c r="C44" s="73" t="e">
        <f ca="1">V3</f>
        <v>#NUM!</v>
      </c>
      <c r="D44" s="69" t="e">
        <f ca="1">INDEX(D$65:INDIRECT("D"&amp;$C$61),$C44)</f>
        <v>#NUM!</v>
      </c>
      <c r="E44" s="69" t="e">
        <f ca="1">INDEX(INDIRECT(("'MemberID'!$C$6:C"&amp;MemberID!$C$1)),MATCH(D44,INDIRECT(("'MemberID'!$G$6:G"&amp;MemberID!$C$1)),0))</f>
        <v>#NUM!</v>
      </c>
      <c r="F44" s="69" t="e">
        <f ca="1">INDEX(E$65:INDIRECT("E"&amp;$C$61),$C44)</f>
        <v>#NUM!</v>
      </c>
      <c r="G44" t="e">
        <f ca="1">INDEX(F$65:INDIRECT("F"&amp;$C$61),$C44)</f>
        <v>#NUM!</v>
      </c>
      <c r="H44" t="e">
        <f ca="1">INDEX(G$65:INDIRECT("G"&amp;$C$61),$C44)</f>
        <v>#NUM!</v>
      </c>
      <c r="I44" t="e">
        <f ca="1">INDEX(H$65:INDIRECT("H"&amp;$C$61),$C44)</f>
        <v>#NUM!</v>
      </c>
      <c r="J44" t="e">
        <f ca="1">INDEX(I$65:INDIRECT("I"&amp;$C$61),$C44)</f>
        <v>#NUM!</v>
      </c>
      <c r="K44" s="7" t="e">
        <f ca="1">INDEX(J$65:INDIRECT("J"&amp;$C$61),$C44)</f>
        <v>#NUM!</v>
      </c>
      <c r="L44" t="e">
        <f ca="1">INDEX(K$65:INDIRECT("K"&amp;$C$61),$C44)</f>
        <v>#NUM!</v>
      </c>
      <c r="M44" t="e">
        <f ca="1">INDEX(L$65:INDIRECT("L"&amp;$C$61),$C44)</f>
        <v>#NUM!</v>
      </c>
      <c r="N44" t="e">
        <f ca="1">INDEX(M$65:INDIRECT("M"&amp;$C$61),$C44)</f>
        <v>#NUM!</v>
      </c>
      <c r="O44" s="23" t="e">
        <f ca="1">INDEX(N$65:INDIRECT("N"&amp;$C$61),$C44)</f>
        <v>#NUM!</v>
      </c>
      <c r="P44" t="e">
        <f ca="1">INDEX(O$65:INDIRECT("O"&amp;$C$61),$C44)</f>
        <v>#NUM!</v>
      </c>
      <c r="Q44" s="104"/>
      <c r="R44" s="73" t="s">
        <v>70</v>
      </c>
      <c r="S44" s="69" t="s">
        <v>35</v>
      </c>
      <c r="T44" s="73" t="e">
        <f t="array" aca="1" ref="T44" ca="1">MATCH(IF(ISBLANK($AE$11),LARGE(IF($E$65:INDIRECT("E"&amp;$C$61)=$AE$10,INDIRECT(AJ44&amp;65):INDIRECT(AJ44&amp;$C$61)),$AH44),IF(ISBLANK($AE$10),LARGE(IF($D$65:INDIRECT("D"&amp;$C$61)=$AE$11,INDIRECT(AJ44&amp;65):INDIRECT(AJ44&amp;$C$61)),$AH44),LARGE(IF(($E$65:INDIRECT("E"&amp;$C$61)=$AE$10)*($D$65:INDIRECT("D"&amp;$C$61)=$AE$11),INDIRECT(AJ44&amp;65):INDIRECT(AJ44&amp;$C$61)),$AH44))),INDIRECT(AJ44&amp;65):INDIRECT(AJ44&amp;$C$61),0)</f>
        <v>#NUM!</v>
      </c>
      <c r="U44" s="69" t="e">
        <f ca="1">INDEX(D$65:INDIRECT("D"&amp;$C$61),$T44)</f>
        <v>#NUM!</v>
      </c>
      <c r="V44" s="69" t="e">
        <f ca="1">INDEX(INDIRECT(("'MemberID'!$C$6:C"&amp;MemberID!$C$1)),MATCH(U44,INDIRECT(("'MemberID'!$G$6:G"&amp;MemberID!$C$1)),0))</f>
        <v>#NUM!</v>
      </c>
      <c r="W44" s="69" t="e">
        <f ca="1">INDEX(E$65:INDIRECT("E"&amp;$C$61),$T44)</f>
        <v>#NUM!</v>
      </c>
      <c r="X44" t="e">
        <f ca="1">INDEX(F$65:INDIRECT("F"&amp;$C$61),$T44)</f>
        <v>#NUM!</v>
      </c>
      <c r="Y44" t="e">
        <f ca="1">INDEX(G$65:INDIRECT("G"&amp;$C$61),$T44)</f>
        <v>#NUM!</v>
      </c>
      <c r="Z44" t="e">
        <f ca="1">INDEX(H$65:INDIRECT("H"&amp;$C$61),$T44)</f>
        <v>#NUM!</v>
      </c>
      <c r="AA44" t="e">
        <f ca="1">INDEX(I$65:INDIRECT("I"&amp;$C$61),$T44)</f>
        <v>#NUM!</v>
      </c>
      <c r="AB44" t="e">
        <f ca="1">INDEX(J$65:INDIRECT("J"&amp;$C$61),$T44)</f>
        <v>#NUM!</v>
      </c>
      <c r="AC44" t="e">
        <f ca="1">INDEX(K$65:INDIRECT("K"&amp;$C$61),$T44)</f>
        <v>#NUM!</v>
      </c>
      <c r="AD44" t="e">
        <f ca="1">INDEX(L$65:INDIRECT("L"&amp;$C$61),$T44)</f>
        <v>#NUM!</v>
      </c>
      <c r="AE44" t="e">
        <f ca="1">INDEX(M$65:INDIRECT("M"&amp;$C$61),$T44)</f>
        <v>#NUM!</v>
      </c>
      <c r="AF44" s="23" t="e">
        <f t="array" aca="1" ref="AF44" ca="1">IF(ISBLANK($AE$11),LARGE(IF($E$65:INDIRECT("E"&amp;$C$61)=$AE$10,N$65:INDIRECT(AF$13&amp;$C$61)),$AH44),IF(ISBLANK($AE$10),LARGE(IF($D$65:INDIRECT("D"&amp;$C$61)=$AE$11,N$65:INDIRECT(AF$13&amp;$C$61)),$AH44),LARGE(IF(($E$65:INDIRECT("E"&amp;$C$61)=$AE$10)*($D$65:INDIRECT("D"&amp;$C$61)=$AE$11),N$65:INDIRECT(AF$13&amp;$C$61)),$AH44)))</f>
        <v>#NUM!</v>
      </c>
      <c r="AG44" t="e">
        <f ca="1">INDEX(O$65:INDIRECT("O"&amp;$C$61),$T44)</f>
        <v>#NUM!</v>
      </c>
      <c r="AH44" s="69">
        <v>2</v>
      </c>
      <c r="AI44" s="69" t="str">
        <f>AI43</f>
        <v>N</v>
      </c>
      <c r="AJ44" s="69" t="str">
        <f>AJ43</f>
        <v>U</v>
      </c>
    </row>
    <row r="45" spans="1:52" x14ac:dyDescent="0.25">
      <c r="A45" s="73" t="s">
        <v>71</v>
      </c>
      <c r="B45" s="69" t="s">
        <v>35</v>
      </c>
      <c r="C45" s="73" t="e">
        <f ca="1">AD3</f>
        <v>#NUM!</v>
      </c>
      <c r="D45" s="69" t="e">
        <f ca="1">INDEX(D$65:INDIRECT("D"&amp;$C$61),$C45)</f>
        <v>#NUM!</v>
      </c>
      <c r="E45" s="69" t="e">
        <f ca="1">INDEX(INDIRECT(("'MemberID'!$C$6:C"&amp;MemberID!$C$1)),MATCH(D45,INDIRECT(("'MemberID'!$G$6:G"&amp;MemberID!$C$1)),0))</f>
        <v>#NUM!</v>
      </c>
      <c r="F45" s="69" t="e">
        <f ca="1">INDEX(E$65:INDIRECT("E"&amp;$C$61),$C45)</f>
        <v>#NUM!</v>
      </c>
      <c r="G45" t="e">
        <f ca="1">INDEX(F$65:INDIRECT("F"&amp;$C$61),$C45)</f>
        <v>#NUM!</v>
      </c>
      <c r="H45" t="e">
        <f ca="1">INDEX(G$65:INDIRECT("G"&amp;$C$61),$C45)</f>
        <v>#NUM!</v>
      </c>
      <c r="I45" t="e">
        <f ca="1">INDEX(H$65:INDIRECT("H"&amp;$C$61),$C45)</f>
        <v>#NUM!</v>
      </c>
      <c r="J45" t="e">
        <f ca="1">INDEX(I$65:INDIRECT("I"&amp;$C$61),$C45)</f>
        <v>#NUM!</v>
      </c>
      <c r="K45" s="7" t="e">
        <f ca="1">INDEX(J$65:INDIRECT("J"&amp;$C$61),$C45)</f>
        <v>#NUM!</v>
      </c>
      <c r="L45" t="e">
        <f ca="1">INDEX(K$65:INDIRECT("K"&amp;$C$61),$C45)</f>
        <v>#NUM!</v>
      </c>
      <c r="M45" t="e">
        <f ca="1">INDEX(L$65:INDIRECT("L"&amp;$C$61),$C45)</f>
        <v>#NUM!</v>
      </c>
      <c r="N45" t="e">
        <f ca="1">INDEX(M$65:INDIRECT("M"&amp;$C$61),$C45)</f>
        <v>#NUM!</v>
      </c>
      <c r="O45" s="23" t="e">
        <f ca="1">INDEX(N$65:INDIRECT("N"&amp;$C$61),$C45)</f>
        <v>#NUM!</v>
      </c>
      <c r="P45" t="e">
        <f ca="1">INDEX(O$65:INDIRECT("O"&amp;$C$61),$C45)</f>
        <v>#NUM!</v>
      </c>
      <c r="Q45" s="104"/>
      <c r="R45" s="73" t="s">
        <v>71</v>
      </c>
      <c r="S45" s="69" t="s">
        <v>35</v>
      </c>
      <c r="T45" s="73" t="e">
        <f t="array" aca="1" ref="T45" ca="1">MATCH(IF(ISBLANK($AE$11),LARGE(IF($E$65:INDIRECT("E"&amp;$C$61)=$AE$10,INDIRECT(AJ45&amp;65):INDIRECT(AJ45&amp;$C$61)),$AH45),IF(ISBLANK($AE$10),LARGE(IF($D$65:INDIRECT("D"&amp;$C$61)=$AE$11,INDIRECT(AJ45&amp;65):INDIRECT(AJ45&amp;$C$61)),$AH45),LARGE(IF(($E$65:INDIRECT("E"&amp;$C$61)=$AE$10)*($D$65:INDIRECT("D"&amp;$C$61)=$AE$11),INDIRECT(AJ45&amp;65):INDIRECT(AJ45&amp;$C$61)),$AH45))),INDIRECT(AJ45&amp;65):INDIRECT(AJ45&amp;$C$61),0)</f>
        <v>#NUM!</v>
      </c>
      <c r="U45" s="69" t="e">
        <f ca="1">INDEX(D$65:INDIRECT("D"&amp;$C$61),$T45)</f>
        <v>#NUM!</v>
      </c>
      <c r="V45" s="69" t="e">
        <f ca="1">INDEX(INDIRECT(("'MemberID'!$C$6:C"&amp;MemberID!$C$1)),MATCH(U45,INDIRECT(("'MemberID'!$G$6:G"&amp;MemberID!$C$1)),0))</f>
        <v>#NUM!</v>
      </c>
      <c r="W45" s="69" t="e">
        <f ca="1">INDEX(E$65:INDIRECT("E"&amp;$C$61),$T45)</f>
        <v>#NUM!</v>
      </c>
      <c r="X45" t="e">
        <f ca="1">INDEX(F$65:INDIRECT("F"&amp;$C$61),$T45)</f>
        <v>#NUM!</v>
      </c>
      <c r="Y45" t="e">
        <f ca="1">INDEX(G$65:INDIRECT("G"&amp;$C$61),$T45)</f>
        <v>#NUM!</v>
      </c>
      <c r="Z45" t="e">
        <f ca="1">INDEX(H$65:INDIRECT("H"&amp;$C$61),$T45)</f>
        <v>#NUM!</v>
      </c>
      <c r="AA45" t="e">
        <f ca="1">INDEX(I$65:INDIRECT("I"&amp;$C$61),$T45)</f>
        <v>#NUM!</v>
      </c>
      <c r="AB45" t="e">
        <f ca="1">INDEX(J$65:INDIRECT("J"&amp;$C$61),$T45)</f>
        <v>#NUM!</v>
      </c>
      <c r="AC45" t="e">
        <f ca="1">INDEX(K$65:INDIRECT("K"&amp;$C$61),$T45)</f>
        <v>#NUM!</v>
      </c>
      <c r="AD45" t="e">
        <f ca="1">INDEX(L$65:INDIRECT("L"&amp;$C$61),$T45)</f>
        <v>#NUM!</v>
      </c>
      <c r="AE45" t="e">
        <f ca="1">INDEX(M$65:INDIRECT("M"&amp;$C$61),$T45)</f>
        <v>#NUM!</v>
      </c>
      <c r="AF45" s="23" t="e">
        <f t="array" aca="1" ref="AF45" ca="1">IF(ISBLANK($AE$11),LARGE(IF($E$65:INDIRECT("E"&amp;$C$61)=$AE$10,N$65:INDIRECT(AF$13&amp;$C$61)),$AH45),IF(ISBLANK($AE$10),LARGE(IF($D$65:INDIRECT("D"&amp;$C$61)=$AE$11,N$65:INDIRECT(AF$13&amp;$C$61)),$AH45),LARGE(IF(($E$65:INDIRECT("E"&amp;$C$61)=$AE$10)*($D$65:INDIRECT("D"&amp;$C$61)=$AE$11),N$65:INDIRECT(AF$13&amp;$C$61)),$AH45)))</f>
        <v>#NUM!</v>
      </c>
      <c r="AG45" t="e">
        <f ca="1">INDEX(O$65:INDIRECT("O"&amp;$C$61),$T45)</f>
        <v>#NUM!</v>
      </c>
      <c r="AH45" s="69">
        <v>3</v>
      </c>
      <c r="AI45" s="69" t="str">
        <f t="shared" ref="AI45:AJ48" si="4">AI44</f>
        <v>N</v>
      </c>
      <c r="AJ45" s="69" t="str">
        <f t="shared" si="4"/>
        <v>U</v>
      </c>
    </row>
    <row r="46" spans="1:52" x14ac:dyDescent="0.25">
      <c r="A46" s="74" t="s">
        <v>72</v>
      </c>
      <c r="B46" s="69" t="s">
        <v>35</v>
      </c>
      <c r="C46" s="74" t="e">
        <f ca="1">N6</f>
        <v>#N/A</v>
      </c>
      <c r="D46" s="69" t="e">
        <f ca="1">INDEX(D$65:INDIRECT("D"&amp;$C$61),$C46)</f>
        <v>#N/A</v>
      </c>
      <c r="E46" s="69" t="e">
        <f ca="1">INDEX(INDIRECT(("'MemberID'!$C$6:C"&amp;MemberID!$C$1)),MATCH(D46,INDIRECT(("'MemberID'!$G$6:G"&amp;MemberID!$C$1)),0))</f>
        <v>#N/A</v>
      </c>
      <c r="F46" s="69" t="e">
        <f ca="1">INDEX(E$65:INDIRECT("E"&amp;$C$61),$C46)</f>
        <v>#N/A</v>
      </c>
      <c r="G46" t="e">
        <f ca="1">INDEX(F$65:INDIRECT("F"&amp;$C$61),$C46)</f>
        <v>#N/A</v>
      </c>
      <c r="H46" t="e">
        <f ca="1">INDEX(G$65:INDIRECT("G"&amp;$C$61),$C46)</f>
        <v>#N/A</v>
      </c>
      <c r="I46" t="e">
        <f ca="1">INDEX(H$65:INDIRECT("H"&amp;$C$61),$C46)</f>
        <v>#N/A</v>
      </c>
      <c r="J46" t="e">
        <f ca="1">INDEX(I$65:INDIRECT("I"&amp;$C$61),$C46)</f>
        <v>#N/A</v>
      </c>
      <c r="K46" s="7" t="e">
        <f ca="1">INDEX(J$65:INDIRECT("J"&amp;$C$61),$C46)</f>
        <v>#N/A</v>
      </c>
      <c r="L46" t="e">
        <f ca="1">INDEX(K$65:INDIRECT("K"&amp;$C$61),$C46)</f>
        <v>#N/A</v>
      </c>
      <c r="M46" t="e">
        <f ca="1">INDEX(L$65:INDIRECT("L"&amp;$C$61),$C46)</f>
        <v>#N/A</v>
      </c>
      <c r="N46" t="e">
        <f ca="1">INDEX(M$65:INDIRECT("M"&amp;$C$61),$C46)</f>
        <v>#N/A</v>
      </c>
      <c r="O46" s="23" t="e">
        <f ca="1">INDEX(N$65:INDIRECT("N"&amp;$C$61),$C46)</f>
        <v>#N/A</v>
      </c>
      <c r="P46" t="e">
        <f ca="1">INDEX(O$65:INDIRECT("O"&amp;$C$61),$C46)</f>
        <v>#N/A</v>
      </c>
      <c r="Q46" s="104"/>
      <c r="R46" s="74" t="s">
        <v>72</v>
      </c>
      <c r="S46" s="69" t="s">
        <v>35</v>
      </c>
      <c r="T46" s="74" t="e">
        <f t="array" aca="1" ref="T46" ca="1">MATCH(IF(ISBLANK($AE$11),SMALL(IF($E$65:INDIRECT("E"&amp;$C$61)=$AE$10,INDIRECT(AJ46&amp;65):INDIRECT(AJ46&amp;$C$61)),$AH46),IF(ISBLANK($AE$10),SMALL(IF($D$65:INDIRECT("D"&amp;$C$61)=$AE$11,INDIRECT(AJ46&amp;65):INDIRECT(AJ46&amp;$C$61)),$AH46),SMALL(IF(($E$65:INDIRECT("E"&amp;$C$61)=$AE$10)*($D$65:INDIRECT("D"&amp;$C$61)=$AE$11),INDIRECT(AJ46&amp;65):INDIRECT(AJ46&amp;$C$61)),$AH46))),INDIRECT(AJ46&amp;65):INDIRECT(AJ46&amp;$C$61),0)</f>
        <v>#NUM!</v>
      </c>
      <c r="U46" s="69" t="e">
        <f ca="1">INDEX(D$65:INDIRECT("D"&amp;$C$61),$T46)</f>
        <v>#NUM!</v>
      </c>
      <c r="V46" s="69" t="e">
        <f ca="1">INDEX(INDIRECT(("'MemberID'!$C$6:C"&amp;MemberID!$C$1)),MATCH(U46,INDIRECT(("'MemberID'!$G$6:G"&amp;MemberID!$C$1)),0))</f>
        <v>#NUM!</v>
      </c>
      <c r="W46" s="69" t="e">
        <f ca="1">INDEX(E$65:INDIRECT("E"&amp;$C$61),$T46)</f>
        <v>#NUM!</v>
      </c>
      <c r="X46" t="e">
        <f ca="1">INDEX(F$65:INDIRECT("F"&amp;$C$61),$T46)</f>
        <v>#NUM!</v>
      </c>
      <c r="Y46" t="e">
        <f ca="1">INDEX(G$65:INDIRECT("G"&amp;$C$61),$T46)</f>
        <v>#NUM!</v>
      </c>
      <c r="Z46" t="e">
        <f ca="1">INDEX(H$65:INDIRECT("H"&amp;$C$61),$T46)</f>
        <v>#NUM!</v>
      </c>
      <c r="AA46" t="e">
        <f ca="1">INDEX(I$65:INDIRECT("I"&amp;$C$61),$T46)</f>
        <v>#NUM!</v>
      </c>
      <c r="AB46" t="e">
        <f ca="1">INDEX(J$65:INDIRECT("J"&amp;$C$61),$T46)</f>
        <v>#NUM!</v>
      </c>
      <c r="AC46" t="e">
        <f ca="1">INDEX(K$65:INDIRECT("K"&amp;$C$61),$T46)</f>
        <v>#NUM!</v>
      </c>
      <c r="AD46" t="e">
        <f ca="1">INDEX(L$65:INDIRECT("L"&amp;$C$61),$T46)</f>
        <v>#NUM!</v>
      </c>
      <c r="AE46" t="e">
        <f ca="1">INDEX(M$65:INDIRECT("M"&amp;$C$61),$T46)</f>
        <v>#NUM!</v>
      </c>
      <c r="AF46" s="23" t="e">
        <f t="array" aca="1" ref="AF46" ca="1">IF(ISBLANK($AE$11),SMALL(IF($E$65:INDIRECT("E"&amp;$C$61)=$AE$10,N$65:INDIRECT(AF$13&amp;$C$61)),$AH46),IF(ISBLANK($AE$10),SMALL(IF($D$65:INDIRECT("D"&amp;$C$61)=$AE$11,N$65:INDIRECT(AF$13&amp;$C$61)),$AH46),SMALL(IF(($E$65:INDIRECT("E"&amp;$C$61)=$AE$10)*($D$65:INDIRECT("D"&amp;$C$61)=$AE$11),N$65:INDIRECT(AF$13&amp;$C$61)),$AH46)))</f>
        <v>#NUM!</v>
      </c>
      <c r="AG46" t="e">
        <f ca="1">INDEX(O$65:INDIRECT("O"&amp;$C$61),$T46)</f>
        <v>#NUM!</v>
      </c>
      <c r="AH46" s="69">
        <v>1</v>
      </c>
      <c r="AI46" s="69" t="str">
        <f t="shared" si="4"/>
        <v>N</v>
      </c>
      <c r="AJ46" s="69" t="str">
        <f t="shared" si="4"/>
        <v>U</v>
      </c>
    </row>
    <row r="47" spans="1:52" x14ac:dyDescent="0.25">
      <c r="A47" s="74" t="s">
        <v>73</v>
      </c>
      <c r="B47" s="69" t="s">
        <v>35</v>
      </c>
      <c r="C47" s="74" t="e">
        <f ca="1">V6</f>
        <v>#NUM!</v>
      </c>
      <c r="D47" s="69" t="e">
        <f ca="1">INDEX(D$65:INDIRECT("D"&amp;$C$61),$C47)</f>
        <v>#NUM!</v>
      </c>
      <c r="E47" s="69" t="e">
        <f ca="1">INDEX(INDIRECT(("'MemberID'!$C$6:C"&amp;MemberID!$C$1)),MATCH(D47,INDIRECT(("'MemberID'!$G$6:G"&amp;MemberID!$C$1)),0))</f>
        <v>#NUM!</v>
      </c>
      <c r="F47" s="69" t="e">
        <f ca="1">INDEX(E$65:INDIRECT("E"&amp;$C$61),$C47)</f>
        <v>#NUM!</v>
      </c>
      <c r="G47" t="e">
        <f ca="1">INDEX(F$65:INDIRECT("F"&amp;$C$61),$C47)</f>
        <v>#NUM!</v>
      </c>
      <c r="H47" t="e">
        <f ca="1">INDEX(G$65:INDIRECT("G"&amp;$C$61),$C47)</f>
        <v>#NUM!</v>
      </c>
      <c r="I47" t="e">
        <f ca="1">INDEX(H$65:INDIRECT("H"&amp;$C$61),$C47)</f>
        <v>#NUM!</v>
      </c>
      <c r="J47" t="e">
        <f ca="1">INDEX(I$65:INDIRECT("I"&amp;$C$61),$C47)</f>
        <v>#NUM!</v>
      </c>
      <c r="K47" s="7" t="e">
        <f ca="1">INDEX(J$65:INDIRECT("J"&amp;$C$61),$C47)</f>
        <v>#NUM!</v>
      </c>
      <c r="L47" t="e">
        <f ca="1">INDEX(K$65:INDIRECT("K"&amp;$C$61),$C47)</f>
        <v>#NUM!</v>
      </c>
      <c r="M47" t="e">
        <f ca="1">INDEX(L$65:INDIRECT("L"&amp;$C$61),$C47)</f>
        <v>#NUM!</v>
      </c>
      <c r="N47" t="e">
        <f ca="1">INDEX(M$65:INDIRECT("M"&amp;$C$61),$C47)</f>
        <v>#NUM!</v>
      </c>
      <c r="O47" s="23" t="e">
        <f ca="1">INDEX(N$65:INDIRECT("N"&amp;$C$61),$C47)</f>
        <v>#NUM!</v>
      </c>
      <c r="P47" t="e">
        <f ca="1">INDEX(O$65:INDIRECT("O"&amp;$C$61),$C47)</f>
        <v>#NUM!</v>
      </c>
      <c r="Q47" s="104"/>
      <c r="R47" s="74" t="s">
        <v>73</v>
      </c>
      <c r="S47" s="69" t="s">
        <v>35</v>
      </c>
      <c r="T47" s="74" t="e">
        <f t="array" aca="1" ref="T47" ca="1">MATCH(IF(ISBLANK($AE$11),SMALL(IF($E$65:INDIRECT("E"&amp;$C$61)=$AE$10,INDIRECT(AJ47&amp;65):INDIRECT(AJ47&amp;$C$61)),$AH47),IF(ISBLANK($AE$10),SMALL(IF($D$65:INDIRECT("D"&amp;$C$61)=$AE$11,INDIRECT(AJ47&amp;65):INDIRECT(AJ47&amp;$C$61)),$AH47),SMALL(IF(($E$65:INDIRECT("E"&amp;$C$61)=$AE$10)*($D$65:INDIRECT("D"&amp;$C$61)=$AE$11),INDIRECT(AJ47&amp;65):INDIRECT(AJ47&amp;$C$61)),$AH47))),INDIRECT(AJ47&amp;65):INDIRECT(AJ47&amp;$C$61),0)</f>
        <v>#NUM!</v>
      </c>
      <c r="U47" s="69" t="e">
        <f ca="1">INDEX(D$65:INDIRECT("D"&amp;$C$61),$T47)</f>
        <v>#NUM!</v>
      </c>
      <c r="V47" s="69" t="e">
        <f ca="1">INDEX(INDIRECT(("'MemberID'!$C$6:C"&amp;MemberID!$C$1)),MATCH(U47,INDIRECT(("'MemberID'!$G$6:G"&amp;MemberID!$C$1)),0))</f>
        <v>#NUM!</v>
      </c>
      <c r="W47" s="69" t="e">
        <f ca="1">INDEX(E$65:INDIRECT("E"&amp;$C$61),$T47)</f>
        <v>#NUM!</v>
      </c>
      <c r="X47" t="e">
        <f ca="1">INDEX(F$65:INDIRECT("F"&amp;$C$61),$T47)</f>
        <v>#NUM!</v>
      </c>
      <c r="Y47" t="e">
        <f ca="1">INDEX(G$65:INDIRECT("G"&amp;$C$61),$T47)</f>
        <v>#NUM!</v>
      </c>
      <c r="Z47" t="e">
        <f ca="1">INDEX(H$65:INDIRECT("H"&amp;$C$61),$T47)</f>
        <v>#NUM!</v>
      </c>
      <c r="AA47" t="e">
        <f ca="1">INDEX(I$65:INDIRECT("I"&amp;$C$61),$T47)</f>
        <v>#NUM!</v>
      </c>
      <c r="AB47" t="e">
        <f ca="1">INDEX(J$65:INDIRECT("J"&amp;$C$61),$T47)</f>
        <v>#NUM!</v>
      </c>
      <c r="AC47" t="e">
        <f ca="1">INDEX(K$65:INDIRECT("K"&amp;$C$61),$T47)</f>
        <v>#NUM!</v>
      </c>
      <c r="AD47" t="e">
        <f ca="1">INDEX(L$65:INDIRECT("L"&amp;$C$61),$T47)</f>
        <v>#NUM!</v>
      </c>
      <c r="AE47" t="e">
        <f ca="1">INDEX(M$65:INDIRECT("M"&amp;$C$61),$T47)</f>
        <v>#NUM!</v>
      </c>
      <c r="AF47" s="23" t="e">
        <f t="array" aca="1" ref="AF47" ca="1">IF(ISBLANK($AE$11),SMALL(IF($E$65:INDIRECT("E"&amp;$C$61)=$AE$10,N$65:INDIRECT(AF$13&amp;$C$61)),$AH47),IF(ISBLANK($AE$10),SMALL(IF($D$65:INDIRECT("D"&amp;$C$61)=$AE$11,N$65:INDIRECT(AF$13&amp;$C$61)),$AH47),SMALL(IF(($E$65:INDIRECT("E"&amp;$C$61)=$AE$10)*($D$65:INDIRECT("D"&amp;$C$61)=$AE$11),N$65:INDIRECT(AF$13&amp;$C$61)),$AH47)))</f>
        <v>#NUM!</v>
      </c>
      <c r="AG47" t="e">
        <f ca="1">INDEX(O$65:INDIRECT("O"&amp;$C$61),$T47)</f>
        <v>#NUM!</v>
      </c>
      <c r="AH47" s="69">
        <v>2</v>
      </c>
      <c r="AI47" s="69" t="str">
        <f t="shared" si="4"/>
        <v>N</v>
      </c>
      <c r="AJ47" s="69" t="str">
        <f t="shared" si="4"/>
        <v>U</v>
      </c>
    </row>
    <row r="48" spans="1:52" x14ac:dyDescent="0.25">
      <c r="A48" s="74" t="s">
        <v>74</v>
      </c>
      <c r="B48" s="69" t="s">
        <v>35</v>
      </c>
      <c r="C48" s="74" t="e">
        <f ca="1">AD6</f>
        <v>#NUM!</v>
      </c>
      <c r="D48" s="69" t="e">
        <f ca="1">INDEX(D$65:INDIRECT("D"&amp;$C$61),$C48)</f>
        <v>#NUM!</v>
      </c>
      <c r="E48" s="69" t="e">
        <f ca="1">INDEX(INDIRECT(("'MemberID'!$C$6:C"&amp;MemberID!$C$1)),MATCH(D48,INDIRECT(("'MemberID'!$G$6:G"&amp;MemberID!$C$1)),0))</f>
        <v>#NUM!</v>
      </c>
      <c r="F48" s="69" t="e">
        <f ca="1">INDEX(E$65:INDIRECT("E"&amp;$C$61),$C48)</f>
        <v>#NUM!</v>
      </c>
      <c r="G48" t="e">
        <f ca="1">INDEX(F$65:INDIRECT("F"&amp;$C$61),$C48)</f>
        <v>#NUM!</v>
      </c>
      <c r="H48" t="e">
        <f ca="1">INDEX(G$65:INDIRECT("G"&amp;$C$61),$C48)</f>
        <v>#NUM!</v>
      </c>
      <c r="I48" t="e">
        <f ca="1">INDEX(H$65:INDIRECT("H"&amp;$C$61),$C48)</f>
        <v>#NUM!</v>
      </c>
      <c r="J48" t="e">
        <f ca="1">INDEX(I$65:INDIRECT("I"&amp;$C$61),$C48)</f>
        <v>#NUM!</v>
      </c>
      <c r="K48" s="7" t="e">
        <f ca="1">INDEX(J$65:INDIRECT("J"&amp;$C$61),$C48)</f>
        <v>#NUM!</v>
      </c>
      <c r="L48" t="e">
        <f ca="1">INDEX(K$65:INDIRECT("K"&amp;$C$61),$C48)</f>
        <v>#NUM!</v>
      </c>
      <c r="M48" t="e">
        <f ca="1">INDEX(L$65:INDIRECT("L"&amp;$C$61),$C48)</f>
        <v>#NUM!</v>
      </c>
      <c r="N48" t="e">
        <f ca="1">INDEX(M$65:INDIRECT("M"&amp;$C$61),$C48)</f>
        <v>#NUM!</v>
      </c>
      <c r="O48" s="23" t="e">
        <f ca="1">INDEX(N$65:INDIRECT("N"&amp;$C$61),$C48)</f>
        <v>#NUM!</v>
      </c>
      <c r="P48" t="e">
        <f ca="1">INDEX(O$65:INDIRECT("O"&amp;$C$61),$C48)</f>
        <v>#NUM!</v>
      </c>
      <c r="Q48" s="104"/>
      <c r="R48" s="74" t="s">
        <v>74</v>
      </c>
      <c r="S48" s="69" t="s">
        <v>35</v>
      </c>
      <c r="T48" s="74" t="e">
        <f t="array" aca="1" ref="T48" ca="1">MATCH(IF(ISBLANK($AE$11),SMALL(IF($E$65:INDIRECT("E"&amp;$C$61)=$AE$10,INDIRECT(AJ48&amp;65):INDIRECT(AJ48&amp;$C$61)),$AH48),IF(ISBLANK($AE$10),SMALL(IF($D$65:INDIRECT("D"&amp;$C$61)=$AE$11,INDIRECT(AJ48&amp;65):INDIRECT(AJ48&amp;$C$61)),$AH48),SMALL(IF(($E$65:INDIRECT("E"&amp;$C$61)=$AE$10)*($D$65:INDIRECT("D"&amp;$C$61)=$AE$11),INDIRECT(AJ48&amp;65):INDIRECT(AJ48&amp;$C$61)),$AH48))),INDIRECT(AJ48&amp;65):INDIRECT(AJ48&amp;$C$61),0)</f>
        <v>#NUM!</v>
      </c>
      <c r="U48" s="69" t="e">
        <f ca="1">INDEX(D$65:INDIRECT("D"&amp;$C$61),$T48)</f>
        <v>#NUM!</v>
      </c>
      <c r="V48" s="69" t="e">
        <f ca="1">INDEX(INDIRECT(("'MemberID'!$C$6:C"&amp;MemberID!$C$1)),MATCH(U48,INDIRECT(("'MemberID'!$G$6:G"&amp;MemberID!$C$1)),0))</f>
        <v>#NUM!</v>
      </c>
      <c r="W48" s="69" t="e">
        <f ca="1">INDEX(E$65:INDIRECT("E"&amp;$C$61),$T48)</f>
        <v>#NUM!</v>
      </c>
      <c r="X48" t="e">
        <f ca="1">INDEX(F$65:INDIRECT("F"&amp;$C$61),$T48)</f>
        <v>#NUM!</v>
      </c>
      <c r="Y48" t="e">
        <f ca="1">INDEX(G$65:INDIRECT("G"&amp;$C$61),$T48)</f>
        <v>#NUM!</v>
      </c>
      <c r="Z48" t="e">
        <f ca="1">INDEX(H$65:INDIRECT("H"&amp;$C$61),$T48)</f>
        <v>#NUM!</v>
      </c>
      <c r="AA48" t="e">
        <f ca="1">INDEX(I$65:INDIRECT("I"&amp;$C$61),$T48)</f>
        <v>#NUM!</v>
      </c>
      <c r="AB48" t="e">
        <f ca="1">INDEX(J$65:INDIRECT("J"&amp;$C$61),$T48)</f>
        <v>#NUM!</v>
      </c>
      <c r="AC48" t="e">
        <f ca="1">INDEX(K$65:INDIRECT("K"&amp;$C$61),$T48)</f>
        <v>#NUM!</v>
      </c>
      <c r="AD48" t="e">
        <f ca="1">INDEX(L$65:INDIRECT("L"&amp;$C$61),$T48)</f>
        <v>#NUM!</v>
      </c>
      <c r="AE48" t="e">
        <f ca="1">INDEX(M$65:INDIRECT("M"&amp;$C$61),$T48)</f>
        <v>#NUM!</v>
      </c>
      <c r="AF48" s="23" t="e">
        <f t="array" aca="1" ref="AF48" ca="1">IF(ISBLANK($AE$11),SMALL(IF($E$65:INDIRECT("E"&amp;$C$61)=$AE$10,N$65:INDIRECT(AF$13&amp;$C$61)),$AH48),IF(ISBLANK($AE$10),SMALL(IF($D$65:INDIRECT("D"&amp;$C$61)=$AE$11,N$65:INDIRECT(AF$13&amp;$C$61)),$AH48),SMALL(IF(($E$65:INDIRECT("E"&amp;$C$61)=$AE$10)*($D$65:INDIRECT("D"&amp;$C$61)=$AE$11),N$65:INDIRECT(AF$13&amp;$C$61)),$AH48)))</f>
        <v>#NUM!</v>
      </c>
      <c r="AG48" t="e">
        <f ca="1">INDEX(O$65:INDIRECT("O"&amp;$C$61),$T48)</f>
        <v>#NUM!</v>
      </c>
      <c r="AH48" s="69">
        <v>3</v>
      </c>
      <c r="AI48" s="69" t="str">
        <f t="shared" si="4"/>
        <v>N</v>
      </c>
      <c r="AJ48" s="69" t="str">
        <f t="shared" si="4"/>
        <v>U</v>
      </c>
    </row>
    <row r="49" spans="1:36" x14ac:dyDescent="0.25">
      <c r="B49" s="69"/>
      <c r="C49" s="69"/>
      <c r="D49" s="69"/>
      <c r="E49" s="69"/>
      <c r="F49" s="69"/>
      <c r="K49" s="7"/>
      <c r="Q49" s="104"/>
      <c r="S49" s="69"/>
      <c r="T49" s="69"/>
      <c r="V49" s="69"/>
      <c r="W49" s="69"/>
      <c r="AH49" s="69"/>
      <c r="AI49" s="69"/>
      <c r="AJ49" s="69"/>
    </row>
    <row r="50" spans="1:36" x14ac:dyDescent="0.25">
      <c r="A50" s="73" t="s">
        <v>69</v>
      </c>
      <c r="B50" s="69" t="s">
        <v>36</v>
      </c>
      <c r="C50" s="73" t="e">
        <f ca="1">O3</f>
        <v>#N/A</v>
      </c>
      <c r="D50" s="69" t="e">
        <f ca="1">INDEX(D$65:INDIRECT("D"&amp;$C$61),$C50)</f>
        <v>#N/A</v>
      </c>
      <c r="E50" s="69" t="e">
        <f ca="1">INDEX(INDIRECT(("'MemberID'!$C$6:C"&amp;MemberID!$C$1)),MATCH(D50,INDIRECT(("'MemberID'!$G$6:G"&amp;MemberID!$C$1)),0))</f>
        <v>#N/A</v>
      </c>
      <c r="F50" s="69" t="e">
        <f ca="1">INDEX(E$65:INDIRECT("E"&amp;$C$61),$C50)</f>
        <v>#N/A</v>
      </c>
      <c r="G50" t="e">
        <f ca="1">INDEX(F$65:INDIRECT("F"&amp;$C$61),$C50)</f>
        <v>#N/A</v>
      </c>
      <c r="H50" t="e">
        <f ca="1">INDEX(G$65:INDIRECT("G"&amp;$C$61),$C50)</f>
        <v>#N/A</v>
      </c>
      <c r="I50" t="e">
        <f ca="1">INDEX(H$65:INDIRECT("H"&amp;$C$61),$C50)</f>
        <v>#N/A</v>
      </c>
      <c r="J50" t="e">
        <f ca="1">INDEX(I$65:INDIRECT("I"&amp;$C$61),$C50)</f>
        <v>#N/A</v>
      </c>
      <c r="K50" s="7" t="e">
        <f ca="1">INDEX(J$65:INDIRECT("J"&amp;$C$61),$C50)</f>
        <v>#N/A</v>
      </c>
      <c r="L50" t="e">
        <f ca="1">INDEX(K$65:INDIRECT("K"&amp;$C$61),$C50)</f>
        <v>#N/A</v>
      </c>
      <c r="M50" t="e">
        <f ca="1">INDEX(L$65:INDIRECT("L"&amp;$C$61),$C50)</f>
        <v>#N/A</v>
      </c>
      <c r="N50" t="e">
        <f ca="1">INDEX(M$65:INDIRECT("M"&amp;$C$61),$C50)</f>
        <v>#N/A</v>
      </c>
      <c r="O50" t="e">
        <f ca="1">INDEX(N$65:INDIRECT("N"&amp;$C$61),$C50)</f>
        <v>#N/A</v>
      </c>
      <c r="P50" s="23" t="e">
        <f ca="1">INDEX(O$65:INDIRECT("O"&amp;$C$61),$C50)</f>
        <v>#N/A</v>
      </c>
      <c r="Q50" s="104"/>
      <c r="R50" s="73" t="s">
        <v>69</v>
      </c>
      <c r="S50" s="69" t="s">
        <v>36</v>
      </c>
      <c r="T50" s="73" t="e">
        <f t="array" aca="1" ref="T50" ca="1">MATCH(IF(ISBLANK($AE$11),LARGE(IF($E$65:INDIRECT("E"&amp;$C$61)=$AE$10,INDIRECT(AJ50&amp;65):INDIRECT(AJ50&amp;$C$61)),$AH50),IF(ISBLANK($AE$10),LARGE(IF($D$65:INDIRECT("D"&amp;$C$61)=$AE$11,INDIRECT(AJ50&amp;65):INDIRECT(AJ50&amp;$C$61)),$AH50),LARGE(IF(($E$65:INDIRECT("E"&amp;$C$61)=$AE$10)*($D$65:INDIRECT("D"&amp;$C$61)=$AE$11),INDIRECT(AJ50&amp;65):INDIRECT(AJ50&amp;$C$61)),$AH50))),INDIRECT(AJ50&amp;65):INDIRECT(AJ50&amp;$C$61),0)</f>
        <v>#NUM!</v>
      </c>
      <c r="U50" s="69" t="e">
        <f ca="1">INDEX(D$65:INDIRECT("D"&amp;$C$61),$T50)</f>
        <v>#NUM!</v>
      </c>
      <c r="V50" s="69" t="e">
        <f ca="1">INDEX(INDIRECT(("'MemberID'!$C$6:C"&amp;MemberID!$C$1)),MATCH(U50,INDIRECT(("'MemberID'!$G$6:G"&amp;MemberID!$C$1)),0))</f>
        <v>#NUM!</v>
      </c>
      <c r="W50" s="69" t="e">
        <f ca="1">INDEX(E$65:INDIRECT("E"&amp;$C$61),$T50)</f>
        <v>#NUM!</v>
      </c>
      <c r="X50" t="e">
        <f ca="1">INDEX(F$65:INDIRECT("F"&amp;$C$61),$T50)</f>
        <v>#NUM!</v>
      </c>
      <c r="Y50" t="e">
        <f ca="1">INDEX(G$65:INDIRECT("G"&amp;$C$61),$T50)</f>
        <v>#NUM!</v>
      </c>
      <c r="Z50" t="e">
        <f ca="1">INDEX(H$65:INDIRECT("H"&amp;$C$61),$T50)</f>
        <v>#NUM!</v>
      </c>
      <c r="AA50" t="e">
        <f ca="1">INDEX(I$65:INDIRECT("I"&amp;$C$61),$T50)</f>
        <v>#NUM!</v>
      </c>
      <c r="AB50" t="e">
        <f ca="1">INDEX(J$65:INDIRECT("J"&amp;$C$61),$T50)</f>
        <v>#NUM!</v>
      </c>
      <c r="AC50" t="e">
        <f ca="1">INDEX(K$65:INDIRECT("K"&amp;$C$61),$T50)</f>
        <v>#NUM!</v>
      </c>
      <c r="AD50" t="e">
        <f ca="1">INDEX(L$65:INDIRECT("L"&amp;$C$61),$T50)</f>
        <v>#NUM!</v>
      </c>
      <c r="AE50" t="e">
        <f ca="1">INDEX(M$65:INDIRECT("M"&amp;$C$61),$T50)</f>
        <v>#NUM!</v>
      </c>
      <c r="AF50" t="e">
        <f ca="1">INDEX(N$65:INDIRECT("N"&amp;$C$61),$T50)</f>
        <v>#NUM!</v>
      </c>
      <c r="AG50" s="23" t="e">
        <f t="array" aca="1" ref="AG50" ca="1">IF(ISBLANK($AE$11),LARGE(IF($E$65:INDIRECT("E"&amp;$C$61)=$AE$10,O$65:INDIRECT(AG$13&amp;$C$61)),$AH50),IF(ISBLANK($AE$10),LARGE(IF($D$65:INDIRECT("D"&amp;$C$61)=$AE$11,O$65:INDIRECT(AG$13&amp;$C$61)),$AH50),LARGE(IF(($E$65:INDIRECT("E"&amp;$C$61)=$AE$10)*($D$65:INDIRECT("D"&amp;$C$61)=$AE$11),O$65:INDIRECT(AG$13&amp;$C$61)),$AH50)))</f>
        <v>#NUM!</v>
      </c>
      <c r="AH50" s="69">
        <v>1</v>
      </c>
      <c r="AI50" s="69" t="s">
        <v>155</v>
      </c>
      <c r="AJ50" s="69" t="s">
        <v>197</v>
      </c>
    </row>
    <row r="51" spans="1:36" x14ac:dyDescent="0.25">
      <c r="A51" s="73" t="s">
        <v>70</v>
      </c>
      <c r="B51" s="69" t="s">
        <v>36</v>
      </c>
      <c r="C51" s="73" t="e">
        <f ca="1">W3</f>
        <v>#NUM!</v>
      </c>
      <c r="D51" s="69" t="e">
        <f ca="1">INDEX(D$65:INDIRECT("D"&amp;$C$61),$C51)</f>
        <v>#NUM!</v>
      </c>
      <c r="E51" s="69" t="e">
        <f ca="1">INDEX(INDIRECT(("'MemberID'!$C$6:C"&amp;MemberID!$C$1)),MATCH(D51,INDIRECT(("'MemberID'!$G$6:G"&amp;MemberID!$C$1)),0))</f>
        <v>#NUM!</v>
      </c>
      <c r="F51" s="69" t="e">
        <f ca="1">INDEX(E$65:INDIRECT("E"&amp;$C$61),$C51)</f>
        <v>#NUM!</v>
      </c>
      <c r="G51" t="e">
        <f ca="1">INDEX(F$65:INDIRECT("F"&amp;$C$61),$C51)</f>
        <v>#NUM!</v>
      </c>
      <c r="H51" t="e">
        <f ca="1">INDEX(G$65:INDIRECT("G"&amp;$C$61),$C51)</f>
        <v>#NUM!</v>
      </c>
      <c r="I51" t="e">
        <f ca="1">INDEX(H$65:INDIRECT("H"&amp;$C$61),$C51)</f>
        <v>#NUM!</v>
      </c>
      <c r="J51" t="e">
        <f ca="1">INDEX(I$65:INDIRECT("I"&amp;$C$61),$C51)</f>
        <v>#NUM!</v>
      </c>
      <c r="K51" s="7" t="e">
        <f ca="1">INDEX(J$65:INDIRECT("J"&amp;$C$61),$C51)</f>
        <v>#NUM!</v>
      </c>
      <c r="L51" t="e">
        <f ca="1">INDEX(K$65:INDIRECT("K"&amp;$C$61),$C51)</f>
        <v>#NUM!</v>
      </c>
      <c r="M51" t="e">
        <f ca="1">INDEX(L$65:INDIRECT("L"&amp;$C$61),$C51)</f>
        <v>#NUM!</v>
      </c>
      <c r="N51" t="e">
        <f ca="1">INDEX(M$65:INDIRECT("M"&amp;$C$61),$C51)</f>
        <v>#NUM!</v>
      </c>
      <c r="O51" t="e">
        <f ca="1">INDEX(N$65:INDIRECT("N"&amp;$C$61),$C51)</f>
        <v>#NUM!</v>
      </c>
      <c r="P51" s="23" t="e">
        <f ca="1">INDEX(O$65:INDIRECT("O"&amp;$C$61),$C51)</f>
        <v>#NUM!</v>
      </c>
      <c r="Q51" s="104"/>
      <c r="R51" s="73" t="s">
        <v>70</v>
      </c>
      <c r="S51" s="69" t="s">
        <v>36</v>
      </c>
      <c r="T51" s="73" t="e">
        <f t="array" aca="1" ref="T51" ca="1">MATCH(IF(ISBLANK($AE$11),LARGE(IF($E$65:INDIRECT("E"&amp;$C$61)=$AE$10,INDIRECT(AJ51&amp;65):INDIRECT(AJ51&amp;$C$61)),$AH51),IF(ISBLANK($AE$10),LARGE(IF($D$65:INDIRECT("D"&amp;$C$61)=$AE$11,INDIRECT(AJ51&amp;65):INDIRECT(AJ51&amp;$C$61)),$AH51),LARGE(IF(($E$65:INDIRECT("E"&amp;$C$61)=$AE$10)*($D$65:INDIRECT("D"&amp;$C$61)=$AE$11),INDIRECT(AJ51&amp;65):INDIRECT(AJ51&amp;$C$61)),$AH51))),INDIRECT(AJ51&amp;65):INDIRECT(AJ51&amp;$C$61),0)</f>
        <v>#NUM!</v>
      </c>
      <c r="U51" s="69" t="e">
        <f ca="1">INDEX(D$65:INDIRECT("D"&amp;$C$61),$T51)</f>
        <v>#NUM!</v>
      </c>
      <c r="V51" s="69" t="e">
        <f ca="1">INDEX(INDIRECT(("'MemberID'!$C$6:C"&amp;MemberID!$C$1)),MATCH(U51,INDIRECT(("'MemberID'!$G$6:G"&amp;MemberID!$C$1)),0))</f>
        <v>#NUM!</v>
      </c>
      <c r="W51" s="69" t="e">
        <f ca="1">INDEX(E$65:INDIRECT("E"&amp;$C$61),$T51)</f>
        <v>#NUM!</v>
      </c>
      <c r="X51" t="e">
        <f ca="1">INDEX(F$65:INDIRECT("F"&amp;$C$61),$T51)</f>
        <v>#NUM!</v>
      </c>
      <c r="Y51" t="e">
        <f ca="1">INDEX(G$65:INDIRECT("G"&amp;$C$61),$T51)</f>
        <v>#NUM!</v>
      </c>
      <c r="Z51" t="e">
        <f ca="1">INDEX(H$65:INDIRECT("H"&amp;$C$61),$T51)</f>
        <v>#NUM!</v>
      </c>
      <c r="AA51" t="e">
        <f ca="1">INDEX(I$65:INDIRECT("I"&amp;$C$61),$T51)</f>
        <v>#NUM!</v>
      </c>
      <c r="AB51" t="e">
        <f ca="1">INDEX(J$65:INDIRECT("J"&amp;$C$61),$T51)</f>
        <v>#NUM!</v>
      </c>
      <c r="AC51" t="e">
        <f ca="1">INDEX(K$65:INDIRECT("K"&amp;$C$61),$T51)</f>
        <v>#NUM!</v>
      </c>
      <c r="AD51" t="e">
        <f ca="1">INDEX(L$65:INDIRECT("L"&amp;$C$61),$T51)</f>
        <v>#NUM!</v>
      </c>
      <c r="AE51" t="e">
        <f ca="1">INDEX(M$65:INDIRECT("M"&amp;$C$61),$T51)</f>
        <v>#NUM!</v>
      </c>
      <c r="AF51" t="e">
        <f ca="1">INDEX(N$65:INDIRECT("N"&amp;$C$61),$T51)</f>
        <v>#NUM!</v>
      </c>
      <c r="AG51" s="23" t="e">
        <f t="array" aca="1" ref="AG51" ca="1">IF(ISBLANK($AE$11),LARGE(IF($E$65:INDIRECT("E"&amp;$C$61)=$AE$10,O$65:INDIRECT(AG$13&amp;$C$61)),$AH51),IF(ISBLANK($AE$10),LARGE(IF($D$65:INDIRECT("D"&amp;$C$61)=$AE$11,O$65:INDIRECT(AG$13&amp;$C$61)),$AH51),LARGE(IF(($E$65:INDIRECT("E"&amp;$C$61)=$AE$10)*($D$65:INDIRECT("D"&amp;$C$61)=$AE$11),O$65:INDIRECT(AG$13&amp;$C$61)),$AH51)))</f>
        <v>#NUM!</v>
      </c>
      <c r="AH51" s="69">
        <v>2</v>
      </c>
      <c r="AI51" s="69" t="str">
        <f>AI50</f>
        <v>O</v>
      </c>
      <c r="AJ51" s="69" t="str">
        <f>AJ50</f>
        <v>V</v>
      </c>
    </row>
    <row r="52" spans="1:36" x14ac:dyDescent="0.25">
      <c r="A52" s="73" t="s">
        <v>71</v>
      </c>
      <c r="B52" s="69" t="s">
        <v>36</v>
      </c>
      <c r="C52" s="73" t="e">
        <f ca="1">AE3</f>
        <v>#NUM!</v>
      </c>
      <c r="D52" s="69" t="e">
        <f ca="1">INDEX(D$65:INDIRECT("D"&amp;$C$61),$C52)</f>
        <v>#NUM!</v>
      </c>
      <c r="E52" s="69" t="e">
        <f ca="1">INDEX(INDIRECT(("'MemberID'!$C$6:C"&amp;MemberID!$C$1)),MATCH(D52,INDIRECT(("'MemberID'!$G$6:G"&amp;MemberID!$C$1)),0))</f>
        <v>#NUM!</v>
      </c>
      <c r="F52" s="69" t="e">
        <f ca="1">INDEX(E$65:INDIRECT("E"&amp;$C$61),$C52)</f>
        <v>#NUM!</v>
      </c>
      <c r="G52" t="e">
        <f ca="1">INDEX(F$65:INDIRECT("F"&amp;$C$61),$C52)</f>
        <v>#NUM!</v>
      </c>
      <c r="H52" t="e">
        <f ca="1">INDEX(G$65:INDIRECT("G"&amp;$C$61),$C52)</f>
        <v>#NUM!</v>
      </c>
      <c r="I52" t="e">
        <f ca="1">INDEX(H$65:INDIRECT("H"&amp;$C$61),$C52)</f>
        <v>#NUM!</v>
      </c>
      <c r="J52" t="e">
        <f ca="1">INDEX(I$65:INDIRECT("I"&amp;$C$61),$C52)</f>
        <v>#NUM!</v>
      </c>
      <c r="K52" s="7" t="e">
        <f ca="1">INDEX(J$65:INDIRECT("J"&amp;$C$61),$C52)</f>
        <v>#NUM!</v>
      </c>
      <c r="L52" t="e">
        <f ca="1">INDEX(K$65:INDIRECT("K"&amp;$C$61),$C52)</f>
        <v>#NUM!</v>
      </c>
      <c r="M52" t="e">
        <f ca="1">INDEX(L$65:INDIRECT("L"&amp;$C$61),$C52)</f>
        <v>#NUM!</v>
      </c>
      <c r="N52" t="e">
        <f ca="1">INDEX(M$65:INDIRECT("M"&amp;$C$61),$C52)</f>
        <v>#NUM!</v>
      </c>
      <c r="O52" t="e">
        <f ca="1">INDEX(N$65:INDIRECT("N"&amp;$C$61),$C52)</f>
        <v>#NUM!</v>
      </c>
      <c r="P52" s="23" t="e">
        <f ca="1">INDEX(O$65:INDIRECT("O"&amp;$C$61),$C52)</f>
        <v>#NUM!</v>
      </c>
      <c r="Q52" s="104"/>
      <c r="R52" s="73" t="s">
        <v>71</v>
      </c>
      <c r="S52" s="69" t="s">
        <v>36</v>
      </c>
      <c r="T52" s="73" t="e">
        <f t="array" aca="1" ref="T52" ca="1">MATCH(IF(ISBLANK($AE$11),LARGE(IF($E$65:INDIRECT("E"&amp;$C$61)=$AE$10,INDIRECT(AJ52&amp;65):INDIRECT(AJ52&amp;$C$61)),$AH52),IF(ISBLANK($AE$10),LARGE(IF($D$65:INDIRECT("D"&amp;$C$61)=$AE$11,INDIRECT(AJ52&amp;65):INDIRECT(AJ52&amp;$C$61)),$AH52),LARGE(IF(($E$65:INDIRECT("E"&amp;$C$61)=$AE$10)*($D$65:INDIRECT("D"&amp;$C$61)=$AE$11),INDIRECT(AJ52&amp;65):INDIRECT(AJ52&amp;$C$61)),$AH52))),INDIRECT(AJ52&amp;65):INDIRECT(AJ52&amp;$C$61),0)</f>
        <v>#NUM!</v>
      </c>
      <c r="U52" s="69" t="e">
        <f ca="1">INDEX(D$65:INDIRECT("D"&amp;$C$61),$T52)</f>
        <v>#NUM!</v>
      </c>
      <c r="V52" s="69" t="e">
        <f ca="1">INDEX(INDIRECT(("'MemberID'!$C$6:C"&amp;MemberID!$C$1)),MATCH(U52,INDIRECT(("'MemberID'!$G$6:G"&amp;MemberID!$C$1)),0))</f>
        <v>#NUM!</v>
      </c>
      <c r="W52" s="69" t="e">
        <f ca="1">INDEX(E$65:INDIRECT("E"&amp;$C$61),$T52)</f>
        <v>#NUM!</v>
      </c>
      <c r="X52" t="e">
        <f ca="1">INDEX(F$65:INDIRECT("F"&amp;$C$61),$T52)</f>
        <v>#NUM!</v>
      </c>
      <c r="Y52" t="e">
        <f ca="1">INDEX(G$65:INDIRECT("G"&amp;$C$61),$T52)</f>
        <v>#NUM!</v>
      </c>
      <c r="Z52" t="e">
        <f ca="1">INDEX(H$65:INDIRECT("H"&amp;$C$61),$T52)</f>
        <v>#NUM!</v>
      </c>
      <c r="AA52" t="e">
        <f ca="1">INDEX(I$65:INDIRECT("I"&amp;$C$61),$T52)</f>
        <v>#NUM!</v>
      </c>
      <c r="AB52" t="e">
        <f ca="1">INDEX(J$65:INDIRECT("J"&amp;$C$61),$T52)</f>
        <v>#NUM!</v>
      </c>
      <c r="AC52" t="e">
        <f ca="1">INDEX(K$65:INDIRECT("K"&amp;$C$61),$T52)</f>
        <v>#NUM!</v>
      </c>
      <c r="AD52" t="e">
        <f ca="1">INDEX(L$65:INDIRECT("L"&amp;$C$61),$T52)</f>
        <v>#NUM!</v>
      </c>
      <c r="AE52" t="e">
        <f ca="1">INDEX(M$65:INDIRECT("M"&amp;$C$61),$T52)</f>
        <v>#NUM!</v>
      </c>
      <c r="AF52" t="e">
        <f ca="1">INDEX(N$65:INDIRECT("N"&amp;$C$61),$T52)</f>
        <v>#NUM!</v>
      </c>
      <c r="AG52" s="23" t="e">
        <f t="array" aca="1" ref="AG52" ca="1">IF(ISBLANK($AE$11),LARGE(IF($E$65:INDIRECT("E"&amp;$C$61)=$AE$10,O$65:INDIRECT(AG$13&amp;$C$61)),$AH52),IF(ISBLANK($AE$10),LARGE(IF($D$65:INDIRECT("D"&amp;$C$61)=$AE$11,O$65:INDIRECT(AG$13&amp;$C$61)),$AH52),LARGE(IF(($E$65:INDIRECT("E"&amp;$C$61)=$AE$10)*($D$65:INDIRECT("D"&amp;$C$61)=$AE$11),O$65:INDIRECT(AG$13&amp;$C$61)),$AH52)))</f>
        <v>#NUM!</v>
      </c>
      <c r="AH52" s="69">
        <v>3</v>
      </c>
      <c r="AI52" s="69" t="str">
        <f t="shared" ref="AI52:AJ55" si="5">AI51</f>
        <v>O</v>
      </c>
      <c r="AJ52" s="69" t="str">
        <f t="shared" si="5"/>
        <v>V</v>
      </c>
    </row>
    <row r="53" spans="1:36" x14ac:dyDescent="0.25">
      <c r="A53" s="74" t="s">
        <v>72</v>
      </c>
      <c r="B53" s="69" t="s">
        <v>36</v>
      </c>
      <c r="C53" s="74" t="e">
        <f ca="1">O6</f>
        <v>#N/A</v>
      </c>
      <c r="D53" s="69" t="e">
        <f ca="1">INDEX(D$65:INDIRECT("D"&amp;$C$61),$C53)</f>
        <v>#N/A</v>
      </c>
      <c r="E53" s="69" t="e">
        <f ca="1">INDEX(INDIRECT(("'MemberID'!$C$6:C"&amp;MemberID!$C$1)),MATCH(D53,INDIRECT(("'MemberID'!$G$6:G"&amp;MemberID!$C$1)),0))</f>
        <v>#N/A</v>
      </c>
      <c r="F53" s="69" t="e">
        <f ca="1">INDEX(E$65:INDIRECT("E"&amp;$C$61),$C53)</f>
        <v>#N/A</v>
      </c>
      <c r="G53" t="e">
        <f ca="1">INDEX(F$65:INDIRECT("F"&amp;$C$61),$C53)</f>
        <v>#N/A</v>
      </c>
      <c r="H53" t="e">
        <f ca="1">INDEX(G$65:INDIRECT("G"&amp;$C$61),$C53)</f>
        <v>#N/A</v>
      </c>
      <c r="I53" t="e">
        <f ca="1">INDEX(H$65:INDIRECT("H"&amp;$C$61),$C53)</f>
        <v>#N/A</v>
      </c>
      <c r="J53" t="e">
        <f ca="1">INDEX(I$65:INDIRECT("I"&amp;$C$61),$C53)</f>
        <v>#N/A</v>
      </c>
      <c r="K53" s="7" t="e">
        <f ca="1">INDEX(J$65:INDIRECT("J"&amp;$C$61),$C53)</f>
        <v>#N/A</v>
      </c>
      <c r="L53" t="e">
        <f ca="1">INDEX(K$65:INDIRECT("K"&amp;$C$61),$C53)</f>
        <v>#N/A</v>
      </c>
      <c r="M53" t="e">
        <f ca="1">INDEX(L$65:INDIRECT("L"&amp;$C$61),$C53)</f>
        <v>#N/A</v>
      </c>
      <c r="N53" t="e">
        <f ca="1">INDEX(M$65:INDIRECT("M"&amp;$C$61),$C53)</f>
        <v>#N/A</v>
      </c>
      <c r="O53" t="e">
        <f ca="1">INDEX(N$65:INDIRECT("N"&amp;$C$61),$C53)</f>
        <v>#N/A</v>
      </c>
      <c r="P53" s="23" t="e">
        <f ca="1">INDEX(O$65:INDIRECT("O"&amp;$C$61),$C53)</f>
        <v>#N/A</v>
      </c>
      <c r="Q53" s="104"/>
      <c r="R53" s="74" t="s">
        <v>72</v>
      </c>
      <c r="S53" s="69" t="s">
        <v>36</v>
      </c>
      <c r="T53" s="74" t="e">
        <f t="array" aca="1" ref="T53" ca="1">MATCH(IF(ISBLANK($AE$11),SMALL(IF($E$65:INDIRECT("E"&amp;$C$61)=$AE$10,INDIRECT(AJ53&amp;65):INDIRECT(AJ53&amp;$C$61)),$AH53),IF(ISBLANK($AE$10),SMALL(IF($D$65:INDIRECT("D"&amp;$C$61)=$AE$11,INDIRECT(AJ53&amp;65):INDIRECT(AJ53&amp;$C$61)),$AH53),SMALL(IF(($E$65:INDIRECT("E"&amp;$C$61)=$AE$10)*($D$65:INDIRECT("D"&amp;$C$61)=$AE$11),INDIRECT(AJ53&amp;65):INDIRECT(AJ53&amp;$C$61)),$AH53))),INDIRECT(AJ53&amp;65):INDIRECT(AJ53&amp;$C$61),0)</f>
        <v>#NUM!</v>
      </c>
      <c r="U53" s="69" t="e">
        <f ca="1">INDEX(D$65:INDIRECT("D"&amp;$C$61),$T53)</f>
        <v>#NUM!</v>
      </c>
      <c r="V53" s="69" t="e">
        <f ca="1">INDEX(INDIRECT(("'MemberID'!$C$6:C"&amp;MemberID!$C$1)),MATCH(U53,INDIRECT(("'MemberID'!$G$6:G"&amp;MemberID!$C$1)),0))</f>
        <v>#NUM!</v>
      </c>
      <c r="W53" s="69" t="e">
        <f ca="1">INDEX(E$65:INDIRECT("E"&amp;$C$61),$T53)</f>
        <v>#NUM!</v>
      </c>
      <c r="X53" t="e">
        <f ca="1">INDEX(F$65:INDIRECT("F"&amp;$C$61),$T53)</f>
        <v>#NUM!</v>
      </c>
      <c r="Y53" t="e">
        <f ca="1">INDEX(G$65:INDIRECT("G"&amp;$C$61),$T53)</f>
        <v>#NUM!</v>
      </c>
      <c r="Z53" t="e">
        <f ca="1">INDEX(H$65:INDIRECT("H"&amp;$C$61),$T53)</f>
        <v>#NUM!</v>
      </c>
      <c r="AA53" t="e">
        <f ca="1">INDEX(I$65:INDIRECT("I"&amp;$C$61),$T53)</f>
        <v>#NUM!</v>
      </c>
      <c r="AB53" t="e">
        <f ca="1">INDEX(J$65:INDIRECT("J"&amp;$C$61),$T53)</f>
        <v>#NUM!</v>
      </c>
      <c r="AC53" t="e">
        <f ca="1">INDEX(K$65:INDIRECT("K"&amp;$C$61),$T53)</f>
        <v>#NUM!</v>
      </c>
      <c r="AD53" t="e">
        <f ca="1">INDEX(L$65:INDIRECT("L"&amp;$C$61),$T53)</f>
        <v>#NUM!</v>
      </c>
      <c r="AE53" t="e">
        <f ca="1">INDEX(M$65:INDIRECT("M"&amp;$C$61),$T53)</f>
        <v>#NUM!</v>
      </c>
      <c r="AF53" t="e">
        <f ca="1">INDEX(N$65:INDIRECT("N"&amp;$C$61),$T53)</f>
        <v>#NUM!</v>
      </c>
      <c r="AG53" s="23" t="e">
        <f t="array" aca="1" ref="AG53" ca="1">IF(ISBLANK($AE$11),SMALL(IF($E$65:INDIRECT("E"&amp;$C$61)=$AE$10,O$65:INDIRECT(AG$13&amp;$C$61)),$AH53),IF(ISBLANK($AE$10),SMALL(IF($D$65:INDIRECT("D"&amp;$C$61)=$AE$11,O$65:INDIRECT(AG$13&amp;$C$61)),$AH53),SMALL(IF(($E$65:INDIRECT("E"&amp;$C$61)=$AE$10)*($D$65:INDIRECT("D"&amp;$C$61)=$AE$11),O$65:INDIRECT(AG$13&amp;$C$61)),$AH53)))</f>
        <v>#NUM!</v>
      </c>
      <c r="AH53" s="69">
        <v>1</v>
      </c>
      <c r="AI53" s="69" t="str">
        <f t="shared" si="5"/>
        <v>O</v>
      </c>
      <c r="AJ53" s="69" t="str">
        <f t="shared" si="5"/>
        <v>V</v>
      </c>
    </row>
    <row r="54" spans="1:36" x14ac:dyDescent="0.25">
      <c r="A54" s="74" t="s">
        <v>73</v>
      </c>
      <c r="B54" s="69" t="s">
        <v>36</v>
      </c>
      <c r="C54" s="74" t="e">
        <f ca="1">W6</f>
        <v>#NUM!</v>
      </c>
      <c r="D54" s="69" t="e">
        <f ca="1">INDEX(D$65:INDIRECT("D"&amp;$C$61),$C54)</f>
        <v>#NUM!</v>
      </c>
      <c r="E54" s="69" t="e">
        <f ca="1">INDEX(INDIRECT(("'MemberID'!$C$6:C"&amp;MemberID!$C$1)),MATCH(D54,INDIRECT(("'MemberID'!$G$6:G"&amp;MemberID!$C$1)),0))</f>
        <v>#NUM!</v>
      </c>
      <c r="F54" s="69" t="e">
        <f ca="1">INDEX(E$65:INDIRECT("E"&amp;$C$61),$C54)</f>
        <v>#NUM!</v>
      </c>
      <c r="G54" t="e">
        <f ca="1">INDEX(F$65:INDIRECT("F"&amp;$C$61),$C54)</f>
        <v>#NUM!</v>
      </c>
      <c r="H54" t="e">
        <f ca="1">INDEX(G$65:INDIRECT("G"&amp;$C$61),$C54)</f>
        <v>#NUM!</v>
      </c>
      <c r="I54" t="e">
        <f ca="1">INDEX(H$65:INDIRECT("H"&amp;$C$61),$C54)</f>
        <v>#NUM!</v>
      </c>
      <c r="J54" t="e">
        <f ca="1">INDEX(I$65:INDIRECT("I"&amp;$C$61),$C54)</f>
        <v>#NUM!</v>
      </c>
      <c r="K54" s="7" t="e">
        <f ca="1">INDEX(J$65:INDIRECT("J"&amp;$C$61),$C54)</f>
        <v>#NUM!</v>
      </c>
      <c r="L54" t="e">
        <f ca="1">INDEX(K$65:INDIRECT("K"&amp;$C$61),$C54)</f>
        <v>#NUM!</v>
      </c>
      <c r="M54" t="e">
        <f ca="1">INDEX(L$65:INDIRECT("L"&amp;$C$61),$C54)</f>
        <v>#NUM!</v>
      </c>
      <c r="N54" t="e">
        <f ca="1">INDEX(M$65:INDIRECT("M"&amp;$C$61),$C54)</f>
        <v>#NUM!</v>
      </c>
      <c r="O54" t="e">
        <f ca="1">INDEX(N$65:INDIRECT("N"&amp;$C$61),$C54)</f>
        <v>#NUM!</v>
      </c>
      <c r="P54" s="23" t="e">
        <f ca="1">INDEX(O$65:INDIRECT("O"&amp;$C$61),$C54)</f>
        <v>#NUM!</v>
      </c>
      <c r="Q54" s="104"/>
      <c r="R54" s="74" t="s">
        <v>73</v>
      </c>
      <c r="S54" s="69" t="s">
        <v>36</v>
      </c>
      <c r="T54" s="74" t="e">
        <f t="array" aca="1" ref="T54" ca="1">MATCH(IF(ISBLANK($AE$11),SMALL(IF($E$65:INDIRECT("E"&amp;$C$61)=$AE$10,INDIRECT(AJ54&amp;65):INDIRECT(AJ54&amp;$C$61)),$AH54),IF(ISBLANK($AE$10),SMALL(IF($D$65:INDIRECT("D"&amp;$C$61)=$AE$11,INDIRECT(AJ54&amp;65):INDIRECT(AJ54&amp;$C$61)),$AH54),SMALL(IF(($E$65:INDIRECT("E"&amp;$C$61)=$AE$10)*($D$65:INDIRECT("D"&amp;$C$61)=$AE$11),INDIRECT(AJ54&amp;65):INDIRECT(AJ54&amp;$C$61)),$AH54))),INDIRECT(AJ54&amp;65):INDIRECT(AJ54&amp;$C$61),0)</f>
        <v>#NUM!</v>
      </c>
      <c r="U54" s="69" t="e">
        <f ca="1">INDEX(D$65:INDIRECT("D"&amp;$C$61),$T54)</f>
        <v>#NUM!</v>
      </c>
      <c r="V54" s="69" t="e">
        <f ca="1">INDEX(INDIRECT(("'MemberID'!$C$6:C"&amp;MemberID!$C$1)),MATCH(U54,INDIRECT(("'MemberID'!$G$6:G"&amp;MemberID!$C$1)),0))</f>
        <v>#NUM!</v>
      </c>
      <c r="W54" s="69" t="e">
        <f ca="1">INDEX(E$65:INDIRECT("E"&amp;$C$61),$T54)</f>
        <v>#NUM!</v>
      </c>
      <c r="X54" t="e">
        <f ca="1">INDEX(F$65:INDIRECT("F"&amp;$C$61),$T54)</f>
        <v>#NUM!</v>
      </c>
      <c r="Y54" t="e">
        <f ca="1">INDEX(G$65:INDIRECT("G"&amp;$C$61),$T54)</f>
        <v>#NUM!</v>
      </c>
      <c r="Z54" t="e">
        <f ca="1">INDEX(H$65:INDIRECT("H"&amp;$C$61),$T54)</f>
        <v>#NUM!</v>
      </c>
      <c r="AA54" t="e">
        <f ca="1">INDEX(I$65:INDIRECT("I"&amp;$C$61),$T54)</f>
        <v>#NUM!</v>
      </c>
      <c r="AB54" t="e">
        <f ca="1">INDEX(J$65:INDIRECT("J"&amp;$C$61),$T54)</f>
        <v>#NUM!</v>
      </c>
      <c r="AC54" t="e">
        <f ca="1">INDEX(K$65:INDIRECT("K"&amp;$C$61),$T54)</f>
        <v>#NUM!</v>
      </c>
      <c r="AD54" t="e">
        <f ca="1">INDEX(L$65:INDIRECT("L"&amp;$C$61),$T54)</f>
        <v>#NUM!</v>
      </c>
      <c r="AE54" t="e">
        <f ca="1">INDEX(M$65:INDIRECT("M"&amp;$C$61),$T54)</f>
        <v>#NUM!</v>
      </c>
      <c r="AF54" t="e">
        <f ca="1">INDEX(N$65:INDIRECT("N"&amp;$C$61),$T54)</f>
        <v>#NUM!</v>
      </c>
      <c r="AG54" s="23" t="e">
        <f t="array" aca="1" ref="AG54" ca="1">IF(ISBLANK($AE$11),SMALL(IF($E$65:INDIRECT("E"&amp;$C$61)=$AE$10,O$65:INDIRECT(AG$13&amp;$C$61)),$AH54),IF(ISBLANK($AE$10),SMALL(IF($D$65:INDIRECT("D"&amp;$C$61)=$AE$11,O$65:INDIRECT(AG$13&amp;$C$61)),$AH54),SMALL(IF(($E$65:INDIRECT("E"&amp;$C$61)=$AE$10)*($D$65:INDIRECT("D"&amp;$C$61)=$AE$11),O$65:INDIRECT(AG$13&amp;$C$61)),$AH54)))</f>
        <v>#NUM!</v>
      </c>
      <c r="AH54" s="69">
        <v>2</v>
      </c>
      <c r="AI54" s="69" t="str">
        <f t="shared" si="5"/>
        <v>O</v>
      </c>
      <c r="AJ54" s="69" t="str">
        <f t="shared" si="5"/>
        <v>V</v>
      </c>
    </row>
    <row r="55" spans="1:36" x14ac:dyDescent="0.25">
      <c r="A55" s="74" t="s">
        <v>74</v>
      </c>
      <c r="B55" s="69" t="s">
        <v>36</v>
      </c>
      <c r="C55" s="74" t="e">
        <f ca="1">AE6</f>
        <v>#NUM!</v>
      </c>
      <c r="D55" s="69" t="e">
        <f ca="1">INDEX(D$65:INDIRECT("D"&amp;$C$61),$C55)</f>
        <v>#NUM!</v>
      </c>
      <c r="E55" s="69" t="e">
        <f ca="1">INDEX(INDIRECT(("'MemberID'!$C$6:C"&amp;MemberID!$C$1)),MATCH(D55,INDIRECT(("'MemberID'!$G$6:G"&amp;MemberID!$C$1)),0))</f>
        <v>#NUM!</v>
      </c>
      <c r="F55" s="69" t="e">
        <f ca="1">INDEX(E$65:INDIRECT("E"&amp;$C$61),$C55)</f>
        <v>#NUM!</v>
      </c>
      <c r="G55" t="e">
        <f ca="1">INDEX(F$65:INDIRECT("F"&amp;$C$61),$C55)</f>
        <v>#NUM!</v>
      </c>
      <c r="H55" t="e">
        <f ca="1">INDEX(G$65:INDIRECT("G"&amp;$C$61),$C55)</f>
        <v>#NUM!</v>
      </c>
      <c r="I55" t="e">
        <f ca="1">INDEX(H$65:INDIRECT("H"&amp;$C$61),$C55)</f>
        <v>#NUM!</v>
      </c>
      <c r="J55" t="e">
        <f ca="1">INDEX(I$65:INDIRECT("I"&amp;$C$61),$C55)</f>
        <v>#NUM!</v>
      </c>
      <c r="K55" s="7" t="e">
        <f ca="1">INDEX(J$65:INDIRECT("J"&amp;$C$61),$C55)</f>
        <v>#NUM!</v>
      </c>
      <c r="L55" t="e">
        <f ca="1">INDEX(K$65:INDIRECT("K"&amp;$C$61),$C55)</f>
        <v>#NUM!</v>
      </c>
      <c r="M55" t="e">
        <f ca="1">INDEX(L$65:INDIRECT("L"&amp;$C$61),$C55)</f>
        <v>#NUM!</v>
      </c>
      <c r="N55" t="e">
        <f ca="1">INDEX(M$65:INDIRECT("M"&amp;$C$61),$C55)</f>
        <v>#NUM!</v>
      </c>
      <c r="O55" t="e">
        <f ca="1">INDEX(N$65:INDIRECT("N"&amp;$C$61),$C55)</f>
        <v>#NUM!</v>
      </c>
      <c r="P55" s="23" t="e">
        <f ca="1">INDEX(O$65:INDIRECT("O"&amp;$C$61),$C55)</f>
        <v>#NUM!</v>
      </c>
      <c r="Q55" s="104"/>
      <c r="R55" s="74" t="s">
        <v>74</v>
      </c>
      <c r="S55" s="69" t="s">
        <v>36</v>
      </c>
      <c r="T55" s="74" t="e">
        <f t="array" aca="1" ref="T55" ca="1">MATCH(IF(ISBLANK($AE$11),SMALL(IF($E$65:INDIRECT("E"&amp;$C$61)=$AE$10,INDIRECT(AJ55&amp;65):INDIRECT(AJ55&amp;$C$61)),$AH55),IF(ISBLANK($AE$10),SMALL(IF($D$65:INDIRECT("D"&amp;$C$61)=$AE$11,INDIRECT(AJ55&amp;65):INDIRECT(AJ55&amp;$C$61)),$AH55),SMALL(IF(($E$65:INDIRECT("E"&amp;$C$61)=$AE$10)*($D$65:INDIRECT("D"&amp;$C$61)=$AE$11),INDIRECT(AJ55&amp;65):INDIRECT(AJ55&amp;$C$61)),$AH55))),INDIRECT(AJ55&amp;65):INDIRECT(AJ55&amp;$C$61),0)</f>
        <v>#NUM!</v>
      </c>
      <c r="U55" s="69" t="e">
        <f ca="1">INDEX(D$65:INDIRECT("D"&amp;$C$61),$T55)</f>
        <v>#NUM!</v>
      </c>
      <c r="V55" s="69" t="e">
        <f ca="1">INDEX(INDIRECT(("'MemberID'!$C$6:C"&amp;MemberID!$C$1)),MATCH(U55,INDIRECT(("'MemberID'!$G$6:G"&amp;MemberID!$C$1)),0))</f>
        <v>#NUM!</v>
      </c>
      <c r="W55" s="69" t="e">
        <f ca="1">INDEX(E$65:INDIRECT("E"&amp;$C$61),$T55)</f>
        <v>#NUM!</v>
      </c>
      <c r="X55" t="e">
        <f ca="1">INDEX(F$65:INDIRECT("F"&amp;$C$61),$T55)</f>
        <v>#NUM!</v>
      </c>
      <c r="Y55" t="e">
        <f ca="1">INDEX(G$65:INDIRECT("G"&amp;$C$61),$T55)</f>
        <v>#NUM!</v>
      </c>
      <c r="Z55" t="e">
        <f ca="1">INDEX(H$65:INDIRECT("H"&amp;$C$61),$T55)</f>
        <v>#NUM!</v>
      </c>
      <c r="AA55" t="e">
        <f ca="1">INDEX(I$65:INDIRECT("I"&amp;$C$61),$T55)</f>
        <v>#NUM!</v>
      </c>
      <c r="AB55" t="e">
        <f ca="1">INDEX(J$65:INDIRECT("J"&amp;$C$61),$T55)</f>
        <v>#NUM!</v>
      </c>
      <c r="AC55" t="e">
        <f ca="1">INDEX(K$65:INDIRECT("K"&amp;$C$61),$T55)</f>
        <v>#NUM!</v>
      </c>
      <c r="AD55" t="e">
        <f ca="1">INDEX(L$65:INDIRECT("L"&amp;$C$61),$T55)</f>
        <v>#NUM!</v>
      </c>
      <c r="AE55" t="e">
        <f ca="1">INDEX(M$65:INDIRECT("M"&amp;$C$61),$T55)</f>
        <v>#NUM!</v>
      </c>
      <c r="AF55" t="e">
        <f ca="1">INDEX(N$65:INDIRECT("N"&amp;$C$61),$T55)</f>
        <v>#NUM!</v>
      </c>
      <c r="AG55" s="23" t="e">
        <f t="array" aca="1" ref="AG55" ca="1">IF(ISBLANK($AE$11),SMALL(IF($E$65:INDIRECT("E"&amp;$C$61)=$AE$10,O$65:INDIRECT(AG$13&amp;$C$61)),$AH55),IF(ISBLANK($AE$10),SMALL(IF($D$65:INDIRECT("D"&amp;$C$61)=$AE$11,O$65:INDIRECT(AG$13&amp;$C$61)),$AH55),SMALL(IF(($E$65:INDIRECT("E"&amp;$C$61)=$AE$10)*($D$65:INDIRECT("D"&amp;$C$61)=$AE$11),O$65:INDIRECT(AG$13&amp;$C$61)),$AH55)))</f>
        <v>#NUM!</v>
      </c>
      <c r="AH55" s="69">
        <v>3</v>
      </c>
      <c r="AI55" s="69" t="str">
        <f t="shared" si="5"/>
        <v>O</v>
      </c>
      <c r="AJ55" s="69" t="str">
        <f t="shared" si="5"/>
        <v>V</v>
      </c>
    </row>
    <row r="56" spans="1:36" x14ac:dyDescent="0.25">
      <c r="Q56" s="104"/>
    </row>
    <row r="57" spans="1:36" x14ac:dyDescent="0.25">
      <c r="F57" s="57"/>
      <c r="G57" s="57"/>
      <c r="H57" s="57"/>
      <c r="I57" s="57"/>
      <c r="Q57" s="104"/>
    </row>
    <row r="58" spans="1:36" x14ac:dyDescent="0.25">
      <c r="D58" s="7"/>
      <c r="E58" s="77"/>
      <c r="F58" s="77"/>
      <c r="G58" s="77"/>
      <c r="H58" s="77"/>
      <c r="I58" s="7"/>
      <c r="J58" s="7"/>
      <c r="K58" s="7"/>
      <c r="L58" s="7"/>
      <c r="M58" s="7"/>
      <c r="N58" s="7"/>
      <c r="O58" s="7"/>
      <c r="Q58" s="105"/>
      <c r="R58" s="7"/>
      <c r="S58" s="7"/>
      <c r="T58" s="7"/>
      <c r="U58" s="7"/>
      <c r="V58" s="7"/>
      <c r="W58" s="7"/>
      <c r="X58" s="7"/>
    </row>
    <row r="59" spans="1:36" x14ac:dyDescent="0.25">
      <c r="D59" s="66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8"/>
      <c r="Q59" s="105"/>
      <c r="R59" s="7"/>
      <c r="S59" s="7"/>
      <c r="T59" s="7"/>
      <c r="U59" s="7"/>
      <c r="V59" s="7"/>
      <c r="W59" s="7"/>
      <c r="X59" s="7"/>
    </row>
    <row r="60" spans="1:36" x14ac:dyDescent="0.25">
      <c r="D60" s="66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8"/>
      <c r="Q60" s="105"/>
      <c r="R60" s="7"/>
      <c r="S60" s="7"/>
      <c r="T60" s="7"/>
      <c r="U60" s="7"/>
      <c r="V60" s="7"/>
      <c r="W60" s="7"/>
      <c r="X60" s="7"/>
    </row>
    <row r="61" spans="1:36" x14ac:dyDescent="0.25">
      <c r="B61" t="s">
        <v>23</v>
      </c>
      <c r="C61" s="23">
        <f>LOOKUP(2,1/(NOT(ISBLANK(D:D))),ROW(D:D))</f>
        <v>64</v>
      </c>
      <c r="D61" s="66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8"/>
      <c r="Q61" s="105"/>
      <c r="R61" s="7"/>
      <c r="S61" s="7"/>
      <c r="T61" s="7"/>
      <c r="U61" s="7"/>
      <c r="V61" s="7"/>
      <c r="W61" s="7"/>
      <c r="X61" s="7"/>
    </row>
    <row r="62" spans="1:36" x14ac:dyDescent="0.25">
      <c r="Q62" s="104"/>
    </row>
    <row r="63" spans="1:36" x14ac:dyDescent="0.25">
      <c r="C63" s="7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Q63" s="22" t="s">
        <v>168</v>
      </c>
      <c r="R63" s="22"/>
      <c r="S63" s="22"/>
      <c r="T63" s="22"/>
      <c r="U63" s="22"/>
      <c r="V63" s="22"/>
    </row>
    <row r="64" spans="1:36" x14ac:dyDescent="0.25">
      <c r="C64" s="7"/>
      <c r="D64" t="s">
        <v>0</v>
      </c>
      <c r="E64" s="28" t="s">
        <v>191</v>
      </c>
      <c r="F64" s="28" t="s">
        <v>192</v>
      </c>
      <c r="G64" s="28" t="s">
        <v>193</v>
      </c>
      <c r="H64" s="28" t="s">
        <v>194</v>
      </c>
      <c r="I64" t="s">
        <v>129</v>
      </c>
      <c r="J64" t="s">
        <v>5</v>
      </c>
      <c r="K64" t="s">
        <v>6</v>
      </c>
      <c r="L64" t="s">
        <v>7</v>
      </c>
      <c r="M64" t="s">
        <v>8</v>
      </c>
      <c r="N64" t="s">
        <v>9</v>
      </c>
      <c r="O64" t="s">
        <v>10</v>
      </c>
      <c r="Q64" s="69" t="s">
        <v>140</v>
      </c>
      <c r="R64" s="69" t="s">
        <v>141</v>
      </c>
      <c r="S64" s="69" t="s">
        <v>142</v>
      </c>
      <c r="T64" s="69" t="s">
        <v>143</v>
      </c>
      <c r="U64" s="69" t="s">
        <v>144</v>
      </c>
      <c r="V64" s="69" t="s">
        <v>145</v>
      </c>
    </row>
    <row r="65" spans="30:49" x14ac:dyDescent="0.25">
      <c r="AD65" s="1"/>
      <c r="AE65" s="1"/>
      <c r="AO65" s="1"/>
      <c r="AP65" s="1"/>
      <c r="AQ65" s="1"/>
      <c r="AR65" s="1"/>
      <c r="AS65" s="1"/>
      <c r="AT65" s="1"/>
      <c r="AU65" s="1"/>
      <c r="AW65" s="1"/>
    </row>
  </sheetData>
  <dataValidations count="2">
    <dataValidation type="list" showInputMessage="1" showErrorMessage="1" sqref="AE10" xr:uid="{B26249F9-C752-4E06-9D85-18AC74D41135}">
      <formula1>StationList</formula1>
    </dataValidation>
    <dataValidation type="list" showInputMessage="1" showErrorMessage="1" sqref="AE11" xr:uid="{F77C12CB-C64D-4E3B-9422-F913AEFBF159}">
      <formula1>MemberList</formula1>
    </dataValidation>
  </dataValidation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F433D-5FFE-4D65-85CF-FC431100FB73}">
  <sheetPr codeName="Sheet62"/>
  <dimension ref="A1:AZ65"/>
  <sheetViews>
    <sheetView zoomScale="70" zoomScaleNormal="70" workbookViewId="0"/>
  </sheetViews>
  <sheetFormatPr defaultRowHeight="15" x14ac:dyDescent="0.25"/>
  <cols>
    <col min="1" max="1" width="10.28515625" customWidth="1"/>
    <col min="2" max="2" width="11.7109375" customWidth="1"/>
    <col min="3" max="3" width="13.42578125" bestFit="1" customWidth="1"/>
    <col min="4" max="4" width="8.85546875" customWidth="1"/>
    <col min="5" max="6" width="14.85546875" bestFit="1" customWidth="1"/>
    <col min="7" max="8" width="20.5703125" bestFit="1" customWidth="1"/>
    <col min="9" max="10" width="35.7109375" customWidth="1"/>
    <col min="11" max="11" width="17.28515625" bestFit="1" customWidth="1"/>
    <col min="12" max="13" width="15.85546875" bestFit="1" customWidth="1"/>
    <col min="14" max="15" width="19.140625" bestFit="1" customWidth="1"/>
    <col min="16" max="16" width="18.85546875" customWidth="1"/>
    <col min="17" max="17" width="15.85546875" customWidth="1"/>
    <col min="18" max="21" width="15.85546875" bestFit="1" customWidth="1"/>
    <col min="22" max="22" width="16.85546875" bestFit="1" customWidth="1"/>
    <col min="23" max="23" width="16.7109375" bestFit="1" customWidth="1"/>
    <col min="24" max="24" width="13" bestFit="1" customWidth="1"/>
    <col min="25" max="25" width="20.5703125" bestFit="1" customWidth="1"/>
    <col min="26" max="26" width="14.85546875" bestFit="1" customWidth="1"/>
    <col min="27" max="27" width="35.7109375" customWidth="1"/>
    <col min="28" max="29" width="15.85546875" bestFit="1" customWidth="1"/>
    <col min="30" max="30" width="16.85546875" bestFit="1" customWidth="1"/>
    <col min="31" max="31" width="16.85546875" customWidth="1"/>
    <col min="32" max="33" width="15.85546875" bestFit="1" customWidth="1"/>
    <col min="34" max="34" width="12.5703125" customWidth="1"/>
    <col min="35" max="36" width="14.42578125" customWidth="1"/>
  </cols>
  <sheetData>
    <row r="1" spans="1:38" x14ac:dyDescent="0.25">
      <c r="A1" s="26" t="str">
        <f>'MODEL INTRO'!M19</f>
        <v>S2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</row>
    <row r="2" spans="1:38" x14ac:dyDescent="0.25">
      <c r="A2" s="27" t="str">
        <f>'STR1 Forces'!A2</f>
        <v>Column Forces</v>
      </c>
      <c r="I2" s="103" t="s">
        <v>63</v>
      </c>
      <c r="J2" s="25">
        <f ca="1">MAX(J$65:INDIRECT("G"&amp;$C$61))</f>
        <v>0</v>
      </c>
      <c r="K2" s="25">
        <f ca="1">MAX(K$65:INDIRECT("H"&amp;$C$61))</f>
        <v>0</v>
      </c>
      <c r="L2" s="25">
        <f ca="1">MAX(L$65:INDIRECT("I"&amp;$C$61))</f>
        <v>0</v>
      </c>
      <c r="M2" s="25">
        <f ca="1">MAX(M$65:INDIRECT("J"&amp;$C$61))</f>
        <v>0</v>
      </c>
      <c r="N2" s="25">
        <f ca="1">MAX(N$65:INDIRECT("K"&amp;$C$61))</f>
        <v>0</v>
      </c>
      <c r="O2" s="25">
        <f ca="1">MAX(O$65:INDIRECT("L"&amp;$C$61))</f>
        <v>0</v>
      </c>
      <c r="Q2" s="103" t="s">
        <v>64</v>
      </c>
      <c r="R2" s="25" t="e">
        <f ca="1">LARGE(J$65:INDIRECT("G"&amp;$C$61),2)</f>
        <v>#NUM!</v>
      </c>
      <c r="S2" s="25" t="e">
        <f ca="1">LARGE(K$65:INDIRECT("H"&amp;$C$61),2)</f>
        <v>#NUM!</v>
      </c>
      <c r="T2" s="25" t="e">
        <f ca="1">LARGE(L$65:INDIRECT("I"&amp;$C$61),2)</f>
        <v>#NUM!</v>
      </c>
      <c r="U2" s="25" t="e">
        <f ca="1">LARGE(M$65:INDIRECT("J"&amp;$C$61),2)</f>
        <v>#NUM!</v>
      </c>
      <c r="V2" s="25" t="e">
        <f ca="1">LARGE(N$65:INDIRECT("K"&amp;$C$61),2)</f>
        <v>#NUM!</v>
      </c>
      <c r="W2" s="25" t="e">
        <f ca="1">LARGE(O$65:INDIRECT("L"&amp;$C$61),2)</f>
        <v>#NUM!</v>
      </c>
      <c r="Y2" s="103" t="s">
        <v>65</v>
      </c>
      <c r="Z2" s="25" t="e">
        <f ca="1">LARGE(J$65:INDIRECT("G"&amp;$C$61),3)</f>
        <v>#NUM!</v>
      </c>
      <c r="AA2" s="25" t="e">
        <f ca="1">LARGE(K$65:INDIRECT("H"&amp;$C$61),3)</f>
        <v>#NUM!</v>
      </c>
      <c r="AB2" s="25" t="e">
        <f ca="1">LARGE(L$65:INDIRECT("I"&amp;$C$61),3)</f>
        <v>#NUM!</v>
      </c>
      <c r="AC2" s="25" t="e">
        <f ca="1">LARGE(M$65:INDIRECT("J"&amp;$C$61),3)</f>
        <v>#NUM!</v>
      </c>
      <c r="AD2" s="25" t="e">
        <f ca="1">LARGE(N$65:INDIRECT("K"&amp;$C$61),3)</f>
        <v>#NUM!</v>
      </c>
      <c r="AE2" s="25" t="e">
        <f ca="1">LARGE(O$65:INDIRECT("L"&amp;$C$61),3)</f>
        <v>#NUM!</v>
      </c>
      <c r="AI2" s="24" t="s">
        <v>163</v>
      </c>
    </row>
    <row r="3" spans="1:38" x14ac:dyDescent="0.25">
      <c r="A3" s="27" t="s">
        <v>173</v>
      </c>
      <c r="I3" s="103" t="s">
        <v>30</v>
      </c>
      <c r="J3" s="56" t="e">
        <f ca="1">MATCH(MAX(Q$65:INDIRECT(AB14&amp;$C$61)),Q$65:INDIRECT(AB14&amp;$C$61),0)</f>
        <v>#N/A</v>
      </c>
      <c r="K3" s="56" t="e">
        <f ca="1">MATCH(MAX(R$65:INDIRECT(AC14&amp;$C$61)),R$65:INDIRECT(AC14&amp;$C$61),0)</f>
        <v>#N/A</v>
      </c>
      <c r="L3" s="56" t="e">
        <f ca="1">MATCH(MAX(S$65:INDIRECT(AD14&amp;$C$61)),S$65:INDIRECT(AD14&amp;$C$61),0)</f>
        <v>#N/A</v>
      </c>
      <c r="M3" s="56" t="e">
        <f ca="1">MATCH(MAX(T$65:INDIRECT(AE14&amp;$C$61)),T$65:INDIRECT(AE14&amp;$C$61),0)</f>
        <v>#N/A</v>
      </c>
      <c r="N3" s="56" t="e">
        <f ca="1">MATCH(MAX(U$65:INDIRECT(AF14&amp;$C$61)),U$65:INDIRECT(AF14&amp;$C$61),0)</f>
        <v>#N/A</v>
      </c>
      <c r="O3" s="56" t="e">
        <f ca="1">MATCH(MAX(V$65:INDIRECT(AG14&amp;$C$61)),V$65:INDIRECT(AG14&amp;$C$61),0)</f>
        <v>#N/A</v>
      </c>
      <c r="Q3" s="103" t="s">
        <v>30</v>
      </c>
      <c r="R3" s="56" t="e">
        <f ca="1">MATCH(LARGE(Q$65:INDIRECT(AB14&amp;$C$61),2),Q$65:INDIRECT(AB14&amp;$C$61),0)</f>
        <v>#NUM!</v>
      </c>
      <c r="S3" s="56" t="e">
        <f ca="1">MATCH(LARGE(R$65:INDIRECT(AC14&amp;$C$61),2),R$65:INDIRECT(AC14&amp;$C$61),0)</f>
        <v>#NUM!</v>
      </c>
      <c r="T3" s="56" t="e">
        <f ca="1">MATCH(LARGE(S$65:INDIRECT(AD14&amp;$C$61),2),S$65:INDIRECT(AD14&amp;$C$61),0)</f>
        <v>#NUM!</v>
      </c>
      <c r="U3" s="56" t="e">
        <f ca="1">MATCH(LARGE(T$65:INDIRECT(AE14&amp;$C$61),2),T$65:INDIRECT(AE14&amp;$C$61),0)</f>
        <v>#NUM!</v>
      </c>
      <c r="V3" s="56" t="e">
        <f ca="1">MATCH(LARGE(U$65:INDIRECT(AF14&amp;$C$61),2),U$65:INDIRECT(AF14&amp;$C$61),0)</f>
        <v>#NUM!</v>
      </c>
      <c r="W3" s="56" t="e">
        <f ca="1">MATCH(LARGE(V$65:INDIRECT(AG14&amp;$C$61),2),V$65:INDIRECT(AG14&amp;$C$61),0)</f>
        <v>#NUM!</v>
      </c>
      <c r="Y3" s="103" t="s">
        <v>30</v>
      </c>
      <c r="Z3" s="56" t="e">
        <f ca="1">MATCH(LARGE(Q$65:INDIRECT(AB14&amp;$C$61),3),Q$65:INDIRECT(AB14&amp;$C$61),0)</f>
        <v>#NUM!</v>
      </c>
      <c r="AA3" s="56" t="e">
        <f ca="1">MATCH(LARGE(R$65:INDIRECT(AC14&amp;$C$61),3),R$65:INDIRECT(AC14&amp;$C$61),0)</f>
        <v>#NUM!</v>
      </c>
      <c r="AB3" s="56" t="e">
        <f ca="1">MATCH(LARGE(S$65:INDIRECT(AD14&amp;$C$61),3),S$65:INDIRECT(AD14&amp;$C$61),0)</f>
        <v>#NUM!</v>
      </c>
      <c r="AC3" s="56" t="e">
        <f ca="1">MATCH(LARGE(T$65:INDIRECT(AE14&amp;$C$61),3),T$65:INDIRECT(AE14&amp;$C$61),0)</f>
        <v>#NUM!</v>
      </c>
      <c r="AD3" s="56" t="e">
        <f ca="1">MATCH(LARGE(U$65:INDIRECT(AF14&amp;$C$61),3),U$65:INDIRECT(AF14&amp;$C$61),0)</f>
        <v>#NUM!</v>
      </c>
      <c r="AE3" s="56" t="e">
        <f ca="1">MATCH(LARGE(V$65:INDIRECT(AG14&amp;$C$61),3),V$65:INDIRECT(AG14&amp;$C$61),0)</f>
        <v>#NUM!</v>
      </c>
      <c r="AI3" s="24" t="s">
        <v>164</v>
      </c>
      <c r="AJ3" s="71" t="s">
        <v>146</v>
      </c>
    </row>
    <row r="4" spans="1:38" x14ac:dyDescent="0.25">
      <c r="I4" s="103"/>
      <c r="J4" s="67"/>
      <c r="K4" s="67"/>
      <c r="L4" s="67"/>
      <c r="M4" s="67"/>
      <c r="N4" s="67"/>
      <c r="O4" s="67"/>
      <c r="Q4" s="103"/>
      <c r="R4" s="67"/>
      <c r="S4" s="67"/>
      <c r="T4" s="67"/>
      <c r="U4" s="67"/>
      <c r="V4" s="67"/>
      <c r="W4" s="67"/>
      <c r="Y4" s="103"/>
      <c r="Z4" s="67"/>
      <c r="AA4" s="67"/>
      <c r="AB4" s="67"/>
      <c r="AC4" s="67"/>
      <c r="AD4" s="67"/>
      <c r="AE4" s="67"/>
      <c r="AI4" s="24" t="s">
        <v>165</v>
      </c>
      <c r="AJ4" s="71" t="s">
        <v>147</v>
      </c>
    </row>
    <row r="5" spans="1:38" x14ac:dyDescent="0.25">
      <c r="I5" s="103" t="s">
        <v>66</v>
      </c>
      <c r="J5" s="25">
        <f ca="1">MIN(J$65:INDIRECT("G"&amp;$C$61))</f>
        <v>0</v>
      </c>
      <c r="K5" s="25">
        <f ca="1">MIN(K$65:INDIRECT("H"&amp;$C$61))</f>
        <v>0</v>
      </c>
      <c r="L5" s="25">
        <f ca="1">MIN(L$65:INDIRECT("I"&amp;$C$61))</f>
        <v>0</v>
      </c>
      <c r="M5" s="25">
        <f ca="1">MIN(M$65:INDIRECT("J"&amp;$C$61))</f>
        <v>0</v>
      </c>
      <c r="N5" s="25">
        <f ca="1">MIN(N$65:INDIRECT("K"&amp;$C$61))</f>
        <v>0</v>
      </c>
      <c r="O5" s="25">
        <f ca="1">MIN(O$65:INDIRECT("L"&amp;$C$61))</f>
        <v>0</v>
      </c>
      <c r="Q5" s="103" t="s">
        <v>67</v>
      </c>
      <c r="R5" s="25" t="e">
        <f ca="1">SMALL(J$65:INDIRECT("G"&amp;$C$61),2)</f>
        <v>#NUM!</v>
      </c>
      <c r="S5" s="25" t="e">
        <f ca="1">SMALL(K$65:INDIRECT("H"&amp;$C$61),2)</f>
        <v>#NUM!</v>
      </c>
      <c r="T5" s="25" t="e">
        <f ca="1">SMALL(L$65:INDIRECT("I"&amp;$C$61),2)</f>
        <v>#NUM!</v>
      </c>
      <c r="U5" s="25" t="e">
        <f ca="1">SMALL(M$65:INDIRECT("J"&amp;$C$61),2)</f>
        <v>#NUM!</v>
      </c>
      <c r="V5" s="25" t="e">
        <f ca="1">SMALL(N$65:INDIRECT("K"&amp;$C$61),2)</f>
        <v>#NUM!</v>
      </c>
      <c r="W5" s="25" t="e">
        <f ca="1">SMALL(O$65:INDIRECT("L"&amp;$C$61),2)</f>
        <v>#NUM!</v>
      </c>
      <c r="Y5" s="103" t="s">
        <v>68</v>
      </c>
      <c r="Z5" s="25" t="e">
        <f ca="1">SMALL(J$65:INDIRECT("G"&amp;$C$61),3)</f>
        <v>#NUM!</v>
      </c>
      <c r="AA5" s="25" t="e">
        <f ca="1">SMALL(K$65:INDIRECT("H"&amp;$C$61),3)</f>
        <v>#NUM!</v>
      </c>
      <c r="AB5" s="25" t="e">
        <f ca="1">SMALL(L$65:INDIRECT("I"&amp;$C$61),3)</f>
        <v>#NUM!</v>
      </c>
      <c r="AC5" s="25" t="e">
        <f ca="1">SMALL(M$65:INDIRECT("J"&amp;$C$61),3)</f>
        <v>#NUM!</v>
      </c>
      <c r="AD5" s="25" t="e">
        <f ca="1">SMALL(N$65:INDIRECT("K"&amp;$C$61),3)</f>
        <v>#NUM!</v>
      </c>
      <c r="AE5" s="25" t="e">
        <f ca="1">SMALL(O$65:INDIRECT("L"&amp;$C$61),3)</f>
        <v>#NUM!</v>
      </c>
      <c r="AI5" s="24" t="s">
        <v>166</v>
      </c>
      <c r="AJ5" s="70" t="s">
        <v>148</v>
      </c>
    </row>
    <row r="6" spans="1:38" x14ac:dyDescent="0.25">
      <c r="I6" s="103" t="s">
        <v>30</v>
      </c>
      <c r="J6" s="56" t="e">
        <f ca="1">MATCH(MIN(Q$65:INDIRECT(AB14&amp;$C$61)),Q$65:INDIRECT(AB14&amp;$C$61),0)</f>
        <v>#N/A</v>
      </c>
      <c r="K6" s="56" t="e">
        <f ca="1">MATCH(MIN(R$65:INDIRECT(AC14&amp;$C$61)),R$65:INDIRECT(AC14&amp;$C$61),0)</f>
        <v>#N/A</v>
      </c>
      <c r="L6" s="56" t="e">
        <f ca="1">MATCH(MIN(S$65:INDIRECT(AD14&amp;$C$61)),S$65:INDIRECT(AD14&amp;$C$61),0)</f>
        <v>#N/A</v>
      </c>
      <c r="M6" s="56" t="e">
        <f ca="1">MATCH(MIN(T$65:INDIRECT(AE14&amp;$C$61)),T$65:INDIRECT(AE14&amp;$C$61),0)</f>
        <v>#N/A</v>
      </c>
      <c r="N6" s="56" t="e">
        <f ca="1">MATCH(MIN(U$65:INDIRECT(AF14&amp;$C$61)),U$65:INDIRECT(AF14&amp;$C$61),0)</f>
        <v>#N/A</v>
      </c>
      <c r="O6" s="56" t="e">
        <f ca="1">MATCH(MIN(V$65:INDIRECT(AG14&amp;$C$61)),V$65:INDIRECT(AG14&amp;$C$61),0)</f>
        <v>#N/A</v>
      </c>
      <c r="Q6" s="103" t="s">
        <v>30</v>
      </c>
      <c r="R6" s="56" t="e">
        <f ca="1">MATCH(SMALL(Q$65:INDIRECT(AB14&amp;$C$61),2),Q$65:INDIRECT(AB14&amp;$C$61),0)</f>
        <v>#NUM!</v>
      </c>
      <c r="S6" s="56" t="e">
        <f ca="1">MATCH(SMALL(R$65:INDIRECT(AC14&amp;$C$61),2),R$65:INDIRECT(AC14&amp;$C$61),0)</f>
        <v>#NUM!</v>
      </c>
      <c r="T6" s="56" t="e">
        <f ca="1">MATCH(SMALL(S$65:INDIRECT(AD14&amp;$C$61),2),S$65:INDIRECT(AD14&amp;$C$61),0)</f>
        <v>#NUM!</v>
      </c>
      <c r="U6" s="56" t="e">
        <f ca="1">MATCH(SMALL(T$65:INDIRECT(AE14&amp;$C$61),2),T$65:INDIRECT(AE14&amp;$C$61),0)</f>
        <v>#NUM!</v>
      </c>
      <c r="V6" s="56" t="e">
        <f ca="1">MATCH(SMALL(U$65:INDIRECT(AF14&amp;$C$61),2),U$65:INDIRECT(AF14&amp;$C$61),0)</f>
        <v>#NUM!</v>
      </c>
      <c r="W6" s="56" t="e">
        <f ca="1">MATCH(SMALL(V$65:INDIRECT(AG14&amp;$C$61),2),V$65:INDIRECT(AG14&amp;$C$61),0)</f>
        <v>#NUM!</v>
      </c>
      <c r="Y6" s="103" t="s">
        <v>30</v>
      </c>
      <c r="Z6" s="56" t="e">
        <f ca="1">MATCH(SMALL(Q$65:INDIRECT(AB14&amp;$C$61),3),Q$65:INDIRECT(AB14&amp;$C$61),0)</f>
        <v>#NUM!</v>
      </c>
      <c r="AA6" s="56" t="e">
        <f ca="1">MATCH(SMALL(R$65:INDIRECT(AC14&amp;$C$61),3),R$65:INDIRECT(AC14&amp;$C$61),0)</f>
        <v>#NUM!</v>
      </c>
      <c r="AB6" s="56" t="e">
        <f ca="1">MATCH(SMALL(S$65:INDIRECT(AD14&amp;$C$61),3),S$65:INDIRECT(AD14&amp;$C$61),0)</f>
        <v>#NUM!</v>
      </c>
      <c r="AC6" s="56" t="e">
        <f ca="1">MATCH(SMALL(T$65:INDIRECT(AE14&amp;$C$61),3),T$65:INDIRECT(AE14&amp;$C$61),0)</f>
        <v>#NUM!</v>
      </c>
      <c r="AD6" s="56" t="e">
        <f ca="1">MATCH(SMALL(U$65:INDIRECT(AF14&amp;$C$61),3),U$65:INDIRECT(AF14&amp;$C$61),0)</f>
        <v>#NUM!</v>
      </c>
      <c r="AE6" s="56" t="e">
        <f ca="1">MATCH(SMALL(V$65:INDIRECT(AG14&amp;$C$61),3),V$65:INDIRECT(AG14&amp;$C$61),0)</f>
        <v>#NUM!</v>
      </c>
      <c r="AI6" s="24" t="s">
        <v>167</v>
      </c>
      <c r="AJ6" s="70" t="s">
        <v>159</v>
      </c>
    </row>
    <row r="7" spans="1:38" x14ac:dyDescent="0.25">
      <c r="Q7" s="104"/>
      <c r="AJ7" s="72" t="s">
        <v>160</v>
      </c>
    </row>
    <row r="8" spans="1:38" x14ac:dyDescent="0.25">
      <c r="Q8" s="104"/>
      <c r="AJ8" t="s">
        <v>161</v>
      </c>
    </row>
    <row r="9" spans="1:38" x14ac:dyDescent="0.25">
      <c r="Q9" s="104"/>
    </row>
    <row r="10" spans="1:38" x14ac:dyDescent="0.25">
      <c r="Q10" s="104"/>
      <c r="AC10" s="23"/>
      <c r="AD10" s="64" t="s">
        <v>176</v>
      </c>
      <c r="AE10" s="76">
        <v>0</v>
      </c>
      <c r="AF10" t="s">
        <v>183</v>
      </c>
    </row>
    <row r="11" spans="1:38" x14ac:dyDescent="0.25">
      <c r="Q11" s="104"/>
      <c r="AC11" s="23"/>
      <c r="AD11" s="64" t="s">
        <v>177</v>
      </c>
      <c r="AE11" s="76">
        <v>2982</v>
      </c>
    </row>
    <row r="12" spans="1:38" x14ac:dyDescent="0.25">
      <c r="D12" s="69" t="s">
        <v>0</v>
      </c>
      <c r="E12" s="69" t="s">
        <v>266</v>
      </c>
      <c r="F12" s="106" t="s">
        <v>191</v>
      </c>
      <c r="G12" s="28" t="s">
        <v>192</v>
      </c>
      <c r="H12" s="28" t="s">
        <v>193</v>
      </c>
      <c r="I12" s="28" t="s">
        <v>194</v>
      </c>
      <c r="J12" t="s">
        <v>129</v>
      </c>
      <c r="K12" t="s">
        <v>5</v>
      </c>
      <c r="L12" t="s">
        <v>6</v>
      </c>
      <c r="M12" t="s">
        <v>7</v>
      </c>
      <c r="N12" t="s">
        <v>8</v>
      </c>
      <c r="O12" t="s">
        <v>9</v>
      </c>
      <c r="P12" t="s">
        <v>10</v>
      </c>
      <c r="Q12" s="104"/>
      <c r="T12" s="69" t="s">
        <v>122</v>
      </c>
      <c r="U12" s="69" t="s">
        <v>0</v>
      </c>
      <c r="V12" s="69" t="s">
        <v>266</v>
      </c>
      <c r="W12" s="28" t="s">
        <v>191</v>
      </c>
      <c r="X12" s="28" t="s">
        <v>192</v>
      </c>
      <c r="Y12" s="28" t="s">
        <v>193</v>
      </c>
      <c r="Z12" s="28" t="s">
        <v>194</v>
      </c>
      <c r="AA12" s="69" t="s">
        <v>129</v>
      </c>
      <c r="AB12" s="69" t="s">
        <v>123</v>
      </c>
      <c r="AC12" s="69" t="s">
        <v>124</v>
      </c>
      <c r="AD12" s="69" t="s">
        <v>125</v>
      </c>
      <c r="AE12" s="69" t="s">
        <v>126</v>
      </c>
      <c r="AF12" s="69" t="s">
        <v>127</v>
      </c>
      <c r="AG12" s="69" t="s">
        <v>128</v>
      </c>
      <c r="AH12" s="69" t="s">
        <v>153</v>
      </c>
      <c r="AI12" s="69" t="s">
        <v>149</v>
      </c>
      <c r="AJ12" s="69" t="s">
        <v>162</v>
      </c>
      <c r="AL12" s="86"/>
    </row>
    <row r="13" spans="1:38" x14ac:dyDescent="0.25">
      <c r="D13" s="69"/>
      <c r="F13" s="69"/>
      <c r="Q13" s="104"/>
      <c r="T13" s="24"/>
      <c r="AB13" s="69" t="s">
        <v>150</v>
      </c>
      <c r="AC13" s="69" t="s">
        <v>151</v>
      </c>
      <c r="AD13" s="69" t="s">
        <v>152</v>
      </c>
      <c r="AE13" s="69" t="s">
        <v>198</v>
      </c>
      <c r="AF13" s="69" t="s">
        <v>154</v>
      </c>
      <c r="AG13" s="69" t="s">
        <v>155</v>
      </c>
      <c r="AH13" s="69"/>
      <c r="AI13" s="69"/>
      <c r="AJ13" s="69"/>
    </row>
    <row r="14" spans="1:38" x14ac:dyDescent="0.25">
      <c r="C14" s="24" t="s">
        <v>30</v>
      </c>
      <c r="D14" s="69"/>
      <c r="E14" s="69"/>
      <c r="F14" s="69"/>
      <c r="Q14" s="104"/>
      <c r="T14" s="24"/>
      <c r="V14" s="69"/>
      <c r="AB14" s="69" t="s">
        <v>156</v>
      </c>
      <c r="AC14" s="69" t="s">
        <v>157</v>
      </c>
      <c r="AD14" s="69" t="s">
        <v>158</v>
      </c>
      <c r="AE14" s="69" t="s">
        <v>195</v>
      </c>
      <c r="AF14" s="69" t="s">
        <v>196</v>
      </c>
      <c r="AG14" s="69" t="s">
        <v>197</v>
      </c>
      <c r="AH14" s="69"/>
      <c r="AI14" s="69"/>
      <c r="AJ14" s="69"/>
    </row>
    <row r="15" spans="1:38" x14ac:dyDescent="0.25">
      <c r="A15" s="73" t="s">
        <v>69</v>
      </c>
      <c r="B15" s="69" t="s">
        <v>31</v>
      </c>
      <c r="C15" s="73" t="e">
        <f ca="1">J3</f>
        <v>#N/A</v>
      </c>
      <c r="D15" s="69" t="e">
        <f ca="1">INDEX(D$65:INDIRECT("D"&amp;$C$61),$C15)</f>
        <v>#N/A</v>
      </c>
      <c r="E15" s="69" t="e">
        <f ca="1">INDEX(INDIRECT(("'MemberID'!$C$6:C"&amp;MemberID!$C$1)),MATCH(D15,INDIRECT(("'MemberID'!$G$6:G"&amp;MemberID!$C$1)),0))</f>
        <v>#N/A</v>
      </c>
      <c r="F15" s="69" t="e">
        <f ca="1">INDEX(E$65:INDIRECT("E"&amp;$C$61),$C15)</f>
        <v>#N/A</v>
      </c>
      <c r="G15" t="e">
        <f ca="1">INDEX(F$65:INDIRECT("F"&amp;$C$61),$C15)</f>
        <v>#N/A</v>
      </c>
      <c r="H15" t="e">
        <f ca="1">INDEX(G$65:INDIRECT("G"&amp;$C$61),$C15)</f>
        <v>#N/A</v>
      </c>
      <c r="I15" t="e">
        <f ca="1">INDEX(H$65:INDIRECT("H"&amp;$C$61),$C15)</f>
        <v>#N/A</v>
      </c>
      <c r="J15" t="e">
        <f ca="1">INDEX(I$65:INDIRECT("I"&amp;$C$61),$C15)</f>
        <v>#N/A</v>
      </c>
      <c r="K15" s="23" t="e">
        <f ca="1">INDEX(J$65:INDIRECT("J"&amp;$C$61),$C15)</f>
        <v>#N/A</v>
      </c>
      <c r="L15" t="e">
        <f ca="1">INDEX(K$65:INDIRECT("K"&amp;$C$61),$C15)</f>
        <v>#N/A</v>
      </c>
      <c r="M15" t="e">
        <f ca="1">INDEX(L$65:INDIRECT("L"&amp;$C$61),$C15)</f>
        <v>#N/A</v>
      </c>
      <c r="N15" t="e">
        <f ca="1">INDEX(M$65:INDIRECT("M"&amp;$C$61),$C15)</f>
        <v>#N/A</v>
      </c>
      <c r="O15" t="e">
        <f ca="1">INDEX(N$65:INDIRECT("N"&amp;$C$61),$C15)</f>
        <v>#N/A</v>
      </c>
      <c r="P15" t="e">
        <f ca="1">INDEX(O$65:INDIRECT("O"&amp;$C$61),$C15)</f>
        <v>#N/A</v>
      </c>
      <c r="Q15" s="104"/>
      <c r="R15" s="73" t="s">
        <v>69</v>
      </c>
      <c r="S15" s="69" t="s">
        <v>31</v>
      </c>
      <c r="T15" s="73" t="e">
        <f t="array" aca="1" ref="T15" ca="1">MATCH(IF(ISBLANK($AE$11),LARGE(IF($E$65:INDIRECT("E"&amp;$C$61)=$AE$10,INDIRECT(AJ15&amp;65):INDIRECT(AJ15&amp;$C$61)),$AH15),IF(ISBLANK($AE$10),LARGE(IF($D$65:INDIRECT("D"&amp;$C$61)=$AE$11,INDIRECT(AJ15&amp;65):INDIRECT(AJ15&amp;$C$61)),$AH15),LARGE(IF(($E$65:INDIRECT("E"&amp;$C$61)=$AE$10)*($D$65:INDIRECT("D"&amp;$C$61)=$AE$11),INDIRECT(AJ15&amp;65):INDIRECT(AJ15&amp;$C$61)),$AH15))),INDIRECT(AJ15&amp;65):INDIRECT(AJ15&amp;$C$61),0)</f>
        <v>#NUM!</v>
      </c>
      <c r="U15" s="69" t="e">
        <f ca="1">INDEX(D$65:INDIRECT("D"&amp;$C$61),$T15)</f>
        <v>#NUM!</v>
      </c>
      <c r="V15" s="69" t="e">
        <f ca="1">INDEX(INDIRECT(("'MemberID'!$C$6:C"&amp;MemberID!$C$1)),MATCH(U15,INDIRECT(("'MemberID'!$G$6:G"&amp;MemberID!$C$1)),0))</f>
        <v>#NUM!</v>
      </c>
      <c r="W15" s="69" t="e">
        <f ca="1">INDEX(E$65:INDIRECT("E"&amp;$C$61),$T15)</f>
        <v>#NUM!</v>
      </c>
      <c r="X15" t="e">
        <f ca="1">INDEX(F$65:INDIRECT("F"&amp;$C$61),$T15)</f>
        <v>#NUM!</v>
      </c>
      <c r="Y15" t="e">
        <f ca="1">INDEX(G$65:INDIRECT("G"&amp;$C$61),$T15)</f>
        <v>#NUM!</v>
      </c>
      <c r="Z15" t="e">
        <f ca="1">INDEX(H$65:INDIRECT("H"&amp;$C$61),$T15)</f>
        <v>#NUM!</v>
      </c>
      <c r="AA15" t="e">
        <f ca="1">INDEX(I$65:INDIRECT("I"&amp;$C$61),$T15)</f>
        <v>#NUM!</v>
      </c>
      <c r="AB15" s="23" t="e">
        <f t="array" aca="1" ref="AB15" ca="1">IF(ISBLANK($AE$11),LARGE(IF($E$65:INDIRECT("E"&amp;$C$61)=$AE$10,J$65:INDIRECT(AB$13&amp;$C$61)),$AH15),IF(ISBLANK($AE$10),LARGE(IF($D$65:INDIRECT("D"&amp;$C$61)=$AE$11,J$65:INDIRECT(AB$13&amp;$C$61)),$AH15),LARGE(IF(($E$65:INDIRECT("E"&amp;$C$61)=$AE$10)*($D$65:INDIRECT("D"&amp;$C$61)=$AE$11),J$65:INDIRECT(AB$13&amp;$C$61)),$AH15)))</f>
        <v>#NUM!</v>
      </c>
      <c r="AC15" t="e">
        <f ca="1">INDEX(K$65:INDIRECT("K"&amp;$C$61),$T15)</f>
        <v>#NUM!</v>
      </c>
      <c r="AD15" t="e">
        <f ca="1">INDEX(L$65:INDIRECT("L"&amp;$C$61),$T15)</f>
        <v>#NUM!</v>
      </c>
      <c r="AE15" t="e">
        <f ca="1">INDEX(M$65:INDIRECT("M"&amp;$C$61),$T15)</f>
        <v>#NUM!</v>
      </c>
      <c r="AF15" t="e">
        <f ca="1">INDEX(N$65:INDIRECT("N"&amp;$C$61),$T15)</f>
        <v>#NUM!</v>
      </c>
      <c r="AG15" t="e">
        <f ca="1">INDEX(O$65:INDIRECT("O"&amp;$C$61),$T15)</f>
        <v>#NUM!</v>
      </c>
      <c r="AH15" s="69">
        <v>1</v>
      </c>
      <c r="AI15" s="69" t="s">
        <v>150</v>
      </c>
      <c r="AJ15" s="69" t="s">
        <v>156</v>
      </c>
    </row>
    <row r="16" spans="1:38" x14ac:dyDescent="0.25">
      <c r="A16" s="73" t="s">
        <v>70</v>
      </c>
      <c r="B16" s="69" t="s">
        <v>31</v>
      </c>
      <c r="C16" s="73" t="e">
        <f ca="1">R3</f>
        <v>#NUM!</v>
      </c>
      <c r="D16" s="69" t="e">
        <f ca="1">INDEX(D$65:INDIRECT("D"&amp;$C$61),$C16)</f>
        <v>#NUM!</v>
      </c>
      <c r="E16" s="69" t="e">
        <f ca="1">INDEX(INDIRECT(("'MemberID'!$C$6:C"&amp;MemberID!$C$1)),MATCH(D16,INDIRECT(("'MemberID'!$G$6:G"&amp;MemberID!$C$1)),0))</f>
        <v>#NUM!</v>
      </c>
      <c r="F16" s="69" t="e">
        <f ca="1">INDEX(E$65:INDIRECT("E"&amp;$C$61),$C16)</f>
        <v>#NUM!</v>
      </c>
      <c r="G16" t="e">
        <f ca="1">INDEX(F$65:INDIRECT("F"&amp;$C$61),$C16)</f>
        <v>#NUM!</v>
      </c>
      <c r="H16" t="e">
        <f ca="1">INDEX(G$65:INDIRECT("G"&amp;$C$61),$C16)</f>
        <v>#NUM!</v>
      </c>
      <c r="I16" t="e">
        <f ca="1">INDEX(H$65:INDIRECT("H"&amp;$C$61),$C16)</f>
        <v>#NUM!</v>
      </c>
      <c r="J16" t="e">
        <f ca="1">INDEX(I$65:INDIRECT("I"&amp;$C$61),$C16)</f>
        <v>#NUM!</v>
      </c>
      <c r="K16" s="23" t="e">
        <f ca="1">INDEX(J$65:INDIRECT("J"&amp;$C$61),$C16)</f>
        <v>#NUM!</v>
      </c>
      <c r="L16" t="e">
        <f ca="1">INDEX(K$65:INDIRECT("K"&amp;$C$61),$C16)</f>
        <v>#NUM!</v>
      </c>
      <c r="M16" t="e">
        <f ca="1">INDEX(L$65:INDIRECT("L"&amp;$C$61),$C16)</f>
        <v>#NUM!</v>
      </c>
      <c r="N16" t="e">
        <f ca="1">INDEX(M$65:INDIRECT("M"&amp;$C$61),$C16)</f>
        <v>#NUM!</v>
      </c>
      <c r="O16" t="e">
        <f ca="1">INDEX(N$65:INDIRECT("N"&amp;$C$61),$C16)</f>
        <v>#NUM!</v>
      </c>
      <c r="P16" t="e">
        <f ca="1">INDEX(O$65:INDIRECT("O"&amp;$C$61),$C16)</f>
        <v>#NUM!</v>
      </c>
      <c r="Q16" s="104"/>
      <c r="R16" s="73" t="s">
        <v>70</v>
      </c>
      <c r="S16" s="69" t="s">
        <v>31</v>
      </c>
      <c r="T16" s="73" t="e">
        <f t="array" aca="1" ref="T16" ca="1">MATCH(IF(ISBLANK($AE$11),LARGE(IF($E$65:INDIRECT("E"&amp;$C$61)=$AE$10,INDIRECT(AJ16&amp;65):INDIRECT(AJ16&amp;$C$61)),$AH16),IF(ISBLANK($AE$10),LARGE(IF($D$65:INDIRECT("D"&amp;$C$61)=$AE$11,INDIRECT(AJ16&amp;65):INDIRECT(AJ16&amp;$C$61)),$AH16),LARGE(IF(($E$65:INDIRECT("E"&amp;$C$61)=$AE$10)*($D$65:INDIRECT("D"&amp;$C$61)=$AE$11),INDIRECT(AJ16&amp;65):INDIRECT(AJ16&amp;$C$61)),$AH16))),INDIRECT(AJ16&amp;65):INDIRECT(AJ16&amp;$C$61),0)</f>
        <v>#NUM!</v>
      </c>
      <c r="U16" s="69" t="e">
        <f ca="1">INDEX(D$65:INDIRECT("D"&amp;$C$61),$T16)</f>
        <v>#NUM!</v>
      </c>
      <c r="V16" s="69" t="e">
        <f ca="1">INDEX(INDIRECT(("'MemberID'!$C$6:C"&amp;MemberID!$C$1)),MATCH(U16,INDIRECT(("'MemberID'!$G$6:G"&amp;MemberID!$C$1)),0))</f>
        <v>#NUM!</v>
      </c>
      <c r="W16" s="69" t="e">
        <f ca="1">INDEX(E$65:INDIRECT("E"&amp;$C$61),$T16)</f>
        <v>#NUM!</v>
      </c>
      <c r="X16" t="e">
        <f ca="1">INDEX(F$65:INDIRECT("F"&amp;$C$61),$T16)</f>
        <v>#NUM!</v>
      </c>
      <c r="Y16" t="e">
        <f ca="1">INDEX(G$65:INDIRECT("G"&amp;$C$61),$T16)</f>
        <v>#NUM!</v>
      </c>
      <c r="Z16" t="e">
        <f ca="1">INDEX(H$65:INDIRECT("H"&amp;$C$61),$T16)</f>
        <v>#NUM!</v>
      </c>
      <c r="AA16" t="e">
        <f ca="1">INDEX(I$65:INDIRECT("I"&amp;$C$61),$T16)</f>
        <v>#NUM!</v>
      </c>
      <c r="AB16" s="23" t="e">
        <f t="array" aca="1" ref="AB16" ca="1">IF(ISBLANK($AE$11),LARGE(IF($E$65:INDIRECT("E"&amp;$C$61)=$AE$10,J$65:INDIRECT(AB$13&amp;$C$61)),$AH16),IF(ISBLANK($AE$10),LARGE(IF($D$65:INDIRECT("D"&amp;$C$61)=$AE$11,J$65:INDIRECT(AB$13&amp;$C$61)),$AH16),LARGE(IF(($E$65:INDIRECT("E"&amp;$C$61)=$AE$10)*($D$65:INDIRECT("D"&amp;$C$61)=$AE$11),J$65:INDIRECT(AB$13&amp;$C$61)),$AH16)))</f>
        <v>#NUM!</v>
      </c>
      <c r="AC16" t="e">
        <f ca="1">INDEX(K$65:INDIRECT("K"&amp;$C$61),$T16)</f>
        <v>#NUM!</v>
      </c>
      <c r="AD16" t="e">
        <f ca="1">INDEX(L$65:INDIRECT("L"&amp;$C$61),$T16)</f>
        <v>#NUM!</v>
      </c>
      <c r="AE16" t="e">
        <f ca="1">INDEX(M$65:INDIRECT("M"&amp;$C$61),$T16)</f>
        <v>#NUM!</v>
      </c>
      <c r="AF16" t="e">
        <f ca="1">INDEX(N$65:INDIRECT("N"&amp;$C$61),$T16)</f>
        <v>#NUM!</v>
      </c>
      <c r="AG16" t="e">
        <f ca="1">INDEX(O$65:INDIRECT("O"&amp;$C$61),$T16)</f>
        <v>#NUM!</v>
      </c>
      <c r="AH16" s="69">
        <v>2</v>
      </c>
      <c r="AI16" s="69" t="str">
        <f>AI15</f>
        <v>J</v>
      </c>
      <c r="AJ16" s="69" t="str">
        <f>AJ15</f>
        <v>Q</v>
      </c>
    </row>
    <row r="17" spans="1:36" x14ac:dyDescent="0.25">
      <c r="A17" s="73" t="s">
        <v>71</v>
      </c>
      <c r="B17" s="69" t="s">
        <v>31</v>
      </c>
      <c r="C17" s="73" t="e">
        <f ca="1">Z3</f>
        <v>#NUM!</v>
      </c>
      <c r="D17" s="69" t="e">
        <f ca="1">INDEX(D$65:INDIRECT("D"&amp;$C$61),$C17)</f>
        <v>#NUM!</v>
      </c>
      <c r="E17" s="69" t="e">
        <f ca="1">INDEX(INDIRECT(("'MemberID'!$C$6:C"&amp;MemberID!$C$1)),MATCH(D17,INDIRECT(("'MemberID'!$G$6:G"&amp;MemberID!$C$1)),0))</f>
        <v>#NUM!</v>
      </c>
      <c r="F17" s="69" t="e">
        <f ca="1">INDEX(E$65:INDIRECT("E"&amp;$C$61),$C17)</f>
        <v>#NUM!</v>
      </c>
      <c r="G17" t="e">
        <f ca="1">INDEX(F$65:INDIRECT("F"&amp;$C$61),$C17)</f>
        <v>#NUM!</v>
      </c>
      <c r="H17" t="e">
        <f ca="1">INDEX(G$65:INDIRECT("G"&amp;$C$61),$C17)</f>
        <v>#NUM!</v>
      </c>
      <c r="I17" t="e">
        <f ca="1">INDEX(H$65:INDIRECT("H"&amp;$C$61),$C17)</f>
        <v>#NUM!</v>
      </c>
      <c r="J17" t="e">
        <f ca="1">INDEX(I$65:INDIRECT("I"&amp;$C$61),$C17)</f>
        <v>#NUM!</v>
      </c>
      <c r="K17" s="23" t="e">
        <f ca="1">INDEX(J$65:INDIRECT("J"&amp;$C$61),$C17)</f>
        <v>#NUM!</v>
      </c>
      <c r="L17" t="e">
        <f ca="1">INDEX(K$65:INDIRECT("K"&amp;$C$61),$C17)</f>
        <v>#NUM!</v>
      </c>
      <c r="M17" t="e">
        <f ca="1">INDEX(L$65:INDIRECT("L"&amp;$C$61),$C17)</f>
        <v>#NUM!</v>
      </c>
      <c r="N17" t="e">
        <f ca="1">INDEX(M$65:INDIRECT("M"&amp;$C$61),$C17)</f>
        <v>#NUM!</v>
      </c>
      <c r="O17" t="e">
        <f ca="1">INDEX(N$65:INDIRECT("N"&amp;$C$61),$C17)</f>
        <v>#NUM!</v>
      </c>
      <c r="P17" t="e">
        <f ca="1">INDEX(O$65:INDIRECT("O"&amp;$C$61),$C17)</f>
        <v>#NUM!</v>
      </c>
      <c r="Q17" s="104"/>
      <c r="R17" s="73" t="s">
        <v>71</v>
      </c>
      <c r="S17" s="69" t="s">
        <v>31</v>
      </c>
      <c r="T17" s="73" t="e">
        <f t="array" aca="1" ref="T17" ca="1">MATCH(IF(ISBLANK($AE$11),LARGE(IF($E$65:INDIRECT("E"&amp;$C$61)=$AE$10,INDIRECT(AJ17&amp;65):INDIRECT(AJ17&amp;$C$61)),$AH17),IF(ISBLANK($AE$10),LARGE(IF($D$65:INDIRECT("D"&amp;$C$61)=$AE$11,INDIRECT(AJ17&amp;65):INDIRECT(AJ17&amp;$C$61)),$AH17),LARGE(IF(($E$65:INDIRECT("E"&amp;$C$61)=$AE$10)*($D$65:INDIRECT("D"&amp;$C$61)=$AE$11),INDIRECT(AJ17&amp;65):INDIRECT(AJ17&amp;$C$61)),$AH17))),INDIRECT(AJ17&amp;65):INDIRECT(AJ17&amp;$C$61),0)</f>
        <v>#NUM!</v>
      </c>
      <c r="U17" s="69" t="e">
        <f ca="1">INDEX(D$65:INDIRECT("D"&amp;$C$61),$T17)</f>
        <v>#NUM!</v>
      </c>
      <c r="V17" s="69" t="e">
        <f ca="1">INDEX(INDIRECT(("'MemberID'!$C$6:C"&amp;MemberID!$C$1)),MATCH(U17,INDIRECT(("'MemberID'!$G$6:G"&amp;MemberID!$C$1)),0))</f>
        <v>#NUM!</v>
      </c>
      <c r="W17" s="69" t="e">
        <f ca="1">INDEX(E$65:INDIRECT("E"&amp;$C$61),$T17)</f>
        <v>#NUM!</v>
      </c>
      <c r="X17" t="e">
        <f ca="1">INDEX(F$65:INDIRECT("F"&amp;$C$61),$T17)</f>
        <v>#NUM!</v>
      </c>
      <c r="Y17" t="e">
        <f ca="1">INDEX(G$65:INDIRECT("G"&amp;$C$61),$T17)</f>
        <v>#NUM!</v>
      </c>
      <c r="Z17" t="e">
        <f ca="1">INDEX(H$65:INDIRECT("H"&amp;$C$61),$T17)</f>
        <v>#NUM!</v>
      </c>
      <c r="AA17" t="e">
        <f ca="1">INDEX(I$65:INDIRECT("I"&amp;$C$61),$T17)</f>
        <v>#NUM!</v>
      </c>
      <c r="AB17" s="23" t="e">
        <f t="array" aca="1" ref="AB17" ca="1">IF(ISBLANK($AE$11),LARGE(IF($E$65:INDIRECT("E"&amp;$C$61)=$AE$10,J$65:INDIRECT(AB$13&amp;$C$61)),$AH17),IF(ISBLANK($AE$10),LARGE(IF($D$65:INDIRECT("D"&amp;$C$61)=$AE$11,J$65:INDIRECT(AB$13&amp;$C$61)),$AH17),LARGE(IF(($E$65:INDIRECT("E"&amp;$C$61)=$AE$10)*($D$65:INDIRECT("D"&amp;$C$61)=$AE$11),J$65:INDIRECT(AB$13&amp;$C$61)),$AH17)))</f>
        <v>#NUM!</v>
      </c>
      <c r="AC17" t="e">
        <f ca="1">INDEX(K$65:INDIRECT("K"&amp;$C$61),$T17)</f>
        <v>#NUM!</v>
      </c>
      <c r="AD17" t="e">
        <f ca="1">INDEX(L$65:INDIRECT("L"&amp;$C$61),$T17)</f>
        <v>#NUM!</v>
      </c>
      <c r="AE17" t="e">
        <f ca="1">INDEX(M$65:INDIRECT("M"&amp;$C$61),$T17)</f>
        <v>#NUM!</v>
      </c>
      <c r="AF17" t="e">
        <f ca="1">INDEX(N$65:INDIRECT("N"&amp;$C$61),$T17)</f>
        <v>#NUM!</v>
      </c>
      <c r="AG17" t="e">
        <f ca="1">INDEX(O$65:INDIRECT("O"&amp;$C$61),$T17)</f>
        <v>#NUM!</v>
      </c>
      <c r="AH17" s="69">
        <v>3</v>
      </c>
      <c r="AI17" s="69" t="str">
        <f t="shared" ref="AI17:AJ20" si="0">AI16</f>
        <v>J</v>
      </c>
      <c r="AJ17" s="69" t="str">
        <f t="shared" si="0"/>
        <v>Q</v>
      </c>
    </row>
    <row r="18" spans="1:36" x14ac:dyDescent="0.25">
      <c r="A18" s="74" t="s">
        <v>72</v>
      </c>
      <c r="B18" s="69" t="s">
        <v>31</v>
      </c>
      <c r="C18" s="74" t="e">
        <f ca="1">J6</f>
        <v>#N/A</v>
      </c>
      <c r="D18" s="69" t="e">
        <f ca="1">INDEX(D$65:INDIRECT("D"&amp;$C$61),$C18)</f>
        <v>#N/A</v>
      </c>
      <c r="E18" s="69" t="e">
        <f ca="1">INDEX(INDIRECT(("'MemberID'!$C$6:C"&amp;MemberID!$C$1)),MATCH(D18,INDIRECT(("'MemberID'!$G$6:G"&amp;MemberID!$C$1)),0))</f>
        <v>#N/A</v>
      </c>
      <c r="F18" s="69" t="e">
        <f ca="1">INDEX(E$65:INDIRECT("E"&amp;$C$61),$C18)</f>
        <v>#N/A</v>
      </c>
      <c r="G18" t="e">
        <f ca="1">INDEX(F$65:INDIRECT("F"&amp;$C$61),$C18)</f>
        <v>#N/A</v>
      </c>
      <c r="H18" t="e">
        <f ca="1">INDEX(G$65:INDIRECT("G"&amp;$C$61),$C18)</f>
        <v>#N/A</v>
      </c>
      <c r="I18" t="e">
        <f ca="1">INDEX(H$65:INDIRECT("H"&amp;$C$61),$C18)</f>
        <v>#N/A</v>
      </c>
      <c r="J18" t="e">
        <f ca="1">INDEX(I$65:INDIRECT("I"&amp;$C$61),$C18)</f>
        <v>#N/A</v>
      </c>
      <c r="K18" s="23" t="e">
        <f ca="1">INDEX(J$65:INDIRECT("J"&amp;$C$61),$C18)</f>
        <v>#N/A</v>
      </c>
      <c r="L18" t="e">
        <f ca="1">INDEX(K$65:INDIRECT("K"&amp;$C$61),$C18)</f>
        <v>#N/A</v>
      </c>
      <c r="M18" t="e">
        <f ca="1">INDEX(L$65:INDIRECT("L"&amp;$C$61),$C18)</f>
        <v>#N/A</v>
      </c>
      <c r="N18" t="e">
        <f ca="1">INDEX(M$65:INDIRECT("M"&amp;$C$61),$C18)</f>
        <v>#N/A</v>
      </c>
      <c r="O18" t="e">
        <f ca="1">INDEX(N$65:INDIRECT("N"&amp;$C$61),$C18)</f>
        <v>#N/A</v>
      </c>
      <c r="P18" t="e">
        <f ca="1">INDEX(O$65:INDIRECT("O"&amp;$C$61),$C18)</f>
        <v>#N/A</v>
      </c>
      <c r="Q18" s="104"/>
      <c r="R18" s="74" t="s">
        <v>72</v>
      </c>
      <c r="S18" s="69" t="s">
        <v>31</v>
      </c>
      <c r="T18" s="74" t="e">
        <f t="array" aca="1" ref="T18" ca="1">MATCH(IF(ISBLANK($AE$11),SMALL(IF($E$65:INDIRECT("E"&amp;$C$61)=$AE$10,INDIRECT(AJ18&amp;65):INDIRECT(AJ18&amp;$C$61)),$AH18),IF(ISBLANK($AE$10),SMALL(IF($D$65:INDIRECT("D"&amp;$C$61)=$AE$11,INDIRECT(AJ18&amp;65):INDIRECT(AJ18&amp;$C$61)),$AH18),SMALL(IF(($E$65:INDIRECT("E"&amp;$C$61)=$AE$10)*($D$65:INDIRECT("D"&amp;$C$61)=$AE$11),INDIRECT(AJ18&amp;65):INDIRECT(AJ18&amp;$C$61)),$AH18))),INDIRECT(AJ18&amp;65):INDIRECT(AJ18&amp;$C$61),0)</f>
        <v>#NUM!</v>
      </c>
      <c r="U18" s="69" t="e">
        <f ca="1">INDEX(D$65:INDIRECT("D"&amp;$C$61),$T18)</f>
        <v>#NUM!</v>
      </c>
      <c r="V18" s="69" t="e">
        <f ca="1">INDEX(INDIRECT(("'MemberID'!$C$6:C"&amp;MemberID!$C$1)),MATCH(U18,INDIRECT(("'MemberID'!$G$6:G"&amp;MemberID!$C$1)),0))</f>
        <v>#NUM!</v>
      </c>
      <c r="W18" s="69" t="e">
        <f ca="1">INDEX(E$65:INDIRECT("E"&amp;$C$61),$T18)</f>
        <v>#NUM!</v>
      </c>
      <c r="X18" t="e">
        <f ca="1">INDEX(F$65:INDIRECT("F"&amp;$C$61),$T18)</f>
        <v>#NUM!</v>
      </c>
      <c r="Y18" t="e">
        <f ca="1">INDEX(G$65:INDIRECT("G"&amp;$C$61),$T18)</f>
        <v>#NUM!</v>
      </c>
      <c r="Z18" t="e">
        <f ca="1">INDEX(H$65:INDIRECT("H"&amp;$C$61),$T18)</f>
        <v>#NUM!</v>
      </c>
      <c r="AA18" t="e">
        <f ca="1">INDEX(I$65:INDIRECT("I"&amp;$C$61),$T18)</f>
        <v>#NUM!</v>
      </c>
      <c r="AB18" s="23" t="e">
        <f t="array" aca="1" ref="AB18" ca="1">IF(ISBLANK($AE$11),SMALL(IF($E$65:INDIRECT("E"&amp;$C$61)=$AE$10,J$65:INDIRECT(AB$13&amp;$C$61)),$AH18),IF(ISBLANK($AE$10),SMALL(IF($D$65:INDIRECT("D"&amp;$C$61)=$AE$11,J$65:INDIRECT(AB$13&amp;$C$61)),$AH18),SMALL(IF(($E$65:INDIRECT("E"&amp;$C$61)=$AE$10)*($D$65:INDIRECT("D"&amp;$C$61)=$AE$11),J$65:INDIRECT(AB$13&amp;$C$61)),$AH18)))</f>
        <v>#NUM!</v>
      </c>
      <c r="AC18" t="e">
        <f ca="1">INDEX(K$65:INDIRECT("K"&amp;$C$61),$T18)</f>
        <v>#NUM!</v>
      </c>
      <c r="AD18" t="e">
        <f ca="1">INDEX(L$65:INDIRECT("L"&amp;$C$61),$T18)</f>
        <v>#NUM!</v>
      </c>
      <c r="AE18" t="e">
        <f ca="1">INDEX(M$65:INDIRECT("M"&amp;$C$61),$T18)</f>
        <v>#NUM!</v>
      </c>
      <c r="AF18" t="e">
        <f ca="1">INDEX(N$65:INDIRECT("N"&amp;$C$61),$T18)</f>
        <v>#NUM!</v>
      </c>
      <c r="AG18" t="e">
        <f ca="1">INDEX(O$65:INDIRECT("O"&amp;$C$61),$T18)</f>
        <v>#NUM!</v>
      </c>
      <c r="AH18" s="69">
        <v>1</v>
      </c>
      <c r="AI18" s="69" t="str">
        <f t="shared" si="0"/>
        <v>J</v>
      </c>
      <c r="AJ18" s="69" t="str">
        <f t="shared" si="0"/>
        <v>Q</v>
      </c>
    </row>
    <row r="19" spans="1:36" x14ac:dyDescent="0.25">
      <c r="A19" s="74" t="s">
        <v>73</v>
      </c>
      <c r="B19" s="69" t="s">
        <v>31</v>
      </c>
      <c r="C19" s="74" t="e">
        <f ca="1">R6</f>
        <v>#NUM!</v>
      </c>
      <c r="D19" s="69" t="e">
        <f ca="1">INDEX(D$65:INDIRECT("D"&amp;$C$61),$C19)</f>
        <v>#NUM!</v>
      </c>
      <c r="E19" s="69" t="e">
        <f ca="1">INDEX(INDIRECT(("'MemberID'!$C$6:C"&amp;MemberID!$C$1)),MATCH(D19,INDIRECT(("'MemberID'!$G$6:G"&amp;MemberID!$C$1)),0))</f>
        <v>#NUM!</v>
      </c>
      <c r="F19" s="69" t="e">
        <f ca="1">INDEX(E$65:INDIRECT("E"&amp;$C$61),$C19)</f>
        <v>#NUM!</v>
      </c>
      <c r="G19" t="e">
        <f ca="1">INDEX(F$65:INDIRECT("F"&amp;$C$61),$C19)</f>
        <v>#NUM!</v>
      </c>
      <c r="H19" t="e">
        <f ca="1">INDEX(G$65:INDIRECT("G"&amp;$C$61),$C19)</f>
        <v>#NUM!</v>
      </c>
      <c r="I19" t="e">
        <f ca="1">INDEX(H$65:INDIRECT("H"&amp;$C$61),$C19)</f>
        <v>#NUM!</v>
      </c>
      <c r="J19" t="e">
        <f ca="1">INDEX(I$65:INDIRECT("I"&amp;$C$61),$C19)</f>
        <v>#NUM!</v>
      </c>
      <c r="K19" s="23" t="e">
        <f ca="1">INDEX(J$65:INDIRECT("J"&amp;$C$61),$C19)</f>
        <v>#NUM!</v>
      </c>
      <c r="L19" t="e">
        <f ca="1">INDEX(K$65:INDIRECT("K"&amp;$C$61),$C19)</f>
        <v>#NUM!</v>
      </c>
      <c r="M19" t="e">
        <f ca="1">INDEX(L$65:INDIRECT("L"&amp;$C$61),$C19)</f>
        <v>#NUM!</v>
      </c>
      <c r="N19" t="e">
        <f ca="1">INDEX(M$65:INDIRECT("M"&amp;$C$61),$C19)</f>
        <v>#NUM!</v>
      </c>
      <c r="O19" t="e">
        <f ca="1">INDEX(N$65:INDIRECT("N"&amp;$C$61),$C19)</f>
        <v>#NUM!</v>
      </c>
      <c r="P19" t="e">
        <f ca="1">INDEX(O$65:INDIRECT("O"&amp;$C$61),$C19)</f>
        <v>#NUM!</v>
      </c>
      <c r="Q19" s="104"/>
      <c r="R19" s="74" t="s">
        <v>73</v>
      </c>
      <c r="S19" s="69" t="s">
        <v>31</v>
      </c>
      <c r="T19" s="74" t="e">
        <f t="array" aca="1" ref="T19" ca="1">MATCH(IF(ISBLANK($AE$11),SMALL(IF($E$65:INDIRECT("E"&amp;$C$61)=$AE$10,INDIRECT(AJ19&amp;65):INDIRECT(AJ19&amp;$C$61)),$AH19),IF(ISBLANK($AE$10),SMALL(IF($D$65:INDIRECT("D"&amp;$C$61)=$AE$11,INDIRECT(AJ19&amp;65):INDIRECT(AJ19&amp;$C$61)),$AH19),SMALL(IF(($E$65:INDIRECT("E"&amp;$C$61)=$AE$10)*($D$65:INDIRECT("D"&amp;$C$61)=$AE$11),INDIRECT(AJ19&amp;65):INDIRECT(AJ19&amp;$C$61)),$AH19))),INDIRECT(AJ19&amp;65):INDIRECT(AJ19&amp;$C$61),0)</f>
        <v>#NUM!</v>
      </c>
      <c r="U19" s="69" t="e">
        <f ca="1">INDEX(D$65:INDIRECT("D"&amp;$C$61),$T19)</f>
        <v>#NUM!</v>
      </c>
      <c r="V19" s="69" t="e">
        <f ca="1">INDEX(INDIRECT(("'MemberID'!$C$6:C"&amp;MemberID!$C$1)),MATCH(U19,INDIRECT(("'MemberID'!$G$6:G"&amp;MemberID!$C$1)),0))</f>
        <v>#NUM!</v>
      </c>
      <c r="W19" s="69" t="e">
        <f ca="1">INDEX(E$65:INDIRECT("E"&amp;$C$61),$T19)</f>
        <v>#NUM!</v>
      </c>
      <c r="X19" t="e">
        <f ca="1">INDEX(F$65:INDIRECT("F"&amp;$C$61),$T19)</f>
        <v>#NUM!</v>
      </c>
      <c r="Y19" t="e">
        <f ca="1">INDEX(G$65:INDIRECT("G"&amp;$C$61),$T19)</f>
        <v>#NUM!</v>
      </c>
      <c r="Z19" t="e">
        <f ca="1">INDEX(H$65:INDIRECT("H"&amp;$C$61),$T19)</f>
        <v>#NUM!</v>
      </c>
      <c r="AA19" t="e">
        <f ca="1">INDEX(I$65:INDIRECT("I"&amp;$C$61),$T19)</f>
        <v>#NUM!</v>
      </c>
      <c r="AB19" s="23" t="e">
        <f t="array" aca="1" ref="AB19" ca="1">IF(ISBLANK($AE$11),SMALL(IF($E$65:INDIRECT("E"&amp;$C$61)=$AE$10,J$65:INDIRECT(AB$13&amp;$C$61)),$AH19),IF(ISBLANK($AE$10),SMALL(IF($D$65:INDIRECT("D"&amp;$C$61)=$AE$11,J$65:INDIRECT(AB$13&amp;$C$61)),$AH19),SMALL(IF(($E$65:INDIRECT("E"&amp;$C$61)=$AE$10)*($D$65:INDIRECT("D"&amp;$C$61)=$AE$11),J$65:INDIRECT(AB$13&amp;$C$61)),$AH19)))</f>
        <v>#NUM!</v>
      </c>
      <c r="AC19" t="e">
        <f ca="1">INDEX(K$65:INDIRECT("K"&amp;$C$61),$T19)</f>
        <v>#NUM!</v>
      </c>
      <c r="AD19" t="e">
        <f ca="1">INDEX(L$65:INDIRECT("L"&amp;$C$61),$T19)</f>
        <v>#NUM!</v>
      </c>
      <c r="AE19" t="e">
        <f ca="1">INDEX(M$65:INDIRECT("M"&amp;$C$61),$T19)</f>
        <v>#NUM!</v>
      </c>
      <c r="AF19" t="e">
        <f ca="1">INDEX(N$65:INDIRECT("N"&amp;$C$61),$T19)</f>
        <v>#NUM!</v>
      </c>
      <c r="AG19" t="e">
        <f ca="1">INDEX(O$65:INDIRECT("O"&amp;$C$61),$T19)</f>
        <v>#NUM!</v>
      </c>
      <c r="AH19" s="69">
        <v>2</v>
      </c>
      <c r="AI19" s="69" t="str">
        <f t="shared" si="0"/>
        <v>J</v>
      </c>
      <c r="AJ19" s="69" t="str">
        <f t="shared" si="0"/>
        <v>Q</v>
      </c>
    </row>
    <row r="20" spans="1:36" x14ac:dyDescent="0.25">
      <c r="A20" s="74" t="s">
        <v>74</v>
      </c>
      <c r="B20" s="69" t="s">
        <v>31</v>
      </c>
      <c r="C20" s="74" t="e">
        <f ca="1">Z6</f>
        <v>#NUM!</v>
      </c>
      <c r="D20" s="69" t="e">
        <f ca="1">INDEX(D$65:INDIRECT("D"&amp;$C$61),$C20)</f>
        <v>#NUM!</v>
      </c>
      <c r="E20" s="69" t="e">
        <f ca="1">INDEX(INDIRECT(("'MemberID'!$C$6:C"&amp;MemberID!$C$1)),MATCH(D20,INDIRECT(("'MemberID'!$G$6:G"&amp;MemberID!$C$1)),0))</f>
        <v>#NUM!</v>
      </c>
      <c r="F20" s="69" t="e">
        <f ca="1">INDEX(E$65:INDIRECT("E"&amp;$C$61),$C20)</f>
        <v>#NUM!</v>
      </c>
      <c r="G20" t="e">
        <f ca="1">INDEX(F$65:INDIRECT("F"&amp;$C$61),$C20)</f>
        <v>#NUM!</v>
      </c>
      <c r="H20" t="e">
        <f ca="1">INDEX(G$65:INDIRECT("G"&amp;$C$61),$C20)</f>
        <v>#NUM!</v>
      </c>
      <c r="I20" t="e">
        <f ca="1">INDEX(H$65:INDIRECT("H"&amp;$C$61),$C20)</f>
        <v>#NUM!</v>
      </c>
      <c r="J20" t="e">
        <f ca="1">INDEX(I$65:INDIRECT("I"&amp;$C$61),$C20)</f>
        <v>#NUM!</v>
      </c>
      <c r="K20" s="23" t="e">
        <f ca="1">INDEX(J$65:INDIRECT("J"&amp;$C$61),$C20)</f>
        <v>#NUM!</v>
      </c>
      <c r="L20" t="e">
        <f ca="1">INDEX(K$65:INDIRECT("K"&amp;$C$61),$C20)</f>
        <v>#NUM!</v>
      </c>
      <c r="M20" t="e">
        <f ca="1">INDEX(L$65:INDIRECT("L"&amp;$C$61),$C20)</f>
        <v>#NUM!</v>
      </c>
      <c r="N20" t="e">
        <f ca="1">INDEX(M$65:INDIRECT("M"&amp;$C$61),$C20)</f>
        <v>#NUM!</v>
      </c>
      <c r="O20" t="e">
        <f ca="1">INDEX(N$65:INDIRECT("N"&amp;$C$61),$C20)</f>
        <v>#NUM!</v>
      </c>
      <c r="P20" t="e">
        <f ca="1">INDEX(O$65:INDIRECT("O"&amp;$C$61),$C20)</f>
        <v>#NUM!</v>
      </c>
      <c r="Q20" s="104"/>
      <c r="R20" s="74" t="s">
        <v>74</v>
      </c>
      <c r="S20" s="69" t="s">
        <v>31</v>
      </c>
      <c r="T20" s="74" t="e">
        <f t="array" aca="1" ref="T20" ca="1">MATCH(IF(ISBLANK($AE$11),SMALL(IF($E$65:INDIRECT("E"&amp;$C$61)=$AE$10,INDIRECT(AJ20&amp;65):INDIRECT(AJ20&amp;$C$61)),$AH20),IF(ISBLANK($AE$10),SMALL(IF($D$65:INDIRECT("D"&amp;$C$61)=$AE$11,INDIRECT(AJ20&amp;65):INDIRECT(AJ20&amp;$C$61)),$AH20),SMALL(IF(($E$65:INDIRECT("E"&amp;$C$61)=$AE$10)*($D$65:INDIRECT("D"&amp;$C$61)=$AE$11),INDIRECT(AJ20&amp;65):INDIRECT(AJ20&amp;$C$61)),$AH20))),INDIRECT(AJ20&amp;65):INDIRECT(AJ20&amp;$C$61),0)</f>
        <v>#NUM!</v>
      </c>
      <c r="U20" s="69" t="e">
        <f ca="1">INDEX(D$65:INDIRECT("D"&amp;$C$61),$T20)</f>
        <v>#NUM!</v>
      </c>
      <c r="V20" s="69" t="e">
        <f ca="1">INDEX(INDIRECT(("'MemberID'!$C$6:C"&amp;MemberID!$C$1)),MATCH(U20,INDIRECT(("'MemberID'!$G$6:G"&amp;MemberID!$C$1)),0))</f>
        <v>#NUM!</v>
      </c>
      <c r="W20" s="69" t="e">
        <f ca="1">INDEX(E$65:INDIRECT("E"&amp;$C$61),$T20)</f>
        <v>#NUM!</v>
      </c>
      <c r="X20" t="e">
        <f ca="1">INDEX(F$65:INDIRECT("F"&amp;$C$61),$T20)</f>
        <v>#NUM!</v>
      </c>
      <c r="Y20" t="e">
        <f ca="1">INDEX(G$65:INDIRECT("G"&amp;$C$61),$T20)</f>
        <v>#NUM!</v>
      </c>
      <c r="Z20" t="e">
        <f ca="1">INDEX(H$65:INDIRECT("H"&amp;$C$61),$T20)</f>
        <v>#NUM!</v>
      </c>
      <c r="AA20" t="e">
        <f ca="1">INDEX(I$65:INDIRECT("I"&amp;$C$61),$T20)</f>
        <v>#NUM!</v>
      </c>
      <c r="AB20" s="23" t="e">
        <f t="array" aca="1" ref="AB20" ca="1">IF(ISBLANK($AE$11),SMALL(IF($E$65:INDIRECT("E"&amp;$C$61)=$AE$10,J$65:INDIRECT(AB$13&amp;$C$61)),$AH20),IF(ISBLANK($AE$10),SMALL(IF($D$65:INDIRECT("D"&amp;$C$61)=$AE$11,J$65:INDIRECT(AB$13&amp;$C$61)),$AH20),SMALL(IF(($E$65:INDIRECT("E"&amp;$C$61)=$AE$10)*($D$65:INDIRECT("D"&amp;$C$61)=$AE$11),J$65:INDIRECT(AB$13&amp;$C$61)),$AH20)))</f>
        <v>#NUM!</v>
      </c>
      <c r="AC20" t="e">
        <f ca="1">INDEX(K$65:INDIRECT("K"&amp;$C$61),$T20)</f>
        <v>#NUM!</v>
      </c>
      <c r="AD20" t="e">
        <f ca="1">INDEX(L$65:INDIRECT("L"&amp;$C$61),$T20)</f>
        <v>#NUM!</v>
      </c>
      <c r="AE20" t="e">
        <f ca="1">INDEX(M$65:INDIRECT("M"&amp;$C$61),$T20)</f>
        <v>#NUM!</v>
      </c>
      <c r="AF20" t="e">
        <f ca="1">INDEX(N$65:INDIRECT("N"&amp;$C$61),$T20)</f>
        <v>#NUM!</v>
      </c>
      <c r="AG20" t="e">
        <f ca="1">INDEX(O$65:INDIRECT("O"&amp;$C$61),$T20)</f>
        <v>#NUM!</v>
      </c>
      <c r="AH20" s="69">
        <v>3</v>
      </c>
      <c r="AI20" s="69" t="str">
        <f t="shared" si="0"/>
        <v>J</v>
      </c>
      <c r="AJ20" s="69" t="str">
        <f t="shared" si="0"/>
        <v>Q</v>
      </c>
    </row>
    <row r="21" spans="1:36" x14ac:dyDescent="0.25">
      <c r="A21" s="5"/>
      <c r="B21" s="69"/>
      <c r="C21" s="69"/>
      <c r="D21" s="69"/>
      <c r="E21" s="69"/>
      <c r="F21" s="69"/>
      <c r="J21" s="7"/>
      <c r="K21" s="7"/>
      <c r="L21" s="7"/>
      <c r="Q21" s="104"/>
      <c r="R21" s="5"/>
      <c r="S21" s="69"/>
      <c r="T21" s="69"/>
      <c r="V21" s="69"/>
      <c r="W21" s="69"/>
      <c r="AH21" s="69"/>
      <c r="AI21" s="69"/>
      <c r="AJ21" s="69"/>
    </row>
    <row r="22" spans="1:36" x14ac:dyDescent="0.25">
      <c r="A22" s="73" t="s">
        <v>69</v>
      </c>
      <c r="B22" s="69" t="s">
        <v>32</v>
      </c>
      <c r="C22" s="73" t="e">
        <f ca="1">K3</f>
        <v>#N/A</v>
      </c>
      <c r="D22" s="69" t="e">
        <f ca="1">INDEX(D$65:INDIRECT("D"&amp;$C$61),$C22)</f>
        <v>#N/A</v>
      </c>
      <c r="E22" s="69" t="e">
        <f ca="1">INDEX(INDIRECT(("'MemberID'!$C$6:C"&amp;MemberID!$C$1)),MATCH(D22,INDIRECT(("'MemberID'!$G$6:G"&amp;MemberID!$C$1)),0))</f>
        <v>#N/A</v>
      </c>
      <c r="F22" s="69" t="e">
        <f ca="1">INDEX(E$65:INDIRECT("E"&amp;$C$61),$C22)</f>
        <v>#N/A</v>
      </c>
      <c r="G22" t="e">
        <f ca="1">INDEX(F$65:INDIRECT("F"&amp;$C$61),$C22)</f>
        <v>#N/A</v>
      </c>
      <c r="H22" t="e">
        <f ca="1">INDEX(G$65:INDIRECT("G"&amp;$C$61),$C22)</f>
        <v>#N/A</v>
      </c>
      <c r="I22" t="e">
        <f ca="1">INDEX(H$65:INDIRECT("H"&amp;$C$61),$C22)</f>
        <v>#N/A</v>
      </c>
      <c r="J22" t="e">
        <f ca="1">INDEX(I$65:INDIRECT("I"&amp;$C$61),$C22)</f>
        <v>#N/A</v>
      </c>
      <c r="K22" s="7" t="e">
        <f ca="1">INDEX(J$65:INDIRECT("J"&amp;$C$61),$C22)</f>
        <v>#N/A</v>
      </c>
      <c r="L22" s="23" t="e">
        <f ca="1">INDEX(K$65:INDIRECT("K"&amp;$C$61),$C22)</f>
        <v>#N/A</v>
      </c>
      <c r="M22" t="e">
        <f ca="1">INDEX(L$65:INDIRECT("L"&amp;$C$61),$C22)</f>
        <v>#N/A</v>
      </c>
      <c r="N22" t="e">
        <f ca="1">INDEX(M$65:INDIRECT("M"&amp;$C$61),$C22)</f>
        <v>#N/A</v>
      </c>
      <c r="O22" t="e">
        <f ca="1">INDEX(N$65:INDIRECT("N"&amp;$C$61),$C22)</f>
        <v>#N/A</v>
      </c>
      <c r="P22" t="e">
        <f ca="1">INDEX(O$65:INDIRECT("O"&amp;$C$61),$C22)</f>
        <v>#N/A</v>
      </c>
      <c r="Q22" s="104"/>
      <c r="R22" s="73" t="s">
        <v>69</v>
      </c>
      <c r="S22" s="69" t="s">
        <v>32</v>
      </c>
      <c r="T22" s="73" t="e">
        <f t="array" aca="1" ref="T22" ca="1">MATCH(IF(ISBLANK($AE$11),LARGE(IF($E$65:INDIRECT("E"&amp;$C$61)=$AE$10,INDIRECT(AJ22&amp;65):INDIRECT(AJ22&amp;$C$61)),$AH22),IF(ISBLANK($AE$10),LARGE(IF($D$65:INDIRECT("D"&amp;$C$61)=$AE$11,INDIRECT(AJ22&amp;65):INDIRECT(AJ22&amp;$C$61)),$AH22),LARGE(IF(($E$65:INDIRECT("E"&amp;$C$61)=$AE$10)*($D$65:INDIRECT("D"&amp;$C$61)=$AE$11),INDIRECT(AJ22&amp;65):INDIRECT(AJ22&amp;$C$61)),$AH22))),INDIRECT(AJ22&amp;65):INDIRECT(AJ22&amp;$C$61),0)</f>
        <v>#NUM!</v>
      </c>
      <c r="U22" s="69" t="e">
        <f ca="1">INDEX(D$65:INDIRECT("D"&amp;$C$61),$T22)</f>
        <v>#NUM!</v>
      </c>
      <c r="V22" s="69" t="e">
        <f ca="1">INDEX(INDIRECT(("'MemberID'!$C$6:C"&amp;MemberID!$C$1)),MATCH(U22,INDIRECT(("'MemberID'!$G$6:G"&amp;MemberID!$C$1)),0))</f>
        <v>#NUM!</v>
      </c>
      <c r="W22" s="69" t="e">
        <f ca="1">INDEX(E$65:INDIRECT("E"&amp;$C$61),$T22)</f>
        <v>#NUM!</v>
      </c>
      <c r="X22" t="e">
        <f ca="1">INDEX(F$65:INDIRECT("F"&amp;$C$61),$T22)</f>
        <v>#NUM!</v>
      </c>
      <c r="Y22" t="e">
        <f ca="1">INDEX(G$65:INDIRECT("G"&amp;$C$61),$T22)</f>
        <v>#NUM!</v>
      </c>
      <c r="Z22" t="e">
        <f ca="1">INDEX(H$65:INDIRECT("H"&amp;$C$61),$T22)</f>
        <v>#NUM!</v>
      </c>
      <c r="AA22" t="e">
        <f ca="1">INDEX(I$65:INDIRECT("I"&amp;$C$61),$T22)</f>
        <v>#NUM!</v>
      </c>
      <c r="AB22" t="e">
        <f ca="1">INDEX(J$65:INDIRECT("J"&amp;$C$61),$T22)</f>
        <v>#NUM!</v>
      </c>
      <c r="AC22" s="23" t="e">
        <f t="array" aca="1" ref="AC22" ca="1">IF(ISBLANK($AE$11),LARGE(IF($E$65:INDIRECT("E"&amp;$C$61)=$AE$10,K$65:INDIRECT(AC$13&amp;$C$61)),$AH22),IF(ISBLANK($AE$10),LARGE(IF($D$65:INDIRECT("D"&amp;$C$61)=$AE$11,K$65:INDIRECT(AC$13&amp;$C$61)),$AH22),LARGE(IF(($E$65:INDIRECT("E"&amp;$C$61)=$AE$10)*($D$65:INDIRECT("D"&amp;$C$61)=$AE$11),K$65:INDIRECT(AC$13&amp;$C$61)),$AH22)))</f>
        <v>#NUM!</v>
      </c>
      <c r="AD22" t="e">
        <f ca="1">INDEX(L$65:INDIRECT("L"&amp;$C$61),$T22)</f>
        <v>#NUM!</v>
      </c>
      <c r="AE22" t="e">
        <f ca="1">INDEX(M$65:INDIRECT("M"&amp;$C$61),$T22)</f>
        <v>#NUM!</v>
      </c>
      <c r="AF22" t="e">
        <f ca="1">INDEX(N$65:INDIRECT("N"&amp;$C$61),$T22)</f>
        <v>#NUM!</v>
      </c>
      <c r="AG22" t="e">
        <f ca="1">INDEX(O$65:INDIRECT("O"&amp;$C$61),$T22)</f>
        <v>#NUM!</v>
      </c>
      <c r="AH22" s="69">
        <v>1</v>
      </c>
      <c r="AI22" s="69" t="s">
        <v>151</v>
      </c>
      <c r="AJ22" s="69" t="s">
        <v>157</v>
      </c>
    </row>
    <row r="23" spans="1:36" x14ac:dyDescent="0.25">
      <c r="A23" s="73" t="s">
        <v>70</v>
      </c>
      <c r="B23" s="69" t="s">
        <v>32</v>
      </c>
      <c r="C23" s="73" t="e">
        <f ca="1">S3</f>
        <v>#NUM!</v>
      </c>
      <c r="D23" s="69" t="e">
        <f ca="1">INDEX(D$65:INDIRECT("D"&amp;$C$61),$C23)</f>
        <v>#NUM!</v>
      </c>
      <c r="E23" s="69" t="e">
        <f ca="1">INDEX(INDIRECT(("'MemberID'!$C$6:C"&amp;MemberID!$C$1)),MATCH(D23,INDIRECT(("'MemberID'!$G$6:G"&amp;MemberID!$C$1)),0))</f>
        <v>#NUM!</v>
      </c>
      <c r="F23" s="69" t="e">
        <f ca="1">INDEX(E$65:INDIRECT("E"&amp;$C$61),$C23)</f>
        <v>#NUM!</v>
      </c>
      <c r="G23" t="e">
        <f ca="1">INDEX(F$65:INDIRECT("F"&amp;$C$61),$C23)</f>
        <v>#NUM!</v>
      </c>
      <c r="H23" t="e">
        <f ca="1">INDEX(G$65:INDIRECT("G"&amp;$C$61),$C23)</f>
        <v>#NUM!</v>
      </c>
      <c r="I23" t="e">
        <f ca="1">INDEX(H$65:INDIRECT("H"&amp;$C$61),$C23)</f>
        <v>#NUM!</v>
      </c>
      <c r="J23" t="e">
        <f ca="1">INDEX(I$65:INDIRECT("I"&amp;$C$61),$C23)</f>
        <v>#NUM!</v>
      </c>
      <c r="K23" s="7" t="e">
        <f ca="1">INDEX(J$65:INDIRECT("J"&amp;$C$61),$C23)</f>
        <v>#NUM!</v>
      </c>
      <c r="L23" s="23" t="e">
        <f ca="1">INDEX(K$65:INDIRECT("K"&amp;$C$61),$C23)</f>
        <v>#NUM!</v>
      </c>
      <c r="M23" t="e">
        <f ca="1">INDEX(L$65:INDIRECT("L"&amp;$C$61),$C23)</f>
        <v>#NUM!</v>
      </c>
      <c r="N23" t="e">
        <f ca="1">INDEX(M$65:INDIRECT("M"&amp;$C$61),$C23)</f>
        <v>#NUM!</v>
      </c>
      <c r="O23" t="e">
        <f ca="1">INDEX(N$65:INDIRECT("N"&amp;$C$61),$C23)</f>
        <v>#NUM!</v>
      </c>
      <c r="P23" t="e">
        <f ca="1">INDEX(O$65:INDIRECT("O"&amp;$C$61),$C23)</f>
        <v>#NUM!</v>
      </c>
      <c r="Q23" s="104"/>
      <c r="R23" s="73" t="s">
        <v>70</v>
      </c>
      <c r="S23" s="69" t="s">
        <v>32</v>
      </c>
      <c r="T23" s="73" t="e">
        <f t="array" aca="1" ref="T23" ca="1">MATCH(IF(ISBLANK($AE$11),LARGE(IF($E$65:INDIRECT("E"&amp;$C$61)=$AE$10,INDIRECT(AJ23&amp;65):INDIRECT(AJ23&amp;$C$61)),$AH23),IF(ISBLANK($AE$10),LARGE(IF($D$65:INDIRECT("D"&amp;$C$61)=$AE$11,INDIRECT(AJ23&amp;65):INDIRECT(AJ23&amp;$C$61)),$AH23),LARGE(IF(($E$65:INDIRECT("E"&amp;$C$61)=$AE$10)*($D$65:INDIRECT("D"&amp;$C$61)=$AE$11),INDIRECT(AJ23&amp;65):INDIRECT(AJ23&amp;$C$61)),$AH23))),INDIRECT(AJ23&amp;65):INDIRECT(AJ23&amp;$C$61),0)</f>
        <v>#NUM!</v>
      </c>
      <c r="U23" s="69" t="e">
        <f ca="1">INDEX(D$65:INDIRECT("D"&amp;$C$61),$T23)</f>
        <v>#NUM!</v>
      </c>
      <c r="V23" s="69" t="e">
        <f ca="1">INDEX(INDIRECT(("'MemberID'!$C$6:C"&amp;MemberID!$C$1)),MATCH(U23,INDIRECT(("'MemberID'!$G$6:G"&amp;MemberID!$C$1)),0))</f>
        <v>#NUM!</v>
      </c>
      <c r="W23" s="69" t="e">
        <f ca="1">INDEX(E$65:INDIRECT("E"&amp;$C$61),$T23)</f>
        <v>#NUM!</v>
      </c>
      <c r="X23" t="e">
        <f ca="1">INDEX(F$65:INDIRECT("F"&amp;$C$61),$T23)</f>
        <v>#NUM!</v>
      </c>
      <c r="Y23" t="e">
        <f ca="1">INDEX(G$65:INDIRECT("G"&amp;$C$61),$T23)</f>
        <v>#NUM!</v>
      </c>
      <c r="Z23" t="e">
        <f ca="1">INDEX(H$65:INDIRECT("H"&amp;$C$61),$T23)</f>
        <v>#NUM!</v>
      </c>
      <c r="AA23" t="e">
        <f ca="1">INDEX(I$65:INDIRECT("I"&amp;$C$61),$T23)</f>
        <v>#NUM!</v>
      </c>
      <c r="AB23" t="e">
        <f ca="1">INDEX(J$65:INDIRECT("J"&amp;$C$61),$T23)</f>
        <v>#NUM!</v>
      </c>
      <c r="AC23" s="23" t="e">
        <f t="array" aca="1" ref="AC23" ca="1">IF(ISBLANK($AE$11),LARGE(IF($E$65:INDIRECT("E"&amp;$C$61)=$AE$10,K$65:INDIRECT(AC$13&amp;$C$61)),$AH23),IF(ISBLANK($AE$10),LARGE(IF($D$65:INDIRECT("D"&amp;$C$61)=$AE$11,K$65:INDIRECT(AC$13&amp;$C$61)),$AH23),LARGE(IF(($E$65:INDIRECT("E"&amp;$C$61)=$AE$10)*($D$65:INDIRECT("D"&amp;$C$61)=$AE$11),K$65:INDIRECT(AC$13&amp;$C$61)),$AH23)))</f>
        <v>#NUM!</v>
      </c>
      <c r="AD23" t="e">
        <f ca="1">INDEX(L$65:INDIRECT("L"&amp;$C$61),$T23)</f>
        <v>#NUM!</v>
      </c>
      <c r="AE23" t="e">
        <f ca="1">INDEX(M$65:INDIRECT("M"&amp;$C$61),$T23)</f>
        <v>#NUM!</v>
      </c>
      <c r="AF23" t="e">
        <f ca="1">INDEX(N$65:INDIRECT("N"&amp;$C$61),$T23)</f>
        <v>#NUM!</v>
      </c>
      <c r="AG23" t="e">
        <f ca="1">INDEX(O$65:INDIRECT("O"&amp;$C$61),$T23)</f>
        <v>#NUM!</v>
      </c>
      <c r="AH23" s="69">
        <v>2</v>
      </c>
      <c r="AI23" s="69" t="str">
        <f>AI22</f>
        <v>K</v>
      </c>
      <c r="AJ23" s="69" t="str">
        <f>AJ22</f>
        <v>R</v>
      </c>
    </row>
    <row r="24" spans="1:36" x14ac:dyDescent="0.25">
      <c r="A24" s="73" t="s">
        <v>71</v>
      </c>
      <c r="B24" s="69" t="s">
        <v>32</v>
      </c>
      <c r="C24" s="73" t="e">
        <f ca="1">AA3</f>
        <v>#NUM!</v>
      </c>
      <c r="D24" s="69" t="e">
        <f ca="1">INDEX(D$65:INDIRECT("D"&amp;$C$61),$C24)</f>
        <v>#NUM!</v>
      </c>
      <c r="E24" s="69" t="e">
        <f ca="1">INDEX(INDIRECT(("'MemberID'!$C$6:C"&amp;MemberID!$C$1)),MATCH(D24,INDIRECT(("'MemberID'!$G$6:G"&amp;MemberID!$C$1)),0))</f>
        <v>#NUM!</v>
      </c>
      <c r="F24" s="69" t="e">
        <f ca="1">INDEX(E$65:INDIRECT("E"&amp;$C$61),$C24)</f>
        <v>#NUM!</v>
      </c>
      <c r="G24" t="e">
        <f ca="1">INDEX(F$65:INDIRECT("F"&amp;$C$61),$C24)</f>
        <v>#NUM!</v>
      </c>
      <c r="H24" t="e">
        <f ca="1">INDEX(G$65:INDIRECT("G"&amp;$C$61),$C24)</f>
        <v>#NUM!</v>
      </c>
      <c r="I24" t="e">
        <f ca="1">INDEX(H$65:INDIRECT("H"&amp;$C$61),$C24)</f>
        <v>#NUM!</v>
      </c>
      <c r="J24" t="e">
        <f ca="1">INDEX(I$65:INDIRECT("I"&amp;$C$61),$C24)</f>
        <v>#NUM!</v>
      </c>
      <c r="K24" s="7" t="e">
        <f ca="1">INDEX(J$65:INDIRECT("J"&amp;$C$61),$C24)</f>
        <v>#NUM!</v>
      </c>
      <c r="L24" s="23" t="e">
        <f ca="1">INDEX(K$65:INDIRECT("K"&amp;$C$61),$C24)</f>
        <v>#NUM!</v>
      </c>
      <c r="M24" t="e">
        <f ca="1">INDEX(L$65:INDIRECT("L"&amp;$C$61),$C24)</f>
        <v>#NUM!</v>
      </c>
      <c r="N24" t="e">
        <f ca="1">INDEX(M$65:INDIRECT("M"&amp;$C$61),$C24)</f>
        <v>#NUM!</v>
      </c>
      <c r="O24" t="e">
        <f ca="1">INDEX(N$65:INDIRECT("N"&amp;$C$61),$C24)</f>
        <v>#NUM!</v>
      </c>
      <c r="P24" t="e">
        <f ca="1">INDEX(O$65:INDIRECT("O"&amp;$C$61),$C24)</f>
        <v>#NUM!</v>
      </c>
      <c r="Q24" s="104"/>
      <c r="R24" s="73" t="s">
        <v>71</v>
      </c>
      <c r="S24" s="69" t="s">
        <v>32</v>
      </c>
      <c r="T24" s="73" t="e">
        <f t="array" aca="1" ref="T24" ca="1">MATCH(IF(ISBLANK($AE$11),LARGE(IF($E$65:INDIRECT("E"&amp;$C$61)=$AE$10,INDIRECT(AJ24&amp;65):INDIRECT(AJ24&amp;$C$61)),$AH24),IF(ISBLANK($AE$10),LARGE(IF($D$65:INDIRECT("D"&amp;$C$61)=$AE$11,INDIRECT(AJ24&amp;65):INDIRECT(AJ24&amp;$C$61)),$AH24),LARGE(IF(($E$65:INDIRECT("E"&amp;$C$61)=$AE$10)*($D$65:INDIRECT("D"&amp;$C$61)=$AE$11),INDIRECT(AJ24&amp;65):INDIRECT(AJ24&amp;$C$61)),$AH24))),INDIRECT(AJ24&amp;65):INDIRECT(AJ24&amp;$C$61),0)</f>
        <v>#NUM!</v>
      </c>
      <c r="U24" s="69" t="e">
        <f ca="1">INDEX(D$65:INDIRECT("D"&amp;$C$61),$T24)</f>
        <v>#NUM!</v>
      </c>
      <c r="V24" s="69" t="e">
        <f ca="1">INDEX(INDIRECT(("'MemberID'!$C$6:C"&amp;MemberID!$C$1)),MATCH(U24,INDIRECT(("'MemberID'!$G$6:G"&amp;MemberID!$C$1)),0))</f>
        <v>#NUM!</v>
      </c>
      <c r="W24" s="69" t="e">
        <f ca="1">INDEX(E$65:INDIRECT("E"&amp;$C$61),$T24)</f>
        <v>#NUM!</v>
      </c>
      <c r="X24" t="e">
        <f ca="1">INDEX(F$65:INDIRECT("F"&amp;$C$61),$T24)</f>
        <v>#NUM!</v>
      </c>
      <c r="Y24" t="e">
        <f ca="1">INDEX(G$65:INDIRECT("G"&amp;$C$61),$T24)</f>
        <v>#NUM!</v>
      </c>
      <c r="Z24" t="e">
        <f ca="1">INDEX(H$65:INDIRECT("H"&amp;$C$61),$T24)</f>
        <v>#NUM!</v>
      </c>
      <c r="AA24" t="e">
        <f ca="1">INDEX(I$65:INDIRECT("I"&amp;$C$61),$T24)</f>
        <v>#NUM!</v>
      </c>
      <c r="AB24" t="e">
        <f ca="1">INDEX(J$65:INDIRECT("J"&amp;$C$61),$T24)</f>
        <v>#NUM!</v>
      </c>
      <c r="AC24" s="23" t="e">
        <f t="array" aca="1" ref="AC24" ca="1">IF(ISBLANK($AE$11),LARGE(IF($E$65:INDIRECT("E"&amp;$C$61)=$AE$10,K$65:INDIRECT(AC$13&amp;$C$61)),$AH24),IF(ISBLANK($AE$10),LARGE(IF($D$65:INDIRECT("D"&amp;$C$61)=$AE$11,K$65:INDIRECT(AC$13&amp;$C$61)),$AH24),LARGE(IF(($E$65:INDIRECT("E"&amp;$C$61)=$AE$10)*($D$65:INDIRECT("D"&amp;$C$61)=$AE$11),K$65:INDIRECT(AC$13&amp;$C$61)),$AH24)))</f>
        <v>#NUM!</v>
      </c>
      <c r="AD24" t="e">
        <f ca="1">INDEX(L$65:INDIRECT("L"&amp;$C$61),$T24)</f>
        <v>#NUM!</v>
      </c>
      <c r="AE24" t="e">
        <f ca="1">INDEX(M$65:INDIRECT("M"&amp;$C$61),$T24)</f>
        <v>#NUM!</v>
      </c>
      <c r="AF24" t="e">
        <f ca="1">INDEX(N$65:INDIRECT("N"&amp;$C$61),$T24)</f>
        <v>#NUM!</v>
      </c>
      <c r="AG24" t="e">
        <f ca="1">INDEX(O$65:INDIRECT("O"&amp;$C$61),$T24)</f>
        <v>#NUM!</v>
      </c>
      <c r="AH24" s="69">
        <v>3</v>
      </c>
      <c r="AI24" s="69" t="str">
        <f t="shared" ref="AI24:AJ27" si="1">AI23</f>
        <v>K</v>
      </c>
      <c r="AJ24" s="69" t="str">
        <f t="shared" si="1"/>
        <v>R</v>
      </c>
    </row>
    <row r="25" spans="1:36" x14ac:dyDescent="0.25">
      <c r="A25" s="74" t="s">
        <v>72</v>
      </c>
      <c r="B25" s="69" t="s">
        <v>32</v>
      </c>
      <c r="C25" s="74" t="e">
        <f ca="1">K6</f>
        <v>#N/A</v>
      </c>
      <c r="D25" s="69" t="e">
        <f ca="1">INDEX(D$65:INDIRECT("D"&amp;$C$61),$C25)</f>
        <v>#N/A</v>
      </c>
      <c r="E25" s="69" t="e">
        <f ca="1">INDEX(INDIRECT(("'MemberID'!$C$6:C"&amp;MemberID!$C$1)),MATCH(D25,INDIRECT(("'MemberID'!$G$6:G"&amp;MemberID!$C$1)),0))</f>
        <v>#N/A</v>
      </c>
      <c r="F25" s="69" t="e">
        <f ca="1">INDEX(E$65:INDIRECT("E"&amp;$C$61),$C25)</f>
        <v>#N/A</v>
      </c>
      <c r="G25" t="e">
        <f ca="1">INDEX(F$65:INDIRECT("F"&amp;$C$61),$C25)</f>
        <v>#N/A</v>
      </c>
      <c r="H25" t="e">
        <f ca="1">INDEX(G$65:INDIRECT("G"&amp;$C$61),$C25)</f>
        <v>#N/A</v>
      </c>
      <c r="I25" t="e">
        <f ca="1">INDEX(H$65:INDIRECT("H"&amp;$C$61),$C25)</f>
        <v>#N/A</v>
      </c>
      <c r="J25" t="e">
        <f ca="1">INDEX(I$65:INDIRECT("I"&amp;$C$61),$C25)</f>
        <v>#N/A</v>
      </c>
      <c r="K25" s="7" t="e">
        <f ca="1">INDEX(J$65:INDIRECT("J"&amp;$C$61),$C25)</f>
        <v>#N/A</v>
      </c>
      <c r="L25" s="23" t="e">
        <f ca="1">INDEX(K$65:INDIRECT("K"&amp;$C$61),$C25)</f>
        <v>#N/A</v>
      </c>
      <c r="M25" t="e">
        <f ca="1">INDEX(L$65:INDIRECT("L"&amp;$C$61),$C25)</f>
        <v>#N/A</v>
      </c>
      <c r="N25" t="e">
        <f ca="1">INDEX(M$65:INDIRECT("M"&amp;$C$61),$C25)</f>
        <v>#N/A</v>
      </c>
      <c r="O25" t="e">
        <f ca="1">INDEX(N$65:INDIRECT("N"&amp;$C$61),$C25)</f>
        <v>#N/A</v>
      </c>
      <c r="P25" t="e">
        <f ca="1">INDEX(O$65:INDIRECT("O"&amp;$C$61),$C25)</f>
        <v>#N/A</v>
      </c>
      <c r="Q25" s="104"/>
      <c r="R25" s="74" t="s">
        <v>72</v>
      </c>
      <c r="S25" s="69" t="s">
        <v>32</v>
      </c>
      <c r="T25" s="74" t="e">
        <f t="array" aca="1" ref="T25" ca="1">MATCH(IF(ISBLANK($AE$11),SMALL(IF($E$65:INDIRECT("E"&amp;$C$61)=$AE$10,INDIRECT(AJ25&amp;65):INDIRECT(AJ25&amp;$C$61)),$AH25),IF(ISBLANK($AE$10),SMALL(IF($D$65:INDIRECT("D"&amp;$C$61)=$AE$11,INDIRECT(AJ25&amp;65):INDIRECT(AJ25&amp;$C$61)),$AH25),SMALL(IF(($E$65:INDIRECT("E"&amp;$C$61)=$AE$10)*($D$65:INDIRECT("D"&amp;$C$61)=$AE$11),INDIRECT(AJ25&amp;65):INDIRECT(AJ25&amp;$C$61)),$AH25))),INDIRECT(AJ25&amp;65):INDIRECT(AJ25&amp;$C$61),0)</f>
        <v>#NUM!</v>
      </c>
      <c r="U25" s="69" t="e">
        <f ca="1">INDEX(D$65:INDIRECT("D"&amp;$C$61),$T25)</f>
        <v>#NUM!</v>
      </c>
      <c r="V25" s="69" t="e">
        <f ca="1">INDEX(INDIRECT(("'MemberID'!$C$6:C"&amp;MemberID!$C$1)),MATCH(U25,INDIRECT(("'MemberID'!$G$6:G"&amp;MemberID!$C$1)),0))</f>
        <v>#NUM!</v>
      </c>
      <c r="W25" s="69" t="e">
        <f ca="1">INDEX(E$65:INDIRECT("E"&amp;$C$61),$T25)</f>
        <v>#NUM!</v>
      </c>
      <c r="X25" t="e">
        <f ca="1">INDEX(F$65:INDIRECT("F"&amp;$C$61),$T25)</f>
        <v>#NUM!</v>
      </c>
      <c r="Y25" t="e">
        <f ca="1">INDEX(G$65:INDIRECT("G"&amp;$C$61),$T25)</f>
        <v>#NUM!</v>
      </c>
      <c r="Z25" t="e">
        <f ca="1">INDEX(H$65:INDIRECT("H"&amp;$C$61),$T25)</f>
        <v>#NUM!</v>
      </c>
      <c r="AA25" t="e">
        <f ca="1">INDEX(I$65:INDIRECT("I"&amp;$C$61),$T25)</f>
        <v>#NUM!</v>
      </c>
      <c r="AB25" t="e">
        <f ca="1">INDEX(J$65:INDIRECT("J"&amp;$C$61),$T25)</f>
        <v>#NUM!</v>
      </c>
      <c r="AC25" s="23" t="e">
        <f t="array" aca="1" ref="AC25" ca="1">IF(ISBLANK($AE$11),SMALL(IF($E$65:INDIRECT("E"&amp;$C$61)=$AE$10,K$65:INDIRECT(AC$13&amp;$C$61)),$AH25),IF(ISBLANK($AE$10),SMALL(IF($D$65:INDIRECT("D"&amp;$C$61)=$AE$11,K$65:INDIRECT(AC$13&amp;$C$61)),$AH25),SMALL(IF(($E$65:INDIRECT("E"&amp;$C$61)=$AE$10)*($D$65:INDIRECT("D"&amp;$C$61)=$AE$11),K$65:INDIRECT(AC$13&amp;$C$61)),$AH25)))</f>
        <v>#NUM!</v>
      </c>
      <c r="AD25" t="e">
        <f ca="1">INDEX(L$65:INDIRECT("L"&amp;$C$61),$T25)</f>
        <v>#NUM!</v>
      </c>
      <c r="AE25" t="e">
        <f ca="1">INDEX(M$65:INDIRECT("M"&amp;$C$61),$T25)</f>
        <v>#NUM!</v>
      </c>
      <c r="AF25" t="e">
        <f ca="1">INDEX(N$65:INDIRECT("N"&amp;$C$61),$T25)</f>
        <v>#NUM!</v>
      </c>
      <c r="AG25" t="e">
        <f ca="1">INDEX(O$65:INDIRECT("O"&amp;$C$61),$T25)</f>
        <v>#NUM!</v>
      </c>
      <c r="AH25" s="69">
        <v>1</v>
      </c>
      <c r="AI25" s="69" t="str">
        <f t="shared" si="1"/>
        <v>K</v>
      </c>
      <c r="AJ25" s="69" t="str">
        <f t="shared" si="1"/>
        <v>R</v>
      </c>
    </row>
    <row r="26" spans="1:36" x14ac:dyDescent="0.25">
      <c r="A26" s="74" t="s">
        <v>73</v>
      </c>
      <c r="B26" s="69" t="s">
        <v>32</v>
      </c>
      <c r="C26" s="74" t="e">
        <f ca="1">S6</f>
        <v>#NUM!</v>
      </c>
      <c r="D26" s="69" t="e">
        <f ca="1">INDEX(D$65:INDIRECT("D"&amp;$C$61),$C26)</f>
        <v>#NUM!</v>
      </c>
      <c r="E26" s="69" t="e">
        <f ca="1">INDEX(INDIRECT(("'MemberID'!$C$6:C"&amp;MemberID!$C$1)),MATCH(D26,INDIRECT(("'MemberID'!$G$6:G"&amp;MemberID!$C$1)),0))</f>
        <v>#NUM!</v>
      </c>
      <c r="F26" s="69" t="e">
        <f ca="1">INDEX(E$65:INDIRECT("E"&amp;$C$61),$C26)</f>
        <v>#NUM!</v>
      </c>
      <c r="G26" t="e">
        <f ca="1">INDEX(F$65:INDIRECT("F"&amp;$C$61),$C26)</f>
        <v>#NUM!</v>
      </c>
      <c r="H26" t="e">
        <f ca="1">INDEX(G$65:INDIRECT("G"&amp;$C$61),$C26)</f>
        <v>#NUM!</v>
      </c>
      <c r="I26" t="e">
        <f ca="1">INDEX(H$65:INDIRECT("H"&amp;$C$61),$C26)</f>
        <v>#NUM!</v>
      </c>
      <c r="J26" t="e">
        <f ca="1">INDEX(I$65:INDIRECT("I"&amp;$C$61),$C26)</f>
        <v>#NUM!</v>
      </c>
      <c r="K26" s="7" t="e">
        <f ca="1">INDEX(J$65:INDIRECT("J"&amp;$C$61),$C26)</f>
        <v>#NUM!</v>
      </c>
      <c r="L26" s="23" t="e">
        <f ca="1">INDEX(K$65:INDIRECT("K"&amp;$C$61),$C26)</f>
        <v>#NUM!</v>
      </c>
      <c r="M26" t="e">
        <f ca="1">INDEX(L$65:INDIRECT("L"&amp;$C$61),$C26)</f>
        <v>#NUM!</v>
      </c>
      <c r="N26" t="e">
        <f ca="1">INDEX(M$65:INDIRECT("M"&amp;$C$61),$C26)</f>
        <v>#NUM!</v>
      </c>
      <c r="O26" t="e">
        <f ca="1">INDEX(N$65:INDIRECT("N"&amp;$C$61),$C26)</f>
        <v>#NUM!</v>
      </c>
      <c r="P26" t="e">
        <f ca="1">INDEX(O$65:INDIRECT("O"&amp;$C$61),$C26)</f>
        <v>#NUM!</v>
      </c>
      <c r="Q26" s="104"/>
      <c r="R26" s="74" t="s">
        <v>73</v>
      </c>
      <c r="S26" s="69" t="s">
        <v>32</v>
      </c>
      <c r="T26" s="74" t="e">
        <f t="array" aca="1" ref="T26" ca="1">MATCH(IF(ISBLANK($AE$11),SMALL(IF($E$65:INDIRECT("E"&amp;$C$61)=$AE$10,INDIRECT(AJ26&amp;65):INDIRECT(AJ26&amp;$C$61)),$AH26),IF(ISBLANK($AE$10),SMALL(IF($D$65:INDIRECT("D"&amp;$C$61)=$AE$11,INDIRECT(AJ26&amp;65):INDIRECT(AJ26&amp;$C$61)),$AH26),SMALL(IF(($E$65:INDIRECT("E"&amp;$C$61)=$AE$10)*($D$65:INDIRECT("D"&amp;$C$61)=$AE$11),INDIRECT(AJ26&amp;65):INDIRECT(AJ26&amp;$C$61)),$AH26))),INDIRECT(AJ26&amp;65):INDIRECT(AJ26&amp;$C$61),0)</f>
        <v>#NUM!</v>
      </c>
      <c r="U26" s="69" t="e">
        <f ca="1">INDEX(D$65:INDIRECT("D"&amp;$C$61),$T26)</f>
        <v>#NUM!</v>
      </c>
      <c r="V26" s="69" t="e">
        <f ca="1">INDEX(INDIRECT(("'MemberID'!$C$6:C"&amp;MemberID!$C$1)),MATCH(U26,INDIRECT(("'MemberID'!$G$6:G"&amp;MemberID!$C$1)),0))</f>
        <v>#NUM!</v>
      </c>
      <c r="W26" s="69" t="e">
        <f ca="1">INDEX(E$65:INDIRECT("E"&amp;$C$61),$T26)</f>
        <v>#NUM!</v>
      </c>
      <c r="X26" t="e">
        <f ca="1">INDEX(F$65:INDIRECT("F"&amp;$C$61),$T26)</f>
        <v>#NUM!</v>
      </c>
      <c r="Y26" t="e">
        <f ca="1">INDEX(G$65:INDIRECT("G"&amp;$C$61),$T26)</f>
        <v>#NUM!</v>
      </c>
      <c r="Z26" t="e">
        <f ca="1">INDEX(H$65:INDIRECT("H"&amp;$C$61),$T26)</f>
        <v>#NUM!</v>
      </c>
      <c r="AA26" t="e">
        <f ca="1">INDEX(I$65:INDIRECT("I"&amp;$C$61),$T26)</f>
        <v>#NUM!</v>
      </c>
      <c r="AB26" t="e">
        <f ca="1">INDEX(J$65:INDIRECT("J"&amp;$C$61),$T26)</f>
        <v>#NUM!</v>
      </c>
      <c r="AC26" s="23" t="e">
        <f t="array" aca="1" ref="AC26" ca="1">IF(ISBLANK($AE$11),SMALL(IF($E$65:INDIRECT("E"&amp;$C$61)=$AE$10,K$65:INDIRECT(AC$13&amp;$C$61)),$AH26),IF(ISBLANK($AE$10),SMALL(IF($D$65:INDIRECT("D"&amp;$C$61)=$AE$11,K$65:INDIRECT(AC$13&amp;$C$61)),$AH26),SMALL(IF(($E$65:INDIRECT("E"&amp;$C$61)=$AE$10)*($D$65:INDIRECT("D"&amp;$C$61)=$AE$11),K$65:INDIRECT(AC$13&amp;$C$61)),$AH26)))</f>
        <v>#NUM!</v>
      </c>
      <c r="AD26" t="e">
        <f ca="1">INDEX(L$65:INDIRECT("L"&amp;$C$61),$T26)</f>
        <v>#NUM!</v>
      </c>
      <c r="AE26" t="e">
        <f ca="1">INDEX(M$65:INDIRECT("M"&amp;$C$61),$T26)</f>
        <v>#NUM!</v>
      </c>
      <c r="AF26" t="e">
        <f ca="1">INDEX(N$65:INDIRECT("N"&amp;$C$61),$T26)</f>
        <v>#NUM!</v>
      </c>
      <c r="AG26" t="e">
        <f ca="1">INDEX(O$65:INDIRECT("O"&amp;$C$61),$T26)</f>
        <v>#NUM!</v>
      </c>
      <c r="AH26" s="69">
        <v>2</v>
      </c>
      <c r="AI26" s="69" t="str">
        <f t="shared" si="1"/>
        <v>K</v>
      </c>
      <c r="AJ26" s="69" t="str">
        <f t="shared" si="1"/>
        <v>R</v>
      </c>
    </row>
    <row r="27" spans="1:36" x14ac:dyDescent="0.25">
      <c r="A27" s="74" t="s">
        <v>74</v>
      </c>
      <c r="B27" s="69" t="s">
        <v>32</v>
      </c>
      <c r="C27" s="74" t="e">
        <f ca="1">AA6</f>
        <v>#NUM!</v>
      </c>
      <c r="D27" s="69" t="e">
        <f ca="1">INDEX(D$65:INDIRECT("D"&amp;$C$61),$C27)</f>
        <v>#NUM!</v>
      </c>
      <c r="E27" s="69" t="e">
        <f ca="1">INDEX(INDIRECT(("'MemberID'!$C$6:C"&amp;MemberID!$C$1)),MATCH(D27,INDIRECT(("'MemberID'!$G$6:G"&amp;MemberID!$C$1)),0))</f>
        <v>#NUM!</v>
      </c>
      <c r="F27" s="69" t="e">
        <f ca="1">INDEX(E$65:INDIRECT("E"&amp;$C$61),$C27)</f>
        <v>#NUM!</v>
      </c>
      <c r="G27" t="e">
        <f ca="1">INDEX(F$65:INDIRECT("F"&amp;$C$61),$C27)</f>
        <v>#NUM!</v>
      </c>
      <c r="H27" t="e">
        <f ca="1">INDEX(G$65:INDIRECT("G"&amp;$C$61),$C27)</f>
        <v>#NUM!</v>
      </c>
      <c r="I27" t="e">
        <f ca="1">INDEX(H$65:INDIRECT("H"&amp;$C$61),$C27)</f>
        <v>#NUM!</v>
      </c>
      <c r="J27" t="e">
        <f ca="1">INDEX(I$65:INDIRECT("I"&amp;$C$61),$C27)</f>
        <v>#NUM!</v>
      </c>
      <c r="K27" s="7" t="e">
        <f ca="1">INDEX(J$65:INDIRECT("J"&amp;$C$61),$C27)</f>
        <v>#NUM!</v>
      </c>
      <c r="L27" s="23" t="e">
        <f ca="1">INDEX(K$65:INDIRECT("K"&amp;$C$61),$C27)</f>
        <v>#NUM!</v>
      </c>
      <c r="M27" t="e">
        <f ca="1">INDEX(L$65:INDIRECT("L"&amp;$C$61),$C27)</f>
        <v>#NUM!</v>
      </c>
      <c r="N27" t="e">
        <f ca="1">INDEX(M$65:INDIRECT("M"&amp;$C$61),$C27)</f>
        <v>#NUM!</v>
      </c>
      <c r="O27" t="e">
        <f ca="1">INDEX(N$65:INDIRECT("N"&amp;$C$61),$C27)</f>
        <v>#NUM!</v>
      </c>
      <c r="P27" t="e">
        <f ca="1">INDEX(O$65:INDIRECT("O"&amp;$C$61),$C27)</f>
        <v>#NUM!</v>
      </c>
      <c r="Q27" s="104"/>
      <c r="R27" s="74" t="s">
        <v>74</v>
      </c>
      <c r="S27" s="69" t="s">
        <v>32</v>
      </c>
      <c r="T27" s="74" t="e">
        <f t="array" aca="1" ref="T27" ca="1">MATCH(IF(ISBLANK($AE$11),SMALL(IF($E$65:INDIRECT("E"&amp;$C$61)=$AE$10,INDIRECT(AJ27&amp;65):INDIRECT(AJ27&amp;$C$61)),$AH27),IF(ISBLANK($AE$10),SMALL(IF($D$65:INDIRECT("D"&amp;$C$61)=$AE$11,INDIRECT(AJ27&amp;65):INDIRECT(AJ27&amp;$C$61)),$AH27),SMALL(IF(($E$65:INDIRECT("E"&amp;$C$61)=$AE$10)*($D$65:INDIRECT("D"&amp;$C$61)=$AE$11),INDIRECT(AJ27&amp;65):INDIRECT(AJ27&amp;$C$61)),$AH27))),INDIRECT(AJ27&amp;65):INDIRECT(AJ27&amp;$C$61),0)</f>
        <v>#NUM!</v>
      </c>
      <c r="U27" s="69" t="e">
        <f ca="1">INDEX(D$65:INDIRECT("D"&amp;$C$61),$T27)</f>
        <v>#NUM!</v>
      </c>
      <c r="V27" s="69" t="e">
        <f ca="1">INDEX(INDIRECT(("'MemberID'!$C$6:C"&amp;MemberID!$C$1)),MATCH(U27,INDIRECT(("'MemberID'!$G$6:G"&amp;MemberID!$C$1)),0))</f>
        <v>#NUM!</v>
      </c>
      <c r="W27" s="69" t="e">
        <f ca="1">INDEX(E$65:INDIRECT("E"&amp;$C$61),$T27)</f>
        <v>#NUM!</v>
      </c>
      <c r="X27" t="e">
        <f ca="1">INDEX(F$65:INDIRECT("F"&amp;$C$61),$T27)</f>
        <v>#NUM!</v>
      </c>
      <c r="Y27" t="e">
        <f ca="1">INDEX(G$65:INDIRECT("G"&amp;$C$61),$T27)</f>
        <v>#NUM!</v>
      </c>
      <c r="Z27" t="e">
        <f ca="1">INDEX(H$65:INDIRECT("H"&amp;$C$61),$T27)</f>
        <v>#NUM!</v>
      </c>
      <c r="AA27" t="e">
        <f ca="1">INDEX(I$65:INDIRECT("I"&amp;$C$61),$T27)</f>
        <v>#NUM!</v>
      </c>
      <c r="AB27" t="e">
        <f ca="1">INDEX(J$65:INDIRECT("J"&amp;$C$61),$T27)</f>
        <v>#NUM!</v>
      </c>
      <c r="AC27" s="23" t="e">
        <f t="array" aca="1" ref="AC27" ca="1">IF(ISBLANK($AE$11),SMALL(IF($E$65:INDIRECT("E"&amp;$C$61)=$AE$10,K$65:INDIRECT(AC$13&amp;$C$61)),$AH27),IF(ISBLANK($AE$10),SMALL(IF($D$65:INDIRECT("D"&amp;$C$61)=$AE$11,K$65:INDIRECT(AC$13&amp;$C$61)),$AH27),SMALL(IF(($E$65:INDIRECT("E"&amp;$C$61)=$AE$10)*($D$65:INDIRECT("D"&amp;$C$61)=$AE$11),K$65:INDIRECT(AC$13&amp;$C$61)),$AH27)))</f>
        <v>#NUM!</v>
      </c>
      <c r="AD27" t="e">
        <f ca="1">INDEX(L$65:INDIRECT("L"&amp;$C$61),$T27)</f>
        <v>#NUM!</v>
      </c>
      <c r="AE27" t="e">
        <f ca="1">INDEX(M$65:INDIRECT("M"&amp;$C$61),$T27)</f>
        <v>#NUM!</v>
      </c>
      <c r="AF27" t="e">
        <f ca="1">INDEX(N$65:INDIRECT("N"&amp;$C$61),$T27)</f>
        <v>#NUM!</v>
      </c>
      <c r="AG27" t="e">
        <f ca="1">INDEX(O$65:INDIRECT("O"&amp;$C$61),$T27)</f>
        <v>#NUM!</v>
      </c>
      <c r="AH27" s="69">
        <v>3</v>
      </c>
      <c r="AI27" s="69" t="str">
        <f t="shared" si="1"/>
        <v>K</v>
      </c>
      <c r="AJ27" s="69" t="str">
        <f t="shared" si="1"/>
        <v>R</v>
      </c>
    </row>
    <row r="28" spans="1:36" x14ac:dyDescent="0.25">
      <c r="A28" s="5"/>
      <c r="B28" s="69"/>
      <c r="C28" s="69"/>
      <c r="D28" s="69"/>
      <c r="E28" s="69"/>
      <c r="F28" s="69"/>
      <c r="J28" s="7"/>
      <c r="K28" s="7"/>
      <c r="L28" s="7"/>
      <c r="M28" s="7"/>
      <c r="N28" s="7"/>
      <c r="O28" s="7"/>
      <c r="P28" s="7"/>
      <c r="Q28" s="104"/>
      <c r="R28" s="5"/>
      <c r="S28" s="69"/>
      <c r="T28" s="69"/>
      <c r="V28" s="69"/>
      <c r="W28" s="69"/>
      <c r="AH28" s="69"/>
      <c r="AI28" s="69"/>
      <c r="AJ28" s="69"/>
    </row>
    <row r="29" spans="1:36" x14ac:dyDescent="0.25">
      <c r="A29" s="73" t="s">
        <v>69</v>
      </c>
      <c r="B29" s="69" t="s">
        <v>33</v>
      </c>
      <c r="C29" s="73" t="e">
        <f ca="1">L3</f>
        <v>#N/A</v>
      </c>
      <c r="D29" s="69" t="e">
        <f ca="1">INDEX(D$65:INDIRECT("D"&amp;$C$61),$C29)</f>
        <v>#N/A</v>
      </c>
      <c r="E29" s="69" t="e">
        <f ca="1">INDEX(INDIRECT(("'MemberID'!$C$6:C"&amp;MemberID!$C$1)),MATCH(D29,INDIRECT(("'MemberID'!$G$6:G"&amp;MemberID!$C$1)),0))</f>
        <v>#N/A</v>
      </c>
      <c r="F29" s="69" t="e">
        <f ca="1">INDEX(E$65:INDIRECT("E"&amp;$C$61),$C29)</f>
        <v>#N/A</v>
      </c>
      <c r="G29" t="e">
        <f ca="1">INDEX(F$65:INDIRECT("F"&amp;$C$61),$C29)</f>
        <v>#N/A</v>
      </c>
      <c r="H29" t="e">
        <f ca="1">INDEX(G$65:INDIRECT("G"&amp;$C$61),$C29)</f>
        <v>#N/A</v>
      </c>
      <c r="I29" t="e">
        <f ca="1">INDEX(H$65:INDIRECT("H"&amp;$C$61),$C29)</f>
        <v>#N/A</v>
      </c>
      <c r="J29" t="e">
        <f ca="1">INDEX(I$65:INDIRECT("I"&amp;$C$61),$C29)</f>
        <v>#N/A</v>
      </c>
      <c r="K29" s="7" t="e">
        <f ca="1">INDEX(J$65:INDIRECT("J"&amp;$C$61),$C29)</f>
        <v>#N/A</v>
      </c>
      <c r="L29" t="e">
        <f ca="1">INDEX(K$65:INDIRECT("K"&amp;$C$61),$C29)</f>
        <v>#N/A</v>
      </c>
      <c r="M29" s="23" t="e">
        <f ca="1">INDEX(L$65:INDIRECT("L"&amp;$C$61),$C29)</f>
        <v>#N/A</v>
      </c>
      <c r="N29" t="e">
        <f ca="1">INDEX(M$65:INDIRECT("M"&amp;$C$61),$C29)</f>
        <v>#N/A</v>
      </c>
      <c r="O29" t="e">
        <f ca="1">INDEX(N$65:INDIRECT("N"&amp;$C$61),$C29)</f>
        <v>#N/A</v>
      </c>
      <c r="P29" t="e">
        <f ca="1">INDEX(O$65:INDIRECT("O"&amp;$C$61),$C29)</f>
        <v>#N/A</v>
      </c>
      <c r="Q29" s="104"/>
      <c r="R29" s="73" t="s">
        <v>69</v>
      </c>
      <c r="S29" s="69" t="s">
        <v>33</v>
      </c>
      <c r="T29" s="73" t="e">
        <f t="array" aca="1" ref="T29" ca="1">MATCH(IF(ISBLANK($AE$11),LARGE(IF($E$65:INDIRECT("E"&amp;$C$61)=$AE$10,INDIRECT(AJ29&amp;65):INDIRECT(AJ29&amp;$C$61)),$AH29),IF(ISBLANK($AE$10),LARGE(IF($D$65:INDIRECT("D"&amp;$C$61)=$AE$11,INDIRECT(AJ29&amp;65):INDIRECT(AJ29&amp;$C$61)),$AH29),LARGE(IF(($E$65:INDIRECT("E"&amp;$C$61)=$AE$10)*($D$65:INDIRECT("D"&amp;$C$61)=$AE$11),INDIRECT(AJ29&amp;65):INDIRECT(AJ29&amp;$C$61)),$AH29))),INDIRECT(AJ29&amp;65):INDIRECT(AJ29&amp;$C$61),0)</f>
        <v>#NUM!</v>
      </c>
      <c r="U29" s="69" t="e">
        <f ca="1">INDEX(D$65:INDIRECT("D"&amp;$C$61),$T29)</f>
        <v>#NUM!</v>
      </c>
      <c r="V29" s="69" t="e">
        <f ca="1">INDEX(INDIRECT(("'MemberID'!$C$6:C"&amp;MemberID!$C$1)),MATCH(U29,INDIRECT(("'MemberID'!$G$6:G"&amp;MemberID!$C$1)),0))</f>
        <v>#NUM!</v>
      </c>
      <c r="W29" s="69" t="e">
        <f ca="1">INDEX(E$65:INDIRECT("E"&amp;$C$61),$T29)</f>
        <v>#NUM!</v>
      </c>
      <c r="X29" t="e">
        <f ca="1">INDEX(F$65:INDIRECT("F"&amp;$C$61),$T29)</f>
        <v>#NUM!</v>
      </c>
      <c r="Y29" t="e">
        <f ca="1">INDEX(G$65:INDIRECT("G"&amp;$C$61),$T29)</f>
        <v>#NUM!</v>
      </c>
      <c r="Z29" t="e">
        <f ca="1">INDEX(H$65:INDIRECT("H"&amp;$C$61),$T29)</f>
        <v>#NUM!</v>
      </c>
      <c r="AA29" t="e">
        <f ca="1">INDEX(I$65:INDIRECT("I"&amp;$C$61),$T29)</f>
        <v>#NUM!</v>
      </c>
      <c r="AB29" t="e">
        <f ca="1">INDEX(J$65:INDIRECT("J"&amp;$C$61),$T29)</f>
        <v>#NUM!</v>
      </c>
      <c r="AC29" t="e">
        <f ca="1">INDEX(K$65:INDIRECT("K"&amp;$C$61),$T29)</f>
        <v>#NUM!</v>
      </c>
      <c r="AD29" s="23" t="e">
        <f t="array" aca="1" ref="AD29" ca="1">IF(ISBLANK($AE$11),LARGE(IF($E$65:INDIRECT("E"&amp;$C$61)=$AE$10,L$65:INDIRECT(AD$13&amp;$C$61)),$AH29),IF(ISBLANK($AE$10),LARGE(IF($D$65:INDIRECT("D"&amp;$C$61)=$AE$11,L$65:INDIRECT(AD$13&amp;$C$61)),$AH29),LARGE(IF(($E$65:INDIRECT("E"&amp;$C$61)=$AE$10)*($D$65:INDIRECT("D"&amp;$C$61)=$AE$11),L$65:INDIRECT(AD$13&amp;$C$61)),$AH29)))</f>
        <v>#NUM!</v>
      </c>
      <c r="AE29" t="e">
        <f ca="1">INDEX(M$65:INDIRECT("M"&amp;$C$61),$T29)</f>
        <v>#NUM!</v>
      </c>
      <c r="AF29" t="e">
        <f ca="1">INDEX(N$65:INDIRECT("N"&amp;$C$61),$T29)</f>
        <v>#NUM!</v>
      </c>
      <c r="AG29" t="e">
        <f ca="1">INDEX(O$65:INDIRECT("O"&amp;$C$61),$T29)</f>
        <v>#NUM!</v>
      </c>
      <c r="AH29" s="69">
        <v>1</v>
      </c>
      <c r="AI29" s="69" t="s">
        <v>152</v>
      </c>
      <c r="AJ29" s="69" t="s">
        <v>158</v>
      </c>
    </row>
    <row r="30" spans="1:36" x14ac:dyDescent="0.25">
      <c r="A30" s="73" t="s">
        <v>70</v>
      </c>
      <c r="B30" s="69" t="s">
        <v>33</v>
      </c>
      <c r="C30" s="73" t="e">
        <f ca="1">T3</f>
        <v>#NUM!</v>
      </c>
      <c r="D30" s="69" t="e">
        <f ca="1">INDEX(D$65:INDIRECT("D"&amp;$C$61),$C30)</f>
        <v>#NUM!</v>
      </c>
      <c r="E30" s="69" t="e">
        <f ca="1">INDEX(INDIRECT(("'MemberID'!$C$6:C"&amp;MemberID!$C$1)),MATCH(D30,INDIRECT(("'MemberID'!$G$6:G"&amp;MemberID!$C$1)),0))</f>
        <v>#NUM!</v>
      </c>
      <c r="F30" s="69" t="e">
        <f ca="1">INDEX(E$65:INDIRECT("E"&amp;$C$61),$C30)</f>
        <v>#NUM!</v>
      </c>
      <c r="G30" t="e">
        <f ca="1">INDEX(F$65:INDIRECT("F"&amp;$C$61),$C30)</f>
        <v>#NUM!</v>
      </c>
      <c r="H30" t="e">
        <f ca="1">INDEX(G$65:INDIRECT("G"&amp;$C$61),$C30)</f>
        <v>#NUM!</v>
      </c>
      <c r="I30" t="e">
        <f ca="1">INDEX(H$65:INDIRECT("H"&amp;$C$61),$C30)</f>
        <v>#NUM!</v>
      </c>
      <c r="J30" t="e">
        <f ca="1">INDEX(I$65:INDIRECT("I"&amp;$C$61),$C30)</f>
        <v>#NUM!</v>
      </c>
      <c r="K30" s="7" t="e">
        <f ca="1">INDEX(J$65:INDIRECT("J"&amp;$C$61),$C30)</f>
        <v>#NUM!</v>
      </c>
      <c r="L30" t="e">
        <f ca="1">INDEX(K$65:INDIRECT("K"&amp;$C$61),$C30)</f>
        <v>#NUM!</v>
      </c>
      <c r="M30" s="23" t="e">
        <f ca="1">INDEX(L$65:INDIRECT("L"&amp;$C$61),$C30)</f>
        <v>#NUM!</v>
      </c>
      <c r="N30" t="e">
        <f ca="1">INDEX(M$65:INDIRECT("M"&amp;$C$61),$C30)</f>
        <v>#NUM!</v>
      </c>
      <c r="O30" t="e">
        <f ca="1">INDEX(N$65:INDIRECT("N"&amp;$C$61),$C30)</f>
        <v>#NUM!</v>
      </c>
      <c r="P30" t="e">
        <f ca="1">INDEX(O$65:INDIRECT("O"&amp;$C$61),$C30)</f>
        <v>#NUM!</v>
      </c>
      <c r="Q30" s="104"/>
      <c r="R30" s="73" t="s">
        <v>70</v>
      </c>
      <c r="S30" s="69" t="s">
        <v>33</v>
      </c>
      <c r="T30" s="73" t="e">
        <f t="array" aca="1" ref="T30" ca="1">MATCH(IF(ISBLANK($AE$11),LARGE(IF($E$65:INDIRECT("E"&amp;$C$61)=$AE$10,INDIRECT(AJ30&amp;65):INDIRECT(AJ30&amp;$C$61)),$AH30),IF(ISBLANK($AE$10),LARGE(IF($D$65:INDIRECT("D"&amp;$C$61)=$AE$11,INDIRECT(AJ30&amp;65):INDIRECT(AJ30&amp;$C$61)),$AH30),LARGE(IF(($E$65:INDIRECT("E"&amp;$C$61)=$AE$10)*($D$65:INDIRECT("D"&amp;$C$61)=$AE$11),INDIRECT(AJ30&amp;65):INDIRECT(AJ30&amp;$C$61)),$AH30))),INDIRECT(AJ30&amp;65):INDIRECT(AJ30&amp;$C$61),0)</f>
        <v>#NUM!</v>
      </c>
      <c r="U30" s="69" t="e">
        <f ca="1">INDEX(D$65:INDIRECT("D"&amp;$C$61),$T30)</f>
        <v>#NUM!</v>
      </c>
      <c r="V30" s="69" t="e">
        <f ca="1">INDEX(INDIRECT(("'MemberID'!$C$6:C"&amp;MemberID!$C$1)),MATCH(U30,INDIRECT(("'MemberID'!$G$6:G"&amp;MemberID!$C$1)),0))</f>
        <v>#NUM!</v>
      </c>
      <c r="W30" s="69" t="e">
        <f ca="1">INDEX(E$65:INDIRECT("E"&amp;$C$61),$T30)</f>
        <v>#NUM!</v>
      </c>
      <c r="X30" t="e">
        <f ca="1">INDEX(F$65:INDIRECT("F"&amp;$C$61),$T30)</f>
        <v>#NUM!</v>
      </c>
      <c r="Y30" t="e">
        <f ca="1">INDEX(G$65:INDIRECT("G"&amp;$C$61),$T30)</f>
        <v>#NUM!</v>
      </c>
      <c r="Z30" t="e">
        <f ca="1">INDEX(H$65:INDIRECT("H"&amp;$C$61),$T30)</f>
        <v>#NUM!</v>
      </c>
      <c r="AA30" t="e">
        <f ca="1">INDEX(I$65:INDIRECT("I"&amp;$C$61),$T30)</f>
        <v>#NUM!</v>
      </c>
      <c r="AB30" t="e">
        <f ca="1">INDEX(J$65:INDIRECT("J"&amp;$C$61),$T30)</f>
        <v>#NUM!</v>
      </c>
      <c r="AC30" t="e">
        <f ca="1">INDEX(K$65:INDIRECT("K"&amp;$C$61),$T30)</f>
        <v>#NUM!</v>
      </c>
      <c r="AD30" s="23" t="e">
        <f t="array" aca="1" ref="AD30" ca="1">IF(ISBLANK($AE$11),LARGE(IF($E$65:INDIRECT("E"&amp;$C$61)=$AE$10,L$65:INDIRECT(AD$13&amp;$C$61)),$AH30),IF(ISBLANK($AE$10),LARGE(IF($D$65:INDIRECT("D"&amp;$C$61)=$AE$11,L$65:INDIRECT(AD$13&amp;$C$61)),$AH30),LARGE(IF(($E$65:INDIRECT("E"&amp;$C$61)=$AE$10)*($D$65:INDIRECT("D"&amp;$C$61)=$AE$11),L$65:INDIRECT(AD$13&amp;$C$61)),$AH30)))</f>
        <v>#NUM!</v>
      </c>
      <c r="AE30" t="e">
        <f ca="1">INDEX(M$65:INDIRECT("M"&amp;$C$61),$T30)</f>
        <v>#NUM!</v>
      </c>
      <c r="AF30" t="e">
        <f ca="1">INDEX(N$65:INDIRECT("N"&amp;$C$61),$T30)</f>
        <v>#NUM!</v>
      </c>
      <c r="AG30" t="e">
        <f ca="1">INDEX(O$65:INDIRECT("O"&amp;$C$61),$T30)</f>
        <v>#NUM!</v>
      </c>
      <c r="AH30" s="69">
        <v>2</v>
      </c>
      <c r="AI30" s="69" t="str">
        <f>AI29</f>
        <v>L</v>
      </c>
      <c r="AJ30" s="69" t="str">
        <f>AJ29</f>
        <v>S</v>
      </c>
    </row>
    <row r="31" spans="1:36" x14ac:dyDescent="0.25">
      <c r="A31" s="73" t="s">
        <v>71</v>
      </c>
      <c r="B31" s="69" t="s">
        <v>33</v>
      </c>
      <c r="C31" s="73" t="e">
        <f ca="1">AB3</f>
        <v>#NUM!</v>
      </c>
      <c r="D31" s="69" t="e">
        <f ca="1">INDEX(D$65:INDIRECT("D"&amp;$C$61),$C31)</f>
        <v>#NUM!</v>
      </c>
      <c r="E31" s="69" t="e">
        <f ca="1">INDEX(INDIRECT(("'MemberID'!$C$6:C"&amp;MemberID!$C$1)),MATCH(D31,INDIRECT(("'MemberID'!$G$6:G"&amp;MemberID!$C$1)),0))</f>
        <v>#NUM!</v>
      </c>
      <c r="F31" s="69" t="e">
        <f ca="1">INDEX(E$65:INDIRECT("E"&amp;$C$61),$C31)</f>
        <v>#NUM!</v>
      </c>
      <c r="G31" t="e">
        <f ca="1">INDEX(F$65:INDIRECT("F"&amp;$C$61),$C31)</f>
        <v>#NUM!</v>
      </c>
      <c r="H31" t="e">
        <f ca="1">INDEX(G$65:INDIRECT("G"&amp;$C$61),$C31)</f>
        <v>#NUM!</v>
      </c>
      <c r="I31" t="e">
        <f ca="1">INDEX(H$65:INDIRECT("H"&amp;$C$61),$C31)</f>
        <v>#NUM!</v>
      </c>
      <c r="J31" t="e">
        <f ca="1">INDEX(I$65:INDIRECT("I"&amp;$C$61),$C31)</f>
        <v>#NUM!</v>
      </c>
      <c r="K31" s="7" t="e">
        <f ca="1">INDEX(J$65:INDIRECT("J"&amp;$C$61),$C31)</f>
        <v>#NUM!</v>
      </c>
      <c r="L31" t="e">
        <f ca="1">INDEX(K$65:INDIRECT("K"&amp;$C$61),$C31)</f>
        <v>#NUM!</v>
      </c>
      <c r="M31" s="23" t="e">
        <f ca="1">INDEX(L$65:INDIRECT("L"&amp;$C$61),$C31)</f>
        <v>#NUM!</v>
      </c>
      <c r="N31" t="e">
        <f ca="1">INDEX(M$65:INDIRECT("M"&amp;$C$61),$C31)</f>
        <v>#NUM!</v>
      </c>
      <c r="O31" t="e">
        <f ca="1">INDEX(N$65:INDIRECT("N"&amp;$C$61),$C31)</f>
        <v>#NUM!</v>
      </c>
      <c r="P31" t="e">
        <f ca="1">INDEX(O$65:INDIRECT("O"&amp;$C$61),$C31)</f>
        <v>#NUM!</v>
      </c>
      <c r="Q31" s="104"/>
      <c r="R31" s="73" t="s">
        <v>71</v>
      </c>
      <c r="S31" s="69" t="s">
        <v>33</v>
      </c>
      <c r="T31" s="73" t="e">
        <f t="array" aca="1" ref="T31" ca="1">MATCH(IF(ISBLANK($AE$11),LARGE(IF($E$65:INDIRECT("E"&amp;$C$61)=$AE$10,INDIRECT(AJ31&amp;65):INDIRECT(AJ31&amp;$C$61)),$AH31),IF(ISBLANK($AE$10),LARGE(IF($D$65:INDIRECT("D"&amp;$C$61)=$AE$11,INDIRECT(AJ31&amp;65):INDIRECT(AJ31&amp;$C$61)),$AH31),LARGE(IF(($E$65:INDIRECT("E"&amp;$C$61)=$AE$10)*($D$65:INDIRECT("D"&amp;$C$61)=$AE$11),INDIRECT(AJ31&amp;65):INDIRECT(AJ31&amp;$C$61)),$AH31))),INDIRECT(AJ31&amp;65):INDIRECT(AJ31&amp;$C$61),0)</f>
        <v>#NUM!</v>
      </c>
      <c r="U31" s="69" t="e">
        <f ca="1">INDEX(D$65:INDIRECT("D"&amp;$C$61),$T31)</f>
        <v>#NUM!</v>
      </c>
      <c r="V31" s="69" t="e">
        <f ca="1">INDEX(INDIRECT(("'MemberID'!$C$6:C"&amp;MemberID!$C$1)),MATCH(U31,INDIRECT(("'MemberID'!$G$6:G"&amp;MemberID!$C$1)),0))</f>
        <v>#NUM!</v>
      </c>
      <c r="W31" s="69" t="e">
        <f ca="1">INDEX(E$65:INDIRECT("E"&amp;$C$61),$T31)</f>
        <v>#NUM!</v>
      </c>
      <c r="X31" t="e">
        <f ca="1">INDEX(F$65:INDIRECT("F"&amp;$C$61),$T31)</f>
        <v>#NUM!</v>
      </c>
      <c r="Y31" t="e">
        <f ca="1">INDEX(G$65:INDIRECT("G"&amp;$C$61),$T31)</f>
        <v>#NUM!</v>
      </c>
      <c r="Z31" t="e">
        <f ca="1">INDEX(H$65:INDIRECT("H"&amp;$C$61),$T31)</f>
        <v>#NUM!</v>
      </c>
      <c r="AA31" t="e">
        <f ca="1">INDEX(I$65:INDIRECT("I"&amp;$C$61),$T31)</f>
        <v>#NUM!</v>
      </c>
      <c r="AB31" t="e">
        <f ca="1">INDEX(J$65:INDIRECT("J"&amp;$C$61),$T31)</f>
        <v>#NUM!</v>
      </c>
      <c r="AC31" t="e">
        <f ca="1">INDEX(K$65:INDIRECT("K"&amp;$C$61),$T31)</f>
        <v>#NUM!</v>
      </c>
      <c r="AD31" s="23" t="e">
        <f t="array" aca="1" ref="AD31" ca="1">IF(ISBLANK($AE$11),LARGE(IF($E$65:INDIRECT("E"&amp;$C$61)=$AE$10,L$65:INDIRECT(AD$13&amp;$C$61)),$AH31),IF(ISBLANK($AE$10),LARGE(IF($D$65:INDIRECT("D"&amp;$C$61)=$AE$11,L$65:INDIRECT(AD$13&amp;$C$61)),$AH31),LARGE(IF(($E$65:INDIRECT("E"&amp;$C$61)=$AE$10)*($D$65:INDIRECT("D"&amp;$C$61)=$AE$11),L$65:INDIRECT(AD$13&amp;$C$61)),$AH31)))</f>
        <v>#NUM!</v>
      </c>
      <c r="AE31" t="e">
        <f ca="1">INDEX(M$65:INDIRECT("M"&amp;$C$61),$T31)</f>
        <v>#NUM!</v>
      </c>
      <c r="AF31" t="e">
        <f ca="1">INDEX(N$65:INDIRECT("N"&amp;$C$61),$T31)</f>
        <v>#NUM!</v>
      </c>
      <c r="AG31" t="e">
        <f ca="1">INDEX(O$65:INDIRECT("O"&amp;$C$61),$T31)</f>
        <v>#NUM!</v>
      </c>
      <c r="AH31" s="69">
        <v>3</v>
      </c>
      <c r="AI31" s="69" t="str">
        <f t="shared" ref="AI31:AJ34" si="2">AI30</f>
        <v>L</v>
      </c>
      <c r="AJ31" s="69" t="str">
        <f t="shared" si="2"/>
        <v>S</v>
      </c>
    </row>
    <row r="32" spans="1:36" x14ac:dyDescent="0.25">
      <c r="A32" s="74" t="s">
        <v>72</v>
      </c>
      <c r="B32" s="69" t="s">
        <v>33</v>
      </c>
      <c r="C32" s="74" t="e">
        <f ca="1">L6</f>
        <v>#N/A</v>
      </c>
      <c r="D32" s="69" t="e">
        <f ca="1">INDEX(D$65:INDIRECT("D"&amp;$C$61),$C32)</f>
        <v>#N/A</v>
      </c>
      <c r="E32" s="69" t="e">
        <f ca="1">INDEX(INDIRECT(("'MemberID'!$C$6:C"&amp;MemberID!$C$1)),MATCH(D32,INDIRECT(("'MemberID'!$G$6:G"&amp;MemberID!$C$1)),0))</f>
        <v>#N/A</v>
      </c>
      <c r="F32" s="69" t="e">
        <f ca="1">INDEX(E$65:INDIRECT("E"&amp;$C$61),$C32)</f>
        <v>#N/A</v>
      </c>
      <c r="G32" t="e">
        <f ca="1">INDEX(F$65:INDIRECT("F"&amp;$C$61),$C32)</f>
        <v>#N/A</v>
      </c>
      <c r="H32" t="e">
        <f ca="1">INDEX(G$65:INDIRECT("G"&amp;$C$61),$C32)</f>
        <v>#N/A</v>
      </c>
      <c r="I32" t="e">
        <f ca="1">INDEX(H$65:INDIRECT("H"&amp;$C$61),$C32)</f>
        <v>#N/A</v>
      </c>
      <c r="J32" t="e">
        <f ca="1">INDEX(I$65:INDIRECT("I"&amp;$C$61),$C32)</f>
        <v>#N/A</v>
      </c>
      <c r="K32" s="7" t="e">
        <f ca="1">INDEX(J$65:INDIRECT("J"&amp;$C$61),$C32)</f>
        <v>#N/A</v>
      </c>
      <c r="L32" t="e">
        <f ca="1">INDEX(K$65:INDIRECT("K"&amp;$C$61),$C32)</f>
        <v>#N/A</v>
      </c>
      <c r="M32" s="23" t="e">
        <f ca="1">INDEX(L$65:INDIRECT("L"&amp;$C$61),$C32)</f>
        <v>#N/A</v>
      </c>
      <c r="N32" t="e">
        <f ca="1">INDEX(M$65:INDIRECT("M"&amp;$C$61),$C32)</f>
        <v>#N/A</v>
      </c>
      <c r="O32" t="e">
        <f ca="1">INDEX(N$65:INDIRECT("N"&amp;$C$61),$C32)</f>
        <v>#N/A</v>
      </c>
      <c r="P32" t="e">
        <f ca="1">INDEX(O$65:INDIRECT("O"&amp;$C$61),$C32)</f>
        <v>#N/A</v>
      </c>
      <c r="Q32" s="104"/>
      <c r="R32" s="74" t="s">
        <v>72</v>
      </c>
      <c r="S32" s="69" t="s">
        <v>33</v>
      </c>
      <c r="T32" s="74" t="e">
        <f t="array" aca="1" ref="T32" ca="1">MATCH(IF(ISBLANK($AE$11),SMALL(IF($E$65:INDIRECT("E"&amp;$C$61)=$AE$10,INDIRECT(AJ32&amp;65):INDIRECT(AJ32&amp;$C$61)),$AH32),IF(ISBLANK($AE$10),SMALL(IF($D$65:INDIRECT("D"&amp;$C$61)=$AE$11,INDIRECT(AJ32&amp;65):INDIRECT(AJ32&amp;$C$61)),$AH32),SMALL(IF(($E$65:INDIRECT("E"&amp;$C$61)=$AE$10)*($D$65:INDIRECT("D"&amp;$C$61)=$AE$11),INDIRECT(AJ32&amp;65):INDIRECT(AJ32&amp;$C$61)),$AH32))),INDIRECT(AJ32&amp;65):INDIRECT(AJ32&amp;$C$61),0)</f>
        <v>#NUM!</v>
      </c>
      <c r="U32" s="69" t="e">
        <f ca="1">INDEX(D$65:INDIRECT("D"&amp;$C$61),$T32)</f>
        <v>#NUM!</v>
      </c>
      <c r="V32" s="69" t="e">
        <f ca="1">INDEX(INDIRECT(("'MemberID'!$C$6:C"&amp;MemberID!$C$1)),MATCH(U32,INDIRECT(("'MemberID'!$G$6:G"&amp;MemberID!$C$1)),0))</f>
        <v>#NUM!</v>
      </c>
      <c r="W32" s="69" t="e">
        <f ca="1">INDEX(E$65:INDIRECT("E"&amp;$C$61),$T32)</f>
        <v>#NUM!</v>
      </c>
      <c r="X32" t="e">
        <f ca="1">INDEX(F$65:INDIRECT("F"&amp;$C$61),$T32)</f>
        <v>#NUM!</v>
      </c>
      <c r="Y32" t="e">
        <f ca="1">INDEX(G$65:INDIRECT("G"&amp;$C$61),$T32)</f>
        <v>#NUM!</v>
      </c>
      <c r="Z32" t="e">
        <f ca="1">INDEX(H$65:INDIRECT("H"&amp;$C$61),$T32)</f>
        <v>#NUM!</v>
      </c>
      <c r="AA32" t="e">
        <f ca="1">INDEX(I$65:INDIRECT("I"&amp;$C$61),$T32)</f>
        <v>#NUM!</v>
      </c>
      <c r="AB32" t="e">
        <f ca="1">INDEX(J$65:INDIRECT("J"&amp;$C$61),$T32)</f>
        <v>#NUM!</v>
      </c>
      <c r="AC32" t="e">
        <f ca="1">INDEX(K$65:INDIRECT("K"&amp;$C$61),$T32)</f>
        <v>#NUM!</v>
      </c>
      <c r="AD32" s="23" t="e">
        <f t="array" aca="1" ref="AD32" ca="1">IF(ISBLANK($AE$11),SMALL(IF($E$65:INDIRECT("E"&amp;$C$61)=$AE$10,L$65:INDIRECT(AD$13&amp;$C$61)),$AH32),IF(ISBLANK($AE$10),SMALL(IF($D$65:INDIRECT("D"&amp;$C$61)=$AE$11,L$65:INDIRECT(AD$13&amp;$C$61)),$AH32),SMALL(IF(($E$65:INDIRECT("E"&amp;$C$61)=$AE$10)*($D$65:INDIRECT("D"&amp;$C$61)=$AE$11),L$65:INDIRECT(AD$13&amp;$C$61)),$AH32)))</f>
        <v>#NUM!</v>
      </c>
      <c r="AE32" t="e">
        <f ca="1">INDEX(M$65:INDIRECT("M"&amp;$C$61),$T32)</f>
        <v>#NUM!</v>
      </c>
      <c r="AF32" t="e">
        <f ca="1">INDEX(N$65:INDIRECT("N"&amp;$C$61),$T32)</f>
        <v>#NUM!</v>
      </c>
      <c r="AG32" t="e">
        <f ca="1">INDEX(O$65:INDIRECT("O"&amp;$C$61),$T32)</f>
        <v>#NUM!</v>
      </c>
      <c r="AH32" s="69">
        <v>1</v>
      </c>
      <c r="AI32" s="69" t="str">
        <f t="shared" si="2"/>
        <v>L</v>
      </c>
      <c r="AJ32" s="69" t="str">
        <f t="shared" si="2"/>
        <v>S</v>
      </c>
    </row>
    <row r="33" spans="1:52" x14ac:dyDescent="0.25">
      <c r="A33" s="74" t="s">
        <v>73</v>
      </c>
      <c r="B33" s="69" t="s">
        <v>33</v>
      </c>
      <c r="C33" s="74" t="e">
        <f ca="1">T6</f>
        <v>#NUM!</v>
      </c>
      <c r="D33" s="69" t="e">
        <f ca="1">INDEX(D$65:INDIRECT("D"&amp;$C$61),$C33)</f>
        <v>#NUM!</v>
      </c>
      <c r="E33" s="69" t="e">
        <f ca="1">INDEX(INDIRECT(("'MemberID'!$C$6:C"&amp;MemberID!$C$1)),MATCH(D33,INDIRECT(("'MemberID'!$G$6:G"&amp;MemberID!$C$1)),0))</f>
        <v>#NUM!</v>
      </c>
      <c r="F33" s="69" t="e">
        <f ca="1">INDEX(E$65:INDIRECT("E"&amp;$C$61),$C33)</f>
        <v>#NUM!</v>
      </c>
      <c r="G33" t="e">
        <f ca="1">INDEX(F$65:INDIRECT("F"&amp;$C$61),$C33)</f>
        <v>#NUM!</v>
      </c>
      <c r="H33" t="e">
        <f ca="1">INDEX(G$65:INDIRECT("G"&amp;$C$61),$C33)</f>
        <v>#NUM!</v>
      </c>
      <c r="I33" t="e">
        <f ca="1">INDEX(H$65:INDIRECT("H"&amp;$C$61),$C33)</f>
        <v>#NUM!</v>
      </c>
      <c r="J33" t="e">
        <f ca="1">INDEX(I$65:INDIRECT("I"&amp;$C$61),$C33)</f>
        <v>#NUM!</v>
      </c>
      <c r="K33" s="7" t="e">
        <f ca="1">INDEX(J$65:INDIRECT("J"&amp;$C$61),$C33)</f>
        <v>#NUM!</v>
      </c>
      <c r="L33" t="e">
        <f ca="1">INDEX(K$65:INDIRECT("K"&amp;$C$61),$C33)</f>
        <v>#NUM!</v>
      </c>
      <c r="M33" s="23" t="e">
        <f ca="1">INDEX(L$65:INDIRECT("L"&amp;$C$61),$C33)</f>
        <v>#NUM!</v>
      </c>
      <c r="N33" t="e">
        <f ca="1">INDEX(M$65:INDIRECT("M"&amp;$C$61),$C33)</f>
        <v>#NUM!</v>
      </c>
      <c r="O33" t="e">
        <f ca="1">INDEX(N$65:INDIRECT("N"&amp;$C$61),$C33)</f>
        <v>#NUM!</v>
      </c>
      <c r="P33" t="e">
        <f ca="1">INDEX(O$65:INDIRECT("O"&amp;$C$61),$C33)</f>
        <v>#NUM!</v>
      </c>
      <c r="Q33" s="104"/>
      <c r="R33" s="74" t="s">
        <v>73</v>
      </c>
      <c r="S33" s="69" t="s">
        <v>33</v>
      </c>
      <c r="T33" s="74" t="e">
        <f t="array" aca="1" ref="T33" ca="1">MATCH(IF(ISBLANK($AE$11),SMALL(IF($E$65:INDIRECT("E"&amp;$C$61)=$AE$10,INDIRECT(AJ33&amp;65):INDIRECT(AJ33&amp;$C$61)),$AH33),IF(ISBLANK($AE$10),SMALL(IF($D$65:INDIRECT("D"&amp;$C$61)=$AE$11,INDIRECT(AJ33&amp;65):INDIRECT(AJ33&amp;$C$61)),$AH33),SMALL(IF(($E$65:INDIRECT("E"&amp;$C$61)=$AE$10)*($D$65:INDIRECT("D"&amp;$C$61)=$AE$11),INDIRECT(AJ33&amp;65):INDIRECT(AJ33&amp;$C$61)),$AH33))),INDIRECT(AJ33&amp;65):INDIRECT(AJ33&amp;$C$61),0)</f>
        <v>#NUM!</v>
      </c>
      <c r="U33" s="69" t="e">
        <f ca="1">INDEX(D$65:INDIRECT("D"&amp;$C$61),$T33)</f>
        <v>#NUM!</v>
      </c>
      <c r="V33" s="69" t="e">
        <f ca="1">INDEX(INDIRECT(("'MemberID'!$C$6:C"&amp;MemberID!$C$1)),MATCH(U33,INDIRECT(("'MemberID'!$G$6:G"&amp;MemberID!$C$1)),0))</f>
        <v>#NUM!</v>
      </c>
      <c r="W33" s="69" t="e">
        <f ca="1">INDEX(E$65:INDIRECT("E"&amp;$C$61),$T33)</f>
        <v>#NUM!</v>
      </c>
      <c r="X33" t="e">
        <f ca="1">INDEX(F$65:INDIRECT("F"&amp;$C$61),$T33)</f>
        <v>#NUM!</v>
      </c>
      <c r="Y33" t="e">
        <f ca="1">INDEX(G$65:INDIRECT("G"&amp;$C$61),$T33)</f>
        <v>#NUM!</v>
      </c>
      <c r="Z33" t="e">
        <f ca="1">INDEX(H$65:INDIRECT("H"&amp;$C$61),$T33)</f>
        <v>#NUM!</v>
      </c>
      <c r="AA33" t="e">
        <f ca="1">INDEX(I$65:INDIRECT("I"&amp;$C$61),$T33)</f>
        <v>#NUM!</v>
      </c>
      <c r="AB33" t="e">
        <f ca="1">INDEX(J$65:INDIRECT("J"&amp;$C$61),$T33)</f>
        <v>#NUM!</v>
      </c>
      <c r="AC33" t="e">
        <f ca="1">INDEX(K$65:INDIRECT("K"&amp;$C$61),$T33)</f>
        <v>#NUM!</v>
      </c>
      <c r="AD33" s="23" t="e">
        <f t="array" aca="1" ref="AD33" ca="1">IF(ISBLANK($AE$11),SMALL(IF($E$65:INDIRECT("E"&amp;$C$61)=$AE$10,L$65:INDIRECT(AD$13&amp;$C$61)),$AH33),IF(ISBLANK($AE$10),SMALL(IF($D$65:INDIRECT("D"&amp;$C$61)=$AE$11,L$65:INDIRECT(AD$13&amp;$C$61)),$AH33),SMALL(IF(($E$65:INDIRECT("E"&amp;$C$61)=$AE$10)*($D$65:INDIRECT("D"&amp;$C$61)=$AE$11),L$65:INDIRECT(AD$13&amp;$C$61)),$AH33)))</f>
        <v>#NUM!</v>
      </c>
      <c r="AE33" t="e">
        <f ca="1">INDEX(M$65:INDIRECT("M"&amp;$C$61),$T33)</f>
        <v>#NUM!</v>
      </c>
      <c r="AF33" t="e">
        <f ca="1">INDEX(N$65:INDIRECT("N"&amp;$C$61),$T33)</f>
        <v>#NUM!</v>
      </c>
      <c r="AG33" t="e">
        <f ca="1">INDEX(O$65:INDIRECT("O"&amp;$C$61),$T33)</f>
        <v>#NUM!</v>
      </c>
      <c r="AH33" s="69">
        <v>2</v>
      </c>
      <c r="AI33" s="69" t="str">
        <f t="shared" si="2"/>
        <v>L</v>
      </c>
      <c r="AJ33" s="69" t="str">
        <f t="shared" si="2"/>
        <v>S</v>
      </c>
    </row>
    <row r="34" spans="1:52" x14ac:dyDescent="0.25">
      <c r="A34" s="74" t="s">
        <v>74</v>
      </c>
      <c r="B34" s="69" t="s">
        <v>33</v>
      </c>
      <c r="C34" s="74" t="e">
        <f ca="1">AB6</f>
        <v>#NUM!</v>
      </c>
      <c r="D34" s="69" t="e">
        <f ca="1">INDEX(D$65:INDIRECT("D"&amp;$C$61),$C34)</f>
        <v>#NUM!</v>
      </c>
      <c r="E34" s="69" t="e">
        <f ca="1">INDEX(INDIRECT(("'MemberID'!$C$6:C"&amp;MemberID!$C$1)),MATCH(D34,INDIRECT(("'MemberID'!$G$6:G"&amp;MemberID!$C$1)),0))</f>
        <v>#NUM!</v>
      </c>
      <c r="F34" s="69" t="e">
        <f ca="1">INDEX(E$65:INDIRECT("E"&amp;$C$61),$C34)</f>
        <v>#NUM!</v>
      </c>
      <c r="G34" t="e">
        <f ca="1">INDEX(F$65:INDIRECT("F"&amp;$C$61),$C34)</f>
        <v>#NUM!</v>
      </c>
      <c r="H34" t="e">
        <f ca="1">INDEX(G$65:INDIRECT("G"&amp;$C$61),$C34)</f>
        <v>#NUM!</v>
      </c>
      <c r="I34" t="e">
        <f ca="1">INDEX(H$65:INDIRECT("H"&amp;$C$61),$C34)</f>
        <v>#NUM!</v>
      </c>
      <c r="J34" t="e">
        <f ca="1">INDEX(I$65:INDIRECT("I"&amp;$C$61),$C34)</f>
        <v>#NUM!</v>
      </c>
      <c r="K34" s="7" t="e">
        <f ca="1">INDEX(J$65:INDIRECT("J"&amp;$C$61),$C34)</f>
        <v>#NUM!</v>
      </c>
      <c r="L34" t="e">
        <f ca="1">INDEX(K$65:INDIRECT("K"&amp;$C$61),$C34)</f>
        <v>#NUM!</v>
      </c>
      <c r="M34" s="23" t="e">
        <f ca="1">INDEX(L$65:INDIRECT("L"&amp;$C$61),$C34)</f>
        <v>#NUM!</v>
      </c>
      <c r="N34" t="e">
        <f ca="1">INDEX(M$65:INDIRECT("M"&amp;$C$61),$C34)</f>
        <v>#NUM!</v>
      </c>
      <c r="O34" t="e">
        <f ca="1">INDEX(N$65:INDIRECT("N"&amp;$C$61),$C34)</f>
        <v>#NUM!</v>
      </c>
      <c r="P34" t="e">
        <f ca="1">INDEX(O$65:INDIRECT("O"&amp;$C$61),$C34)</f>
        <v>#NUM!</v>
      </c>
      <c r="Q34" s="104"/>
      <c r="R34" s="74" t="s">
        <v>74</v>
      </c>
      <c r="S34" s="69" t="s">
        <v>33</v>
      </c>
      <c r="T34" s="74" t="e">
        <f t="array" aca="1" ref="T34" ca="1">MATCH(IF(ISBLANK($AE$11),SMALL(IF($E$65:INDIRECT("E"&amp;$C$61)=$AE$10,INDIRECT(AJ34&amp;65):INDIRECT(AJ34&amp;$C$61)),$AH34),IF(ISBLANK($AE$10),SMALL(IF($D$65:INDIRECT("D"&amp;$C$61)=$AE$11,INDIRECT(AJ34&amp;65):INDIRECT(AJ34&amp;$C$61)),$AH34),SMALL(IF(($E$65:INDIRECT("E"&amp;$C$61)=$AE$10)*($D$65:INDIRECT("D"&amp;$C$61)=$AE$11),INDIRECT(AJ34&amp;65):INDIRECT(AJ34&amp;$C$61)),$AH34))),INDIRECT(AJ34&amp;65):INDIRECT(AJ34&amp;$C$61),0)</f>
        <v>#NUM!</v>
      </c>
      <c r="U34" s="69" t="e">
        <f ca="1">INDEX(D$65:INDIRECT("D"&amp;$C$61),$T34)</f>
        <v>#NUM!</v>
      </c>
      <c r="V34" s="69" t="e">
        <f ca="1">INDEX(INDIRECT(("'MemberID'!$C$6:C"&amp;MemberID!$C$1)),MATCH(U34,INDIRECT(("'MemberID'!$G$6:G"&amp;MemberID!$C$1)),0))</f>
        <v>#NUM!</v>
      </c>
      <c r="W34" s="69" t="e">
        <f ca="1">INDEX(E$65:INDIRECT("E"&amp;$C$61),$T34)</f>
        <v>#NUM!</v>
      </c>
      <c r="X34" t="e">
        <f ca="1">INDEX(F$65:INDIRECT("F"&amp;$C$61),$T34)</f>
        <v>#NUM!</v>
      </c>
      <c r="Y34" t="e">
        <f ca="1">INDEX(G$65:INDIRECT("G"&amp;$C$61),$T34)</f>
        <v>#NUM!</v>
      </c>
      <c r="Z34" t="e">
        <f ca="1">INDEX(H$65:INDIRECT("H"&amp;$C$61),$T34)</f>
        <v>#NUM!</v>
      </c>
      <c r="AA34" t="e">
        <f ca="1">INDEX(I$65:INDIRECT("I"&amp;$C$61),$T34)</f>
        <v>#NUM!</v>
      </c>
      <c r="AB34" t="e">
        <f ca="1">INDEX(J$65:INDIRECT("J"&amp;$C$61),$T34)</f>
        <v>#NUM!</v>
      </c>
      <c r="AC34" t="e">
        <f ca="1">INDEX(K$65:INDIRECT("K"&amp;$C$61),$T34)</f>
        <v>#NUM!</v>
      </c>
      <c r="AD34" s="23" t="e">
        <f t="array" aca="1" ref="AD34" ca="1">IF(ISBLANK($AE$11),SMALL(IF($E$65:INDIRECT("E"&amp;$C$61)=$AE$10,L$65:INDIRECT(AD$13&amp;$C$61)),$AH34),IF(ISBLANK($AE$10),SMALL(IF($D$65:INDIRECT("D"&amp;$C$61)=$AE$11,L$65:INDIRECT(AD$13&amp;$C$61)),$AH34),SMALL(IF(($E$65:INDIRECT("E"&amp;$C$61)=$AE$10)*($D$65:INDIRECT("D"&amp;$C$61)=$AE$11),L$65:INDIRECT(AD$13&amp;$C$61)),$AH34)))</f>
        <v>#NUM!</v>
      </c>
      <c r="AE34" t="e">
        <f ca="1">INDEX(M$65:INDIRECT("M"&amp;$C$61),$T34)</f>
        <v>#NUM!</v>
      </c>
      <c r="AF34" t="e">
        <f ca="1">INDEX(N$65:INDIRECT("N"&amp;$C$61),$T34)</f>
        <v>#NUM!</v>
      </c>
      <c r="AG34" t="e">
        <f ca="1">INDEX(O$65:INDIRECT("O"&amp;$C$61),$T34)</f>
        <v>#NUM!</v>
      </c>
      <c r="AH34" s="69">
        <v>3</v>
      </c>
      <c r="AI34" s="69" t="str">
        <f t="shared" si="2"/>
        <v>L</v>
      </c>
      <c r="AJ34" s="69" t="str">
        <f t="shared" si="2"/>
        <v>S</v>
      </c>
    </row>
    <row r="35" spans="1:52" x14ac:dyDescent="0.25">
      <c r="A35" s="5"/>
      <c r="B35" s="69"/>
      <c r="C35" s="69"/>
      <c r="D35" s="69"/>
      <c r="E35" s="69"/>
      <c r="F35" s="69"/>
      <c r="K35" s="7"/>
      <c r="Q35" s="104"/>
      <c r="R35" s="5"/>
      <c r="S35" s="69"/>
      <c r="T35" s="69"/>
      <c r="V35" s="69"/>
      <c r="W35" s="69"/>
      <c r="AH35" s="69"/>
      <c r="AI35" s="69"/>
      <c r="AJ35" s="69"/>
    </row>
    <row r="36" spans="1:52" x14ac:dyDescent="0.25">
      <c r="A36" s="73" t="s">
        <v>69</v>
      </c>
      <c r="B36" s="69" t="s">
        <v>34</v>
      </c>
      <c r="C36" s="73" t="e">
        <f ca="1">M3</f>
        <v>#N/A</v>
      </c>
      <c r="D36" s="69" t="e">
        <f ca="1">INDEX(D$65:INDIRECT("D"&amp;$C$61),$C36)</f>
        <v>#N/A</v>
      </c>
      <c r="E36" s="69" t="e">
        <f ca="1">INDEX(INDIRECT(("'MemberID'!$C$6:C"&amp;MemberID!$C$1)),MATCH(D36,INDIRECT(("'MemberID'!$G$6:G"&amp;MemberID!$C$1)),0))</f>
        <v>#N/A</v>
      </c>
      <c r="F36" s="69" t="e">
        <f ca="1">INDEX(E$65:INDIRECT("E"&amp;$C$61),$C36)</f>
        <v>#N/A</v>
      </c>
      <c r="G36" t="e">
        <f ca="1">INDEX(F$65:INDIRECT("F"&amp;$C$61),$C36)</f>
        <v>#N/A</v>
      </c>
      <c r="H36" t="e">
        <f ca="1">INDEX(G$65:INDIRECT("G"&amp;$C$61),$C36)</f>
        <v>#N/A</v>
      </c>
      <c r="I36" t="e">
        <f ca="1">INDEX(H$65:INDIRECT("H"&amp;$C$61),$C36)</f>
        <v>#N/A</v>
      </c>
      <c r="J36" t="e">
        <f ca="1">INDEX(I$65:INDIRECT("I"&amp;$C$61),$C36)</f>
        <v>#N/A</v>
      </c>
      <c r="K36" s="7" t="e">
        <f ca="1">INDEX(J$65:INDIRECT("J"&amp;$C$61),$C36)</f>
        <v>#N/A</v>
      </c>
      <c r="L36" t="e">
        <f ca="1">INDEX(K$65:INDIRECT("K"&amp;$C$61),$C36)</f>
        <v>#N/A</v>
      </c>
      <c r="M36" t="e">
        <f ca="1">INDEX(L$65:INDIRECT("L"&amp;$C$61),$C36)</f>
        <v>#N/A</v>
      </c>
      <c r="N36" s="23" t="e">
        <f ca="1">INDEX(M$65:INDIRECT("M"&amp;$C$61),$C36)</f>
        <v>#N/A</v>
      </c>
      <c r="O36" t="e">
        <f ca="1">INDEX(N$65:INDIRECT("N"&amp;$C$61),$C36)</f>
        <v>#N/A</v>
      </c>
      <c r="P36" t="e">
        <f ca="1">INDEX(O$65:INDIRECT("O"&amp;$C$61),$C36)</f>
        <v>#N/A</v>
      </c>
      <c r="Q36" s="104"/>
      <c r="R36" s="73" t="s">
        <v>69</v>
      </c>
      <c r="S36" s="69" t="s">
        <v>34</v>
      </c>
      <c r="T36" s="73" t="e">
        <f t="array" aca="1" ref="T36" ca="1">MATCH(IF(ISBLANK($AE$11),LARGE(IF($E$65:INDIRECT("E"&amp;$C$61)=$AE$10,INDIRECT(AJ36&amp;65):INDIRECT(AJ36&amp;$C$61)),$AH36),IF(ISBLANK($AE$10),LARGE(IF($D$65:INDIRECT("D"&amp;$C$61)=$AE$11,INDIRECT(AJ36&amp;65):INDIRECT(AJ36&amp;$C$61)),$AH36),LARGE(IF(($E$65:INDIRECT("E"&amp;$C$61)=$AE$10)*($D$65:INDIRECT("D"&amp;$C$61)=$AE$11),INDIRECT(AJ36&amp;65):INDIRECT(AJ36&amp;$C$61)),$AH36))),INDIRECT(AJ36&amp;65):INDIRECT(AJ36&amp;$C$61),0)</f>
        <v>#NUM!</v>
      </c>
      <c r="U36" s="69" t="e">
        <f ca="1">INDEX(D$65:INDIRECT("D"&amp;$C$61),$T36)</f>
        <v>#NUM!</v>
      </c>
      <c r="V36" s="69" t="e">
        <f ca="1">INDEX(INDIRECT(("'MemberID'!$C$6:C"&amp;MemberID!$C$1)),MATCH(U36,INDIRECT(("'MemberID'!$G$6:G"&amp;MemberID!$C$1)),0))</f>
        <v>#NUM!</v>
      </c>
      <c r="W36" s="69" t="e">
        <f ca="1">INDEX(E$65:INDIRECT("E"&amp;$C$61),$T36)</f>
        <v>#NUM!</v>
      </c>
      <c r="X36" t="e">
        <f ca="1">INDEX(F$65:INDIRECT("F"&amp;$C$61),$T36)</f>
        <v>#NUM!</v>
      </c>
      <c r="Y36" t="e">
        <f ca="1">INDEX(G$65:INDIRECT("G"&amp;$C$61),$T36)</f>
        <v>#NUM!</v>
      </c>
      <c r="Z36" t="e">
        <f ca="1">INDEX(H$65:INDIRECT("H"&amp;$C$61),$T36)</f>
        <v>#NUM!</v>
      </c>
      <c r="AA36" t="e">
        <f ca="1">INDEX(I$65:INDIRECT("I"&amp;$C$61),$T36)</f>
        <v>#NUM!</v>
      </c>
      <c r="AB36" t="e">
        <f ca="1">INDEX(J$65:INDIRECT("J"&amp;$C$61),$T36)</f>
        <v>#NUM!</v>
      </c>
      <c r="AC36" t="e">
        <f ca="1">INDEX(K$65:INDIRECT("K"&amp;$C$61),$T36)</f>
        <v>#NUM!</v>
      </c>
      <c r="AD36" t="e">
        <f ca="1">INDEX(L$65:INDIRECT("L"&amp;$C$61),$T36)</f>
        <v>#NUM!</v>
      </c>
      <c r="AE36" s="23" t="e">
        <f t="array" aca="1" ref="AE36" ca="1">IF(ISBLANK($AE$11),LARGE(IF($E$65:INDIRECT("E"&amp;$C$61)=$AE$10,M$65:INDIRECT(AE$13&amp;$C$61)),$AH36),IF(ISBLANK($AE$10),LARGE(IF($D$65:INDIRECT("D"&amp;$C$61)=$AE$11,M$65:INDIRECT(AE$13&amp;$C$61)),$AH36),LARGE(IF(($E$65:INDIRECT("E"&amp;$C$61)=$AE$10)*($D$65:INDIRECT("D"&amp;$C$61)=$AE$11),M$65:INDIRECT(AE$13&amp;$C$61)),$AH36)))</f>
        <v>#NUM!</v>
      </c>
      <c r="AF36" t="e">
        <f ca="1">INDEX(N$65:INDIRECT("N"&amp;$C$61),$T36)</f>
        <v>#NUM!</v>
      </c>
      <c r="AG36" t="e">
        <f ca="1">INDEX(O$65:INDIRECT("O"&amp;$C$61),$T36)</f>
        <v>#NUM!</v>
      </c>
      <c r="AH36" s="69">
        <v>1</v>
      </c>
      <c r="AI36" s="69" t="s">
        <v>198</v>
      </c>
      <c r="AJ36" s="69" t="s">
        <v>195</v>
      </c>
    </row>
    <row r="37" spans="1:52" x14ac:dyDescent="0.25">
      <c r="A37" s="73" t="s">
        <v>70</v>
      </c>
      <c r="B37" s="69" t="s">
        <v>34</v>
      </c>
      <c r="C37" s="73" t="e">
        <f ca="1">U3</f>
        <v>#NUM!</v>
      </c>
      <c r="D37" s="69" t="e">
        <f ca="1">INDEX(D$65:INDIRECT("D"&amp;$C$61),$C37)</f>
        <v>#NUM!</v>
      </c>
      <c r="E37" s="69" t="e">
        <f ca="1">INDEX(INDIRECT(("'MemberID'!$C$6:C"&amp;MemberID!$C$1)),MATCH(D37,INDIRECT(("'MemberID'!$G$6:G"&amp;MemberID!$C$1)),0))</f>
        <v>#NUM!</v>
      </c>
      <c r="F37" s="69" t="e">
        <f ca="1">INDEX(E$65:INDIRECT("E"&amp;$C$61),$C37)</f>
        <v>#NUM!</v>
      </c>
      <c r="G37" t="e">
        <f ca="1">INDEX(F$65:INDIRECT("F"&amp;$C$61),$C37)</f>
        <v>#NUM!</v>
      </c>
      <c r="H37" t="e">
        <f ca="1">INDEX(G$65:INDIRECT("G"&amp;$C$61),$C37)</f>
        <v>#NUM!</v>
      </c>
      <c r="I37" t="e">
        <f ca="1">INDEX(H$65:INDIRECT("H"&amp;$C$61),$C37)</f>
        <v>#NUM!</v>
      </c>
      <c r="J37" t="e">
        <f ca="1">INDEX(I$65:INDIRECT("I"&amp;$C$61),$C37)</f>
        <v>#NUM!</v>
      </c>
      <c r="K37" s="7" t="e">
        <f ca="1">INDEX(J$65:INDIRECT("J"&amp;$C$61),$C37)</f>
        <v>#NUM!</v>
      </c>
      <c r="L37" t="e">
        <f ca="1">INDEX(K$65:INDIRECT("K"&amp;$C$61),$C37)</f>
        <v>#NUM!</v>
      </c>
      <c r="M37" t="e">
        <f ca="1">INDEX(L$65:INDIRECT("L"&amp;$C$61),$C37)</f>
        <v>#NUM!</v>
      </c>
      <c r="N37" s="23" t="e">
        <f ca="1">INDEX(M$65:INDIRECT("M"&amp;$C$61),$C37)</f>
        <v>#NUM!</v>
      </c>
      <c r="O37" t="e">
        <f ca="1">INDEX(N$65:INDIRECT("N"&amp;$C$61),$C37)</f>
        <v>#NUM!</v>
      </c>
      <c r="P37" t="e">
        <f ca="1">INDEX(O$65:INDIRECT("O"&amp;$C$61),$C37)</f>
        <v>#NUM!</v>
      </c>
      <c r="Q37" s="104"/>
      <c r="R37" s="73" t="s">
        <v>70</v>
      </c>
      <c r="S37" s="69" t="s">
        <v>34</v>
      </c>
      <c r="T37" s="73" t="e">
        <f t="array" aca="1" ref="T37" ca="1">MATCH(IF(ISBLANK($AE$11),LARGE(IF($E$65:INDIRECT("E"&amp;$C$61)=$AE$10,INDIRECT(AJ37&amp;65):INDIRECT(AJ37&amp;$C$61)),$AH37),IF(ISBLANK($AE$10),LARGE(IF($D$65:INDIRECT("D"&amp;$C$61)=$AE$11,INDIRECT(AJ37&amp;65):INDIRECT(AJ37&amp;$C$61)),$AH37),LARGE(IF(($E$65:INDIRECT("E"&amp;$C$61)=$AE$10)*($D$65:INDIRECT("D"&amp;$C$61)=$AE$11),INDIRECT(AJ37&amp;65):INDIRECT(AJ37&amp;$C$61)),$AH37))),INDIRECT(AJ37&amp;65):INDIRECT(AJ37&amp;$C$61),0)</f>
        <v>#NUM!</v>
      </c>
      <c r="U37" s="69" t="e">
        <f ca="1">INDEX(D$65:INDIRECT("D"&amp;$C$61),$T37)</f>
        <v>#NUM!</v>
      </c>
      <c r="V37" s="69" t="e">
        <f ca="1">INDEX(INDIRECT(("'MemberID'!$C$6:C"&amp;MemberID!$C$1)),MATCH(U37,INDIRECT(("'MemberID'!$G$6:G"&amp;MemberID!$C$1)),0))</f>
        <v>#NUM!</v>
      </c>
      <c r="W37" s="69" t="e">
        <f ca="1">INDEX(E$65:INDIRECT("E"&amp;$C$61),$T37)</f>
        <v>#NUM!</v>
      </c>
      <c r="X37" t="e">
        <f ca="1">INDEX(F$65:INDIRECT("F"&amp;$C$61),$T37)</f>
        <v>#NUM!</v>
      </c>
      <c r="Y37" t="e">
        <f ca="1">INDEX(G$65:INDIRECT("G"&amp;$C$61),$T37)</f>
        <v>#NUM!</v>
      </c>
      <c r="Z37" t="e">
        <f ca="1">INDEX(H$65:INDIRECT("H"&amp;$C$61),$T37)</f>
        <v>#NUM!</v>
      </c>
      <c r="AA37" t="e">
        <f ca="1">INDEX(I$65:INDIRECT("I"&amp;$C$61),$T37)</f>
        <v>#NUM!</v>
      </c>
      <c r="AB37" t="e">
        <f ca="1">INDEX(J$65:INDIRECT("J"&amp;$C$61),$T37)</f>
        <v>#NUM!</v>
      </c>
      <c r="AC37" t="e">
        <f ca="1">INDEX(K$65:INDIRECT("K"&amp;$C$61),$T37)</f>
        <v>#NUM!</v>
      </c>
      <c r="AD37" t="e">
        <f ca="1">INDEX(L$65:INDIRECT("L"&amp;$C$61),$T37)</f>
        <v>#NUM!</v>
      </c>
      <c r="AE37" s="23" t="e">
        <f t="array" aca="1" ref="AE37" ca="1">IF(ISBLANK($AE$11),LARGE(IF($E$65:INDIRECT("E"&amp;$C$61)=$AE$10,M$65:INDIRECT(AE$13&amp;$C$61)),$AH37),IF(ISBLANK($AE$10),LARGE(IF($D$65:INDIRECT("D"&amp;$C$61)=$AE$11,M$65:INDIRECT(AE$13&amp;$C$61)),$AH37),LARGE(IF(($E$65:INDIRECT("E"&amp;$C$61)=$AE$10)*($D$65:INDIRECT("D"&amp;$C$61)=$AE$11),M$65:INDIRECT(AE$13&amp;$C$61)),$AH37)))</f>
        <v>#NUM!</v>
      </c>
      <c r="AF37" t="e">
        <f ca="1">INDEX(N$65:INDIRECT("N"&amp;$C$61),$T37)</f>
        <v>#NUM!</v>
      </c>
      <c r="AG37" t="e">
        <f ca="1">INDEX(O$65:INDIRECT("O"&amp;$C$61),$T37)</f>
        <v>#NUM!</v>
      </c>
      <c r="AH37" s="69">
        <v>2</v>
      </c>
      <c r="AI37" s="69" t="str">
        <f>AI36</f>
        <v>M</v>
      </c>
      <c r="AJ37" s="69" t="str">
        <f>AJ36</f>
        <v>T</v>
      </c>
    </row>
    <row r="38" spans="1:52" x14ac:dyDescent="0.25">
      <c r="A38" s="73" t="s">
        <v>71</v>
      </c>
      <c r="B38" s="69" t="s">
        <v>34</v>
      </c>
      <c r="C38" s="73" t="e">
        <f ca="1">AC3</f>
        <v>#NUM!</v>
      </c>
      <c r="D38" s="69" t="e">
        <f ca="1">INDEX(D$65:INDIRECT("D"&amp;$C$61),$C38)</f>
        <v>#NUM!</v>
      </c>
      <c r="E38" s="69" t="e">
        <f ca="1">INDEX(INDIRECT(("'MemberID'!$C$6:C"&amp;MemberID!$C$1)),MATCH(D38,INDIRECT(("'MemberID'!$G$6:G"&amp;MemberID!$C$1)),0))</f>
        <v>#NUM!</v>
      </c>
      <c r="F38" s="69" t="e">
        <f ca="1">INDEX(E$65:INDIRECT("E"&amp;$C$61),$C38)</f>
        <v>#NUM!</v>
      </c>
      <c r="G38" t="e">
        <f ca="1">INDEX(F$65:INDIRECT("F"&amp;$C$61),$C38)</f>
        <v>#NUM!</v>
      </c>
      <c r="H38" t="e">
        <f ca="1">INDEX(G$65:INDIRECT("G"&amp;$C$61),$C38)</f>
        <v>#NUM!</v>
      </c>
      <c r="I38" t="e">
        <f ca="1">INDEX(H$65:INDIRECT("H"&amp;$C$61),$C38)</f>
        <v>#NUM!</v>
      </c>
      <c r="J38" t="e">
        <f ca="1">INDEX(I$65:INDIRECT("I"&amp;$C$61),$C38)</f>
        <v>#NUM!</v>
      </c>
      <c r="K38" s="7" t="e">
        <f ca="1">INDEX(J$65:INDIRECT("J"&amp;$C$61),$C38)</f>
        <v>#NUM!</v>
      </c>
      <c r="L38" t="e">
        <f ca="1">INDEX(K$65:INDIRECT("K"&amp;$C$61),$C38)</f>
        <v>#NUM!</v>
      </c>
      <c r="M38" t="e">
        <f ca="1">INDEX(L$65:INDIRECT("L"&amp;$C$61),$C38)</f>
        <v>#NUM!</v>
      </c>
      <c r="N38" s="23" t="e">
        <f ca="1">INDEX(M$65:INDIRECT("M"&amp;$C$61),$C38)</f>
        <v>#NUM!</v>
      </c>
      <c r="O38" t="e">
        <f ca="1">INDEX(N$65:INDIRECT("N"&amp;$C$61),$C38)</f>
        <v>#NUM!</v>
      </c>
      <c r="P38" t="e">
        <f ca="1">INDEX(O$65:INDIRECT("O"&amp;$C$61),$C38)</f>
        <v>#NUM!</v>
      </c>
      <c r="Q38" s="104"/>
      <c r="R38" s="73" t="s">
        <v>71</v>
      </c>
      <c r="S38" s="69" t="s">
        <v>34</v>
      </c>
      <c r="T38" s="73" t="e">
        <f t="array" aca="1" ref="T38" ca="1">MATCH(IF(ISBLANK($AE$11),LARGE(IF($E$65:INDIRECT("E"&amp;$C$61)=$AE$10,INDIRECT(AJ38&amp;65):INDIRECT(AJ38&amp;$C$61)),$AH38),IF(ISBLANK($AE$10),LARGE(IF($D$65:INDIRECT("D"&amp;$C$61)=$AE$11,INDIRECT(AJ38&amp;65):INDIRECT(AJ38&amp;$C$61)),$AH38),LARGE(IF(($E$65:INDIRECT("E"&amp;$C$61)=$AE$10)*($D$65:INDIRECT("D"&amp;$C$61)=$AE$11),INDIRECT(AJ38&amp;65):INDIRECT(AJ38&amp;$C$61)),$AH38))),INDIRECT(AJ38&amp;65):INDIRECT(AJ38&amp;$C$61),0)</f>
        <v>#NUM!</v>
      </c>
      <c r="U38" s="69" t="e">
        <f ca="1">INDEX(D$65:INDIRECT("D"&amp;$C$61),$T38)</f>
        <v>#NUM!</v>
      </c>
      <c r="V38" s="69" t="e">
        <f ca="1">INDEX(INDIRECT(("'MemberID'!$C$6:C"&amp;MemberID!$C$1)),MATCH(U38,INDIRECT(("'MemberID'!$G$6:G"&amp;MemberID!$C$1)),0))</f>
        <v>#NUM!</v>
      </c>
      <c r="W38" s="69" t="e">
        <f ca="1">INDEX(E$65:INDIRECT("E"&amp;$C$61),$T38)</f>
        <v>#NUM!</v>
      </c>
      <c r="X38" t="e">
        <f ca="1">INDEX(F$65:INDIRECT("F"&amp;$C$61),$T38)</f>
        <v>#NUM!</v>
      </c>
      <c r="Y38" t="e">
        <f ca="1">INDEX(G$65:INDIRECT("G"&amp;$C$61),$T38)</f>
        <v>#NUM!</v>
      </c>
      <c r="Z38" t="e">
        <f ca="1">INDEX(H$65:INDIRECT("H"&amp;$C$61),$T38)</f>
        <v>#NUM!</v>
      </c>
      <c r="AA38" t="e">
        <f ca="1">INDEX(I$65:INDIRECT("I"&amp;$C$61),$T38)</f>
        <v>#NUM!</v>
      </c>
      <c r="AB38" t="e">
        <f ca="1">INDEX(J$65:INDIRECT("J"&amp;$C$61),$T38)</f>
        <v>#NUM!</v>
      </c>
      <c r="AC38" t="e">
        <f ca="1">INDEX(K$65:INDIRECT("K"&amp;$C$61),$T38)</f>
        <v>#NUM!</v>
      </c>
      <c r="AD38" t="e">
        <f ca="1">INDEX(L$65:INDIRECT("L"&amp;$C$61),$T38)</f>
        <v>#NUM!</v>
      </c>
      <c r="AE38" s="23" t="e">
        <f t="array" aca="1" ref="AE38" ca="1">IF(ISBLANK($AE$11),LARGE(IF($E$65:INDIRECT("E"&amp;$C$61)=$AE$10,M$65:INDIRECT(AE$13&amp;$C$61)),$AH38),IF(ISBLANK($AE$10),LARGE(IF($D$65:INDIRECT("D"&amp;$C$61)=$AE$11,M$65:INDIRECT(AE$13&amp;$C$61)),$AH38),LARGE(IF(($E$65:INDIRECT("E"&amp;$C$61)=$AE$10)*($D$65:INDIRECT("D"&amp;$C$61)=$AE$11),M$65:INDIRECT(AE$13&amp;$C$61)),$AH38)))</f>
        <v>#NUM!</v>
      </c>
      <c r="AF38" t="e">
        <f ca="1">INDEX(N$65:INDIRECT("N"&amp;$C$61),$T38)</f>
        <v>#NUM!</v>
      </c>
      <c r="AG38" t="e">
        <f ca="1">INDEX(O$65:INDIRECT("O"&amp;$C$61),$T38)</f>
        <v>#NUM!</v>
      </c>
      <c r="AH38" s="69">
        <v>3</v>
      </c>
      <c r="AI38" s="69" t="str">
        <f t="shared" ref="AI38:AJ41" si="3">AI37</f>
        <v>M</v>
      </c>
      <c r="AJ38" s="69" t="str">
        <f t="shared" si="3"/>
        <v>T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74" t="s">
        <v>72</v>
      </c>
      <c r="B39" s="69" t="s">
        <v>34</v>
      </c>
      <c r="C39" s="74" t="e">
        <f ca="1">M6</f>
        <v>#N/A</v>
      </c>
      <c r="D39" s="69" t="e">
        <f ca="1">INDEX(D$65:INDIRECT("D"&amp;$C$61),$C39)</f>
        <v>#N/A</v>
      </c>
      <c r="E39" s="69" t="e">
        <f ca="1">INDEX(INDIRECT(("'MemberID'!$C$6:C"&amp;MemberID!$C$1)),MATCH(D39,INDIRECT(("'MemberID'!$G$6:G"&amp;MemberID!$C$1)),0))</f>
        <v>#N/A</v>
      </c>
      <c r="F39" s="69" t="e">
        <f ca="1">INDEX(E$65:INDIRECT("E"&amp;$C$61),$C39)</f>
        <v>#N/A</v>
      </c>
      <c r="G39" t="e">
        <f ca="1">INDEX(F$65:INDIRECT("F"&amp;$C$61),$C39)</f>
        <v>#N/A</v>
      </c>
      <c r="H39" t="e">
        <f ca="1">INDEX(G$65:INDIRECT("G"&amp;$C$61),$C39)</f>
        <v>#N/A</v>
      </c>
      <c r="I39" t="e">
        <f ca="1">INDEX(H$65:INDIRECT("H"&amp;$C$61),$C39)</f>
        <v>#N/A</v>
      </c>
      <c r="J39" t="e">
        <f ca="1">INDEX(I$65:INDIRECT("I"&amp;$C$61),$C39)</f>
        <v>#N/A</v>
      </c>
      <c r="K39" s="7" t="e">
        <f ca="1">INDEX(J$65:INDIRECT("J"&amp;$C$61),$C39)</f>
        <v>#N/A</v>
      </c>
      <c r="L39" t="e">
        <f ca="1">INDEX(K$65:INDIRECT("K"&amp;$C$61),$C39)</f>
        <v>#N/A</v>
      </c>
      <c r="M39" t="e">
        <f ca="1">INDEX(L$65:INDIRECT("L"&amp;$C$61),$C39)</f>
        <v>#N/A</v>
      </c>
      <c r="N39" s="23" t="e">
        <f ca="1">INDEX(M$65:INDIRECT("M"&amp;$C$61),$C39)</f>
        <v>#N/A</v>
      </c>
      <c r="O39" t="e">
        <f ca="1">INDEX(N$65:INDIRECT("N"&amp;$C$61),$C39)</f>
        <v>#N/A</v>
      </c>
      <c r="P39" t="e">
        <f ca="1">INDEX(O$65:INDIRECT("O"&amp;$C$61),$C39)</f>
        <v>#N/A</v>
      </c>
      <c r="Q39" s="104"/>
      <c r="R39" s="74" t="s">
        <v>72</v>
      </c>
      <c r="S39" s="69" t="s">
        <v>34</v>
      </c>
      <c r="T39" s="74" t="e">
        <f t="array" aca="1" ref="T39" ca="1">MATCH(IF(ISBLANK($AE$11),SMALL(IF($E$65:INDIRECT("E"&amp;$C$61)=$AE$10,INDIRECT(AJ39&amp;65):INDIRECT(AJ39&amp;$C$61)),$AH39),IF(ISBLANK($AE$10),SMALL(IF($D$65:INDIRECT("D"&amp;$C$61)=$AE$11,INDIRECT(AJ39&amp;65):INDIRECT(AJ39&amp;$C$61)),$AH39),SMALL(IF(($E$65:INDIRECT("E"&amp;$C$61)=$AE$10)*($D$65:INDIRECT("D"&amp;$C$61)=$AE$11),INDIRECT(AJ39&amp;65):INDIRECT(AJ39&amp;$C$61)),$AH39))),INDIRECT(AJ39&amp;65):INDIRECT(AJ39&amp;$C$61),0)</f>
        <v>#NUM!</v>
      </c>
      <c r="U39" s="69" t="e">
        <f ca="1">INDEX(D$65:INDIRECT("D"&amp;$C$61),$T39)</f>
        <v>#NUM!</v>
      </c>
      <c r="V39" s="69" t="e">
        <f ca="1">INDEX(INDIRECT(("'MemberID'!$C$6:C"&amp;MemberID!$C$1)),MATCH(U39,INDIRECT(("'MemberID'!$G$6:G"&amp;MemberID!$C$1)),0))</f>
        <v>#NUM!</v>
      </c>
      <c r="W39" s="69" t="e">
        <f ca="1">INDEX(E$65:INDIRECT("E"&amp;$C$61),$T39)</f>
        <v>#NUM!</v>
      </c>
      <c r="X39" t="e">
        <f ca="1">INDEX(F$65:INDIRECT("F"&amp;$C$61),$T39)</f>
        <v>#NUM!</v>
      </c>
      <c r="Y39" t="e">
        <f ca="1">INDEX(G$65:INDIRECT("G"&amp;$C$61),$T39)</f>
        <v>#NUM!</v>
      </c>
      <c r="Z39" t="e">
        <f ca="1">INDEX(H$65:INDIRECT("H"&amp;$C$61),$T39)</f>
        <v>#NUM!</v>
      </c>
      <c r="AA39" t="e">
        <f ca="1">INDEX(I$65:INDIRECT("I"&amp;$C$61),$T39)</f>
        <v>#NUM!</v>
      </c>
      <c r="AB39" t="e">
        <f ca="1">INDEX(J$65:INDIRECT("J"&amp;$C$61),$T39)</f>
        <v>#NUM!</v>
      </c>
      <c r="AC39" t="e">
        <f ca="1">INDEX(K$65:INDIRECT("K"&amp;$C$61),$T39)</f>
        <v>#NUM!</v>
      </c>
      <c r="AD39" t="e">
        <f ca="1">INDEX(L$65:INDIRECT("L"&amp;$C$61),$T39)</f>
        <v>#NUM!</v>
      </c>
      <c r="AE39" s="23" t="e">
        <f t="array" aca="1" ref="AE39" ca="1">IF(ISBLANK($AE$11),SMALL(IF($E$65:INDIRECT("E"&amp;$C$61)=$AE$10,M$65:INDIRECT(AE$13&amp;$C$61)),$AH39),IF(ISBLANK($AE$10),SMALL(IF($D$65:INDIRECT("D"&amp;$C$61)=$AE$11,M$65:INDIRECT(AE$13&amp;$C$61)),$AH39),SMALL(IF(($E$65:INDIRECT("E"&amp;$C$61)=$AE$10)*($D$65:INDIRECT("D"&amp;$C$61)=$AE$11),M$65:INDIRECT(AE$13&amp;$C$61)),$AH39)))</f>
        <v>#NUM!</v>
      </c>
      <c r="AF39" t="e">
        <f ca="1">INDEX(N$65:INDIRECT("N"&amp;$C$61),$T39)</f>
        <v>#NUM!</v>
      </c>
      <c r="AG39" t="e">
        <f ca="1">INDEX(O$65:INDIRECT("O"&amp;$C$61),$T39)</f>
        <v>#NUM!</v>
      </c>
      <c r="AH39" s="69">
        <v>1</v>
      </c>
      <c r="AI39" s="69" t="str">
        <f t="shared" si="3"/>
        <v>M</v>
      </c>
      <c r="AJ39" s="69" t="str">
        <f t="shared" si="3"/>
        <v>T</v>
      </c>
    </row>
    <row r="40" spans="1:52" x14ac:dyDescent="0.25">
      <c r="A40" s="74" t="s">
        <v>73</v>
      </c>
      <c r="B40" s="69" t="s">
        <v>34</v>
      </c>
      <c r="C40" s="74" t="e">
        <f ca="1">U6</f>
        <v>#NUM!</v>
      </c>
      <c r="D40" s="69" t="e">
        <f ca="1">INDEX(D$65:INDIRECT("D"&amp;$C$61),$C40)</f>
        <v>#NUM!</v>
      </c>
      <c r="E40" s="69" t="e">
        <f ca="1">INDEX(INDIRECT(("'MemberID'!$C$6:C"&amp;MemberID!$C$1)),MATCH(D40,INDIRECT(("'MemberID'!$G$6:G"&amp;MemberID!$C$1)),0))</f>
        <v>#NUM!</v>
      </c>
      <c r="F40" s="69" t="e">
        <f ca="1">INDEX(E$65:INDIRECT("E"&amp;$C$61),$C40)</f>
        <v>#NUM!</v>
      </c>
      <c r="G40" t="e">
        <f ca="1">INDEX(F$65:INDIRECT("F"&amp;$C$61),$C40)</f>
        <v>#NUM!</v>
      </c>
      <c r="H40" t="e">
        <f ca="1">INDEX(G$65:INDIRECT("G"&amp;$C$61),$C40)</f>
        <v>#NUM!</v>
      </c>
      <c r="I40" t="e">
        <f ca="1">INDEX(H$65:INDIRECT("H"&amp;$C$61),$C40)</f>
        <v>#NUM!</v>
      </c>
      <c r="J40" t="e">
        <f ca="1">INDEX(I$65:INDIRECT("I"&amp;$C$61),$C40)</f>
        <v>#NUM!</v>
      </c>
      <c r="K40" s="7" t="e">
        <f ca="1">INDEX(J$65:INDIRECT("J"&amp;$C$61),$C40)</f>
        <v>#NUM!</v>
      </c>
      <c r="L40" t="e">
        <f ca="1">INDEX(K$65:INDIRECT("K"&amp;$C$61),$C40)</f>
        <v>#NUM!</v>
      </c>
      <c r="M40" t="e">
        <f ca="1">INDEX(L$65:INDIRECT("L"&amp;$C$61),$C40)</f>
        <v>#NUM!</v>
      </c>
      <c r="N40" s="23" t="e">
        <f ca="1">INDEX(M$65:INDIRECT("M"&amp;$C$61),$C40)</f>
        <v>#NUM!</v>
      </c>
      <c r="O40" t="e">
        <f ca="1">INDEX(N$65:INDIRECT("N"&amp;$C$61),$C40)</f>
        <v>#NUM!</v>
      </c>
      <c r="P40" t="e">
        <f ca="1">INDEX(O$65:INDIRECT("O"&amp;$C$61),$C40)</f>
        <v>#NUM!</v>
      </c>
      <c r="Q40" s="104"/>
      <c r="R40" s="74" t="s">
        <v>73</v>
      </c>
      <c r="S40" s="69" t="s">
        <v>34</v>
      </c>
      <c r="T40" s="74" t="e">
        <f t="array" aca="1" ref="T40" ca="1">MATCH(IF(ISBLANK($AE$11),SMALL(IF($E$65:INDIRECT("E"&amp;$C$61)=$AE$10,INDIRECT(AJ40&amp;65):INDIRECT(AJ40&amp;$C$61)),$AH40),IF(ISBLANK($AE$10),SMALL(IF($D$65:INDIRECT("D"&amp;$C$61)=$AE$11,INDIRECT(AJ40&amp;65):INDIRECT(AJ40&amp;$C$61)),$AH40),SMALL(IF(($E$65:INDIRECT("E"&amp;$C$61)=$AE$10)*($D$65:INDIRECT("D"&amp;$C$61)=$AE$11),INDIRECT(AJ40&amp;65):INDIRECT(AJ40&amp;$C$61)),$AH40))),INDIRECT(AJ40&amp;65):INDIRECT(AJ40&amp;$C$61),0)</f>
        <v>#NUM!</v>
      </c>
      <c r="U40" s="69" t="e">
        <f ca="1">INDEX(D$65:INDIRECT("D"&amp;$C$61),$T40)</f>
        <v>#NUM!</v>
      </c>
      <c r="V40" s="69" t="e">
        <f ca="1">INDEX(INDIRECT(("'MemberID'!$C$6:C"&amp;MemberID!$C$1)),MATCH(U40,INDIRECT(("'MemberID'!$G$6:G"&amp;MemberID!$C$1)),0))</f>
        <v>#NUM!</v>
      </c>
      <c r="W40" s="69" t="e">
        <f ca="1">INDEX(E$65:INDIRECT("E"&amp;$C$61),$T40)</f>
        <v>#NUM!</v>
      </c>
      <c r="X40" t="e">
        <f ca="1">INDEX(F$65:INDIRECT("F"&amp;$C$61),$T40)</f>
        <v>#NUM!</v>
      </c>
      <c r="Y40" t="e">
        <f ca="1">INDEX(G$65:INDIRECT("G"&amp;$C$61),$T40)</f>
        <v>#NUM!</v>
      </c>
      <c r="Z40" t="e">
        <f ca="1">INDEX(H$65:INDIRECT("H"&amp;$C$61),$T40)</f>
        <v>#NUM!</v>
      </c>
      <c r="AA40" t="e">
        <f ca="1">INDEX(I$65:INDIRECT("I"&amp;$C$61),$T40)</f>
        <v>#NUM!</v>
      </c>
      <c r="AB40" t="e">
        <f ca="1">INDEX(J$65:INDIRECT("J"&amp;$C$61),$T40)</f>
        <v>#NUM!</v>
      </c>
      <c r="AC40" t="e">
        <f ca="1">INDEX(K$65:INDIRECT("K"&amp;$C$61),$T40)</f>
        <v>#NUM!</v>
      </c>
      <c r="AD40" t="e">
        <f ca="1">INDEX(L$65:INDIRECT("L"&amp;$C$61),$T40)</f>
        <v>#NUM!</v>
      </c>
      <c r="AE40" s="23" t="e">
        <f t="array" aca="1" ref="AE40" ca="1">IF(ISBLANK($AE$11),SMALL(IF($E$65:INDIRECT("E"&amp;$C$61)=$AE$10,M$65:INDIRECT(AE$13&amp;$C$61)),$AH40),IF(ISBLANK($AE$10),SMALL(IF($D$65:INDIRECT("D"&amp;$C$61)=$AE$11,M$65:INDIRECT(AE$13&amp;$C$61)),$AH40),SMALL(IF(($E$65:INDIRECT("E"&amp;$C$61)=$AE$10)*($D$65:INDIRECT("D"&amp;$C$61)=$AE$11),M$65:INDIRECT(AE$13&amp;$C$61)),$AH40)))</f>
        <v>#NUM!</v>
      </c>
      <c r="AF40" t="e">
        <f ca="1">INDEX(N$65:INDIRECT("N"&amp;$C$61),$T40)</f>
        <v>#NUM!</v>
      </c>
      <c r="AG40" t="e">
        <f ca="1">INDEX(O$65:INDIRECT("O"&amp;$C$61),$T40)</f>
        <v>#NUM!</v>
      </c>
      <c r="AH40" s="69">
        <v>2</v>
      </c>
      <c r="AI40" s="69" t="str">
        <f t="shared" si="3"/>
        <v>M</v>
      </c>
      <c r="AJ40" s="69" t="str">
        <f t="shared" si="3"/>
        <v>T</v>
      </c>
    </row>
    <row r="41" spans="1:52" x14ac:dyDescent="0.25">
      <c r="A41" s="74" t="s">
        <v>74</v>
      </c>
      <c r="B41" s="69" t="s">
        <v>34</v>
      </c>
      <c r="C41" s="74" t="e">
        <f ca="1">AC6</f>
        <v>#NUM!</v>
      </c>
      <c r="D41" s="69" t="e">
        <f ca="1">INDEX(D$65:INDIRECT("D"&amp;$C$61),$C41)</f>
        <v>#NUM!</v>
      </c>
      <c r="E41" s="69" t="e">
        <f ca="1">INDEX(INDIRECT(("'MemberID'!$C$6:C"&amp;MemberID!$C$1)),MATCH(D41,INDIRECT(("'MemberID'!$G$6:G"&amp;MemberID!$C$1)),0))</f>
        <v>#NUM!</v>
      </c>
      <c r="F41" s="69" t="e">
        <f ca="1">INDEX(E$65:INDIRECT("E"&amp;$C$61),$C41)</f>
        <v>#NUM!</v>
      </c>
      <c r="G41" t="e">
        <f ca="1">INDEX(F$65:INDIRECT("F"&amp;$C$61),$C41)</f>
        <v>#NUM!</v>
      </c>
      <c r="H41" t="e">
        <f ca="1">INDEX(G$65:INDIRECT("G"&amp;$C$61),$C41)</f>
        <v>#NUM!</v>
      </c>
      <c r="I41" t="e">
        <f ca="1">INDEX(H$65:INDIRECT("H"&amp;$C$61),$C41)</f>
        <v>#NUM!</v>
      </c>
      <c r="J41" t="e">
        <f ca="1">INDEX(I$65:INDIRECT("I"&amp;$C$61),$C41)</f>
        <v>#NUM!</v>
      </c>
      <c r="K41" s="7" t="e">
        <f ca="1">INDEX(J$65:INDIRECT("J"&amp;$C$61),$C41)</f>
        <v>#NUM!</v>
      </c>
      <c r="L41" t="e">
        <f ca="1">INDEX(K$65:INDIRECT("K"&amp;$C$61),$C41)</f>
        <v>#NUM!</v>
      </c>
      <c r="M41" t="e">
        <f ca="1">INDEX(L$65:INDIRECT("L"&amp;$C$61),$C41)</f>
        <v>#NUM!</v>
      </c>
      <c r="N41" s="23" t="e">
        <f ca="1">INDEX(M$65:INDIRECT("M"&amp;$C$61),$C41)</f>
        <v>#NUM!</v>
      </c>
      <c r="O41" t="e">
        <f ca="1">INDEX(N$65:INDIRECT("N"&amp;$C$61),$C41)</f>
        <v>#NUM!</v>
      </c>
      <c r="P41" t="e">
        <f ca="1">INDEX(O$65:INDIRECT("O"&amp;$C$61),$C41)</f>
        <v>#NUM!</v>
      </c>
      <c r="Q41" s="104"/>
      <c r="R41" s="74" t="s">
        <v>74</v>
      </c>
      <c r="S41" s="69" t="s">
        <v>34</v>
      </c>
      <c r="T41" s="74" t="e">
        <f t="array" aca="1" ref="T41" ca="1">MATCH(IF(ISBLANK($AE$11),SMALL(IF($E$65:INDIRECT("E"&amp;$C$61)=$AE$10,INDIRECT(AJ41&amp;65):INDIRECT(AJ41&amp;$C$61)),$AH41),IF(ISBLANK($AE$10),SMALL(IF($D$65:INDIRECT("D"&amp;$C$61)=$AE$11,INDIRECT(AJ41&amp;65):INDIRECT(AJ41&amp;$C$61)),$AH41),SMALL(IF(($E$65:INDIRECT("E"&amp;$C$61)=$AE$10)*($D$65:INDIRECT("D"&amp;$C$61)=$AE$11),INDIRECT(AJ41&amp;65):INDIRECT(AJ41&amp;$C$61)),$AH41))),INDIRECT(AJ41&amp;65):INDIRECT(AJ41&amp;$C$61),0)</f>
        <v>#NUM!</v>
      </c>
      <c r="U41" s="69" t="e">
        <f ca="1">INDEX(D$65:INDIRECT("D"&amp;$C$61),$T41)</f>
        <v>#NUM!</v>
      </c>
      <c r="V41" s="69" t="e">
        <f ca="1">INDEX(INDIRECT(("'MemberID'!$C$6:C"&amp;MemberID!$C$1)),MATCH(U41,INDIRECT(("'MemberID'!$G$6:G"&amp;MemberID!$C$1)),0))</f>
        <v>#NUM!</v>
      </c>
      <c r="W41" s="69" t="e">
        <f ca="1">INDEX(E$65:INDIRECT("E"&amp;$C$61),$T41)</f>
        <v>#NUM!</v>
      </c>
      <c r="X41" t="e">
        <f ca="1">INDEX(F$65:INDIRECT("F"&amp;$C$61),$T41)</f>
        <v>#NUM!</v>
      </c>
      <c r="Y41" t="e">
        <f ca="1">INDEX(G$65:INDIRECT("G"&amp;$C$61),$T41)</f>
        <v>#NUM!</v>
      </c>
      <c r="Z41" t="e">
        <f ca="1">INDEX(H$65:INDIRECT("H"&amp;$C$61),$T41)</f>
        <v>#NUM!</v>
      </c>
      <c r="AA41" t="e">
        <f ca="1">INDEX(I$65:INDIRECT("I"&amp;$C$61),$T41)</f>
        <v>#NUM!</v>
      </c>
      <c r="AB41" t="e">
        <f ca="1">INDEX(J$65:INDIRECT("J"&amp;$C$61),$T41)</f>
        <v>#NUM!</v>
      </c>
      <c r="AC41" t="e">
        <f ca="1">INDEX(K$65:INDIRECT("K"&amp;$C$61),$T41)</f>
        <v>#NUM!</v>
      </c>
      <c r="AD41" t="e">
        <f ca="1">INDEX(L$65:INDIRECT("L"&amp;$C$61),$T41)</f>
        <v>#NUM!</v>
      </c>
      <c r="AE41" s="23" t="e">
        <f t="array" aca="1" ref="AE41" ca="1">IF(ISBLANK($AE$11),SMALL(IF($E$65:INDIRECT("E"&amp;$C$61)=$AE$10,M$65:INDIRECT(AE$13&amp;$C$61)),$AH41),IF(ISBLANK($AE$10),SMALL(IF($D$65:INDIRECT("D"&amp;$C$61)=$AE$11,M$65:INDIRECT(AE$13&amp;$C$61)),$AH41),SMALL(IF(($E$65:INDIRECT("E"&amp;$C$61)=$AE$10)*($D$65:INDIRECT("D"&amp;$C$61)=$AE$11),M$65:INDIRECT(AE$13&amp;$C$61)),$AH41)))</f>
        <v>#NUM!</v>
      </c>
      <c r="AF41" t="e">
        <f ca="1">INDEX(N$65:INDIRECT("N"&amp;$C$61),$T41)</f>
        <v>#NUM!</v>
      </c>
      <c r="AG41" t="e">
        <f ca="1">INDEX(O$65:INDIRECT("O"&amp;$C$61),$T41)</f>
        <v>#NUM!</v>
      </c>
      <c r="AH41" s="69">
        <v>3</v>
      </c>
      <c r="AI41" s="69" t="str">
        <f t="shared" si="3"/>
        <v>M</v>
      </c>
      <c r="AJ41" s="69" t="str">
        <f t="shared" si="3"/>
        <v>T</v>
      </c>
      <c r="AL41" s="86"/>
    </row>
    <row r="42" spans="1:52" x14ac:dyDescent="0.25">
      <c r="A42" s="5"/>
      <c r="B42" s="69"/>
      <c r="C42" s="69"/>
      <c r="D42" s="69"/>
      <c r="E42" s="69"/>
      <c r="F42" s="69"/>
      <c r="K42" s="7"/>
      <c r="Q42" s="104"/>
      <c r="R42" s="5"/>
      <c r="S42" s="69"/>
      <c r="T42" s="69"/>
      <c r="V42" s="69"/>
      <c r="W42" s="69"/>
      <c r="AH42" s="69"/>
      <c r="AI42" s="69"/>
      <c r="AJ42" s="69"/>
    </row>
    <row r="43" spans="1:52" x14ac:dyDescent="0.25">
      <c r="A43" s="73" t="s">
        <v>69</v>
      </c>
      <c r="B43" s="69" t="s">
        <v>35</v>
      </c>
      <c r="C43" s="73" t="e">
        <f ca="1">N3</f>
        <v>#N/A</v>
      </c>
      <c r="D43" s="69" t="e">
        <f ca="1">INDEX(D$65:INDIRECT("D"&amp;$C$61),$C43)</f>
        <v>#N/A</v>
      </c>
      <c r="E43" s="69" t="e">
        <f ca="1">INDEX(INDIRECT(("'MemberID'!$C$6:C"&amp;MemberID!$C$1)),MATCH(D43,INDIRECT(("'MemberID'!$G$6:G"&amp;MemberID!$C$1)),0))</f>
        <v>#N/A</v>
      </c>
      <c r="F43" s="69" t="e">
        <f ca="1">INDEX(E$65:INDIRECT("E"&amp;$C$61),$C43)</f>
        <v>#N/A</v>
      </c>
      <c r="G43" t="e">
        <f ca="1">INDEX(F$65:INDIRECT("F"&amp;$C$61),$C43)</f>
        <v>#N/A</v>
      </c>
      <c r="H43" t="e">
        <f ca="1">INDEX(G$65:INDIRECT("G"&amp;$C$61),$C43)</f>
        <v>#N/A</v>
      </c>
      <c r="I43" t="e">
        <f ca="1">INDEX(H$65:INDIRECT("H"&amp;$C$61),$C43)</f>
        <v>#N/A</v>
      </c>
      <c r="J43" t="e">
        <f ca="1">INDEX(I$65:INDIRECT("I"&amp;$C$61),$C43)</f>
        <v>#N/A</v>
      </c>
      <c r="K43" s="7" t="e">
        <f ca="1">INDEX(J$65:INDIRECT("J"&amp;$C$61),$C43)</f>
        <v>#N/A</v>
      </c>
      <c r="L43" t="e">
        <f ca="1">INDEX(K$65:INDIRECT("K"&amp;$C$61),$C43)</f>
        <v>#N/A</v>
      </c>
      <c r="M43" t="e">
        <f ca="1">INDEX(L$65:INDIRECT("L"&amp;$C$61),$C43)</f>
        <v>#N/A</v>
      </c>
      <c r="N43" t="e">
        <f ca="1">INDEX(M$65:INDIRECT("M"&amp;$C$61),$C43)</f>
        <v>#N/A</v>
      </c>
      <c r="O43" s="23" t="e">
        <f ca="1">INDEX(N$65:INDIRECT("N"&amp;$C$61),$C43)</f>
        <v>#N/A</v>
      </c>
      <c r="P43" t="e">
        <f ca="1">INDEX(O$65:INDIRECT("O"&amp;$C$61),$C43)</f>
        <v>#N/A</v>
      </c>
      <c r="Q43" s="104"/>
      <c r="R43" s="73" t="s">
        <v>69</v>
      </c>
      <c r="S43" s="69" t="s">
        <v>35</v>
      </c>
      <c r="T43" s="73" t="e">
        <f t="array" aca="1" ref="T43" ca="1">MATCH(IF(ISBLANK($AE$11),LARGE(IF($E$65:INDIRECT("E"&amp;$C$61)=$AE$10,INDIRECT(AJ43&amp;65):INDIRECT(AJ43&amp;$C$61)),$AH43),IF(ISBLANK($AE$10),LARGE(IF($D$65:INDIRECT("D"&amp;$C$61)=$AE$11,INDIRECT(AJ43&amp;65):INDIRECT(AJ43&amp;$C$61)),$AH43),LARGE(IF(($E$65:INDIRECT("E"&amp;$C$61)=$AE$10)*($D$65:INDIRECT("D"&amp;$C$61)=$AE$11),INDIRECT(AJ43&amp;65):INDIRECT(AJ43&amp;$C$61)),$AH43))),INDIRECT(AJ43&amp;65):INDIRECT(AJ43&amp;$C$61),0)</f>
        <v>#NUM!</v>
      </c>
      <c r="U43" s="69" t="e">
        <f ca="1">INDEX(D$65:INDIRECT("D"&amp;$C$61),$T43)</f>
        <v>#NUM!</v>
      </c>
      <c r="V43" s="69" t="e">
        <f ca="1">INDEX(INDIRECT(("'MemberID'!$C$6:C"&amp;MemberID!$C$1)),MATCH(U43,INDIRECT(("'MemberID'!$G$6:G"&amp;MemberID!$C$1)),0))</f>
        <v>#NUM!</v>
      </c>
      <c r="W43" s="69" t="e">
        <f ca="1">INDEX(E$65:INDIRECT("E"&amp;$C$61),$T43)</f>
        <v>#NUM!</v>
      </c>
      <c r="X43" t="e">
        <f ca="1">INDEX(F$65:INDIRECT("F"&amp;$C$61),$T43)</f>
        <v>#NUM!</v>
      </c>
      <c r="Y43" t="e">
        <f ca="1">INDEX(G$65:INDIRECT("G"&amp;$C$61),$T43)</f>
        <v>#NUM!</v>
      </c>
      <c r="Z43" t="e">
        <f ca="1">INDEX(H$65:INDIRECT("H"&amp;$C$61),$T43)</f>
        <v>#NUM!</v>
      </c>
      <c r="AA43" t="e">
        <f ca="1">INDEX(I$65:INDIRECT("I"&amp;$C$61),$T43)</f>
        <v>#NUM!</v>
      </c>
      <c r="AB43" t="e">
        <f ca="1">INDEX(J$65:INDIRECT("J"&amp;$C$61),$T43)</f>
        <v>#NUM!</v>
      </c>
      <c r="AC43" t="e">
        <f ca="1">INDEX(K$65:INDIRECT("K"&amp;$C$61),$T43)</f>
        <v>#NUM!</v>
      </c>
      <c r="AD43" t="e">
        <f ca="1">INDEX(L$65:INDIRECT("L"&amp;$C$61),$T43)</f>
        <v>#NUM!</v>
      </c>
      <c r="AE43" t="e">
        <f ca="1">INDEX(M$65:INDIRECT("M"&amp;$C$61),$T43)</f>
        <v>#NUM!</v>
      </c>
      <c r="AF43" s="23" t="e">
        <f t="array" aca="1" ref="AF43" ca="1">IF(ISBLANK($AE$11),LARGE(IF($E$65:INDIRECT("E"&amp;$C$61)=$AE$10,N$65:INDIRECT(AF$13&amp;$C$61)),$AH43),IF(ISBLANK($AE$10),LARGE(IF($D$65:INDIRECT("D"&amp;$C$61)=$AE$11,N$65:INDIRECT(AF$13&amp;$C$61)),$AH43),LARGE(IF(($E$65:INDIRECT("E"&amp;$C$61)=$AE$10)*($D$65:INDIRECT("D"&amp;$C$61)=$AE$11),N$65:INDIRECT(AF$13&amp;$C$61)),$AH43)))</f>
        <v>#NUM!</v>
      </c>
      <c r="AG43" t="e">
        <f ca="1">INDEX(O$65:INDIRECT("O"&amp;$C$61),$T43)</f>
        <v>#NUM!</v>
      </c>
      <c r="AH43" s="69">
        <v>1</v>
      </c>
      <c r="AI43" s="69" t="s">
        <v>154</v>
      </c>
      <c r="AJ43" s="69" t="s">
        <v>196</v>
      </c>
    </row>
    <row r="44" spans="1:52" x14ac:dyDescent="0.25">
      <c r="A44" s="73" t="s">
        <v>70</v>
      </c>
      <c r="B44" s="69" t="s">
        <v>35</v>
      </c>
      <c r="C44" s="73" t="e">
        <f ca="1">V3</f>
        <v>#NUM!</v>
      </c>
      <c r="D44" s="69" t="e">
        <f ca="1">INDEX(D$65:INDIRECT("D"&amp;$C$61),$C44)</f>
        <v>#NUM!</v>
      </c>
      <c r="E44" s="69" t="e">
        <f ca="1">INDEX(INDIRECT(("'MemberID'!$C$6:C"&amp;MemberID!$C$1)),MATCH(D44,INDIRECT(("'MemberID'!$G$6:G"&amp;MemberID!$C$1)),0))</f>
        <v>#NUM!</v>
      </c>
      <c r="F44" s="69" t="e">
        <f ca="1">INDEX(E$65:INDIRECT("E"&amp;$C$61),$C44)</f>
        <v>#NUM!</v>
      </c>
      <c r="G44" t="e">
        <f ca="1">INDEX(F$65:INDIRECT("F"&amp;$C$61),$C44)</f>
        <v>#NUM!</v>
      </c>
      <c r="H44" t="e">
        <f ca="1">INDEX(G$65:INDIRECT("G"&amp;$C$61),$C44)</f>
        <v>#NUM!</v>
      </c>
      <c r="I44" t="e">
        <f ca="1">INDEX(H$65:INDIRECT("H"&amp;$C$61),$C44)</f>
        <v>#NUM!</v>
      </c>
      <c r="J44" t="e">
        <f ca="1">INDEX(I$65:INDIRECT("I"&amp;$C$61),$C44)</f>
        <v>#NUM!</v>
      </c>
      <c r="K44" s="7" t="e">
        <f ca="1">INDEX(J$65:INDIRECT("J"&amp;$C$61),$C44)</f>
        <v>#NUM!</v>
      </c>
      <c r="L44" t="e">
        <f ca="1">INDEX(K$65:INDIRECT("K"&amp;$C$61),$C44)</f>
        <v>#NUM!</v>
      </c>
      <c r="M44" t="e">
        <f ca="1">INDEX(L$65:INDIRECT("L"&amp;$C$61),$C44)</f>
        <v>#NUM!</v>
      </c>
      <c r="N44" t="e">
        <f ca="1">INDEX(M$65:INDIRECT("M"&amp;$C$61),$C44)</f>
        <v>#NUM!</v>
      </c>
      <c r="O44" s="23" t="e">
        <f ca="1">INDEX(N$65:INDIRECT("N"&amp;$C$61),$C44)</f>
        <v>#NUM!</v>
      </c>
      <c r="P44" t="e">
        <f ca="1">INDEX(O$65:INDIRECT("O"&amp;$C$61),$C44)</f>
        <v>#NUM!</v>
      </c>
      <c r="Q44" s="104"/>
      <c r="R44" s="73" t="s">
        <v>70</v>
      </c>
      <c r="S44" s="69" t="s">
        <v>35</v>
      </c>
      <c r="T44" s="73" t="e">
        <f t="array" aca="1" ref="T44" ca="1">MATCH(IF(ISBLANK($AE$11),LARGE(IF($E$65:INDIRECT("E"&amp;$C$61)=$AE$10,INDIRECT(AJ44&amp;65):INDIRECT(AJ44&amp;$C$61)),$AH44),IF(ISBLANK($AE$10),LARGE(IF($D$65:INDIRECT("D"&amp;$C$61)=$AE$11,INDIRECT(AJ44&amp;65):INDIRECT(AJ44&amp;$C$61)),$AH44),LARGE(IF(($E$65:INDIRECT("E"&amp;$C$61)=$AE$10)*($D$65:INDIRECT("D"&amp;$C$61)=$AE$11),INDIRECT(AJ44&amp;65):INDIRECT(AJ44&amp;$C$61)),$AH44))),INDIRECT(AJ44&amp;65):INDIRECT(AJ44&amp;$C$61),0)</f>
        <v>#NUM!</v>
      </c>
      <c r="U44" s="69" t="e">
        <f ca="1">INDEX(D$65:INDIRECT("D"&amp;$C$61),$T44)</f>
        <v>#NUM!</v>
      </c>
      <c r="V44" s="69" t="e">
        <f ca="1">INDEX(INDIRECT(("'MemberID'!$C$6:C"&amp;MemberID!$C$1)),MATCH(U44,INDIRECT(("'MemberID'!$G$6:G"&amp;MemberID!$C$1)),0))</f>
        <v>#NUM!</v>
      </c>
      <c r="W44" s="69" t="e">
        <f ca="1">INDEX(E$65:INDIRECT("E"&amp;$C$61),$T44)</f>
        <v>#NUM!</v>
      </c>
      <c r="X44" t="e">
        <f ca="1">INDEX(F$65:INDIRECT("F"&amp;$C$61),$T44)</f>
        <v>#NUM!</v>
      </c>
      <c r="Y44" t="e">
        <f ca="1">INDEX(G$65:INDIRECT("G"&amp;$C$61),$T44)</f>
        <v>#NUM!</v>
      </c>
      <c r="Z44" t="e">
        <f ca="1">INDEX(H$65:INDIRECT("H"&amp;$C$61),$T44)</f>
        <v>#NUM!</v>
      </c>
      <c r="AA44" t="e">
        <f ca="1">INDEX(I$65:INDIRECT("I"&amp;$C$61),$T44)</f>
        <v>#NUM!</v>
      </c>
      <c r="AB44" t="e">
        <f ca="1">INDEX(J$65:INDIRECT("J"&amp;$C$61),$T44)</f>
        <v>#NUM!</v>
      </c>
      <c r="AC44" t="e">
        <f ca="1">INDEX(K$65:INDIRECT("K"&amp;$C$61),$T44)</f>
        <v>#NUM!</v>
      </c>
      <c r="AD44" t="e">
        <f ca="1">INDEX(L$65:INDIRECT("L"&amp;$C$61),$T44)</f>
        <v>#NUM!</v>
      </c>
      <c r="AE44" t="e">
        <f ca="1">INDEX(M$65:INDIRECT("M"&amp;$C$61),$T44)</f>
        <v>#NUM!</v>
      </c>
      <c r="AF44" s="23" t="e">
        <f t="array" aca="1" ref="AF44" ca="1">IF(ISBLANK($AE$11),LARGE(IF($E$65:INDIRECT("E"&amp;$C$61)=$AE$10,N$65:INDIRECT(AF$13&amp;$C$61)),$AH44),IF(ISBLANK($AE$10),LARGE(IF($D$65:INDIRECT("D"&amp;$C$61)=$AE$11,N$65:INDIRECT(AF$13&amp;$C$61)),$AH44),LARGE(IF(($E$65:INDIRECT("E"&amp;$C$61)=$AE$10)*($D$65:INDIRECT("D"&amp;$C$61)=$AE$11),N$65:INDIRECT(AF$13&amp;$C$61)),$AH44)))</f>
        <v>#NUM!</v>
      </c>
      <c r="AG44" t="e">
        <f ca="1">INDEX(O$65:INDIRECT("O"&amp;$C$61),$T44)</f>
        <v>#NUM!</v>
      </c>
      <c r="AH44" s="69">
        <v>2</v>
      </c>
      <c r="AI44" s="69" t="str">
        <f>AI43</f>
        <v>N</v>
      </c>
      <c r="AJ44" s="69" t="str">
        <f>AJ43</f>
        <v>U</v>
      </c>
    </row>
    <row r="45" spans="1:52" x14ac:dyDescent="0.25">
      <c r="A45" s="73" t="s">
        <v>71</v>
      </c>
      <c r="B45" s="69" t="s">
        <v>35</v>
      </c>
      <c r="C45" s="73" t="e">
        <f ca="1">AD3</f>
        <v>#NUM!</v>
      </c>
      <c r="D45" s="69" t="e">
        <f ca="1">INDEX(D$65:INDIRECT("D"&amp;$C$61),$C45)</f>
        <v>#NUM!</v>
      </c>
      <c r="E45" s="69" t="e">
        <f ca="1">INDEX(INDIRECT(("'MemberID'!$C$6:C"&amp;MemberID!$C$1)),MATCH(D45,INDIRECT(("'MemberID'!$G$6:G"&amp;MemberID!$C$1)),0))</f>
        <v>#NUM!</v>
      </c>
      <c r="F45" s="69" t="e">
        <f ca="1">INDEX(E$65:INDIRECT("E"&amp;$C$61),$C45)</f>
        <v>#NUM!</v>
      </c>
      <c r="G45" t="e">
        <f ca="1">INDEX(F$65:INDIRECT("F"&amp;$C$61),$C45)</f>
        <v>#NUM!</v>
      </c>
      <c r="H45" t="e">
        <f ca="1">INDEX(G$65:INDIRECT("G"&amp;$C$61),$C45)</f>
        <v>#NUM!</v>
      </c>
      <c r="I45" t="e">
        <f ca="1">INDEX(H$65:INDIRECT("H"&amp;$C$61),$C45)</f>
        <v>#NUM!</v>
      </c>
      <c r="J45" t="e">
        <f ca="1">INDEX(I$65:INDIRECT("I"&amp;$C$61),$C45)</f>
        <v>#NUM!</v>
      </c>
      <c r="K45" s="7" t="e">
        <f ca="1">INDEX(J$65:INDIRECT("J"&amp;$C$61),$C45)</f>
        <v>#NUM!</v>
      </c>
      <c r="L45" t="e">
        <f ca="1">INDEX(K$65:INDIRECT("K"&amp;$C$61),$C45)</f>
        <v>#NUM!</v>
      </c>
      <c r="M45" t="e">
        <f ca="1">INDEX(L$65:INDIRECT("L"&amp;$C$61),$C45)</f>
        <v>#NUM!</v>
      </c>
      <c r="N45" t="e">
        <f ca="1">INDEX(M$65:INDIRECT("M"&amp;$C$61),$C45)</f>
        <v>#NUM!</v>
      </c>
      <c r="O45" s="23" t="e">
        <f ca="1">INDEX(N$65:INDIRECT("N"&amp;$C$61),$C45)</f>
        <v>#NUM!</v>
      </c>
      <c r="P45" t="e">
        <f ca="1">INDEX(O$65:INDIRECT("O"&amp;$C$61),$C45)</f>
        <v>#NUM!</v>
      </c>
      <c r="Q45" s="104"/>
      <c r="R45" s="73" t="s">
        <v>71</v>
      </c>
      <c r="S45" s="69" t="s">
        <v>35</v>
      </c>
      <c r="T45" s="73" t="e">
        <f t="array" aca="1" ref="T45" ca="1">MATCH(IF(ISBLANK($AE$11),LARGE(IF($E$65:INDIRECT("E"&amp;$C$61)=$AE$10,INDIRECT(AJ45&amp;65):INDIRECT(AJ45&amp;$C$61)),$AH45),IF(ISBLANK($AE$10),LARGE(IF($D$65:INDIRECT("D"&amp;$C$61)=$AE$11,INDIRECT(AJ45&amp;65):INDIRECT(AJ45&amp;$C$61)),$AH45),LARGE(IF(($E$65:INDIRECT("E"&amp;$C$61)=$AE$10)*($D$65:INDIRECT("D"&amp;$C$61)=$AE$11),INDIRECT(AJ45&amp;65):INDIRECT(AJ45&amp;$C$61)),$AH45))),INDIRECT(AJ45&amp;65):INDIRECT(AJ45&amp;$C$61),0)</f>
        <v>#NUM!</v>
      </c>
      <c r="U45" s="69" t="e">
        <f ca="1">INDEX(D$65:INDIRECT("D"&amp;$C$61),$T45)</f>
        <v>#NUM!</v>
      </c>
      <c r="V45" s="69" t="e">
        <f ca="1">INDEX(INDIRECT(("'MemberID'!$C$6:C"&amp;MemberID!$C$1)),MATCH(U45,INDIRECT(("'MemberID'!$G$6:G"&amp;MemberID!$C$1)),0))</f>
        <v>#NUM!</v>
      </c>
      <c r="W45" s="69" t="e">
        <f ca="1">INDEX(E$65:INDIRECT("E"&amp;$C$61),$T45)</f>
        <v>#NUM!</v>
      </c>
      <c r="X45" t="e">
        <f ca="1">INDEX(F$65:INDIRECT("F"&amp;$C$61),$T45)</f>
        <v>#NUM!</v>
      </c>
      <c r="Y45" t="e">
        <f ca="1">INDEX(G$65:INDIRECT("G"&amp;$C$61),$T45)</f>
        <v>#NUM!</v>
      </c>
      <c r="Z45" t="e">
        <f ca="1">INDEX(H$65:INDIRECT("H"&amp;$C$61),$T45)</f>
        <v>#NUM!</v>
      </c>
      <c r="AA45" t="e">
        <f ca="1">INDEX(I$65:INDIRECT("I"&amp;$C$61),$T45)</f>
        <v>#NUM!</v>
      </c>
      <c r="AB45" t="e">
        <f ca="1">INDEX(J$65:INDIRECT("J"&amp;$C$61),$T45)</f>
        <v>#NUM!</v>
      </c>
      <c r="AC45" t="e">
        <f ca="1">INDEX(K$65:INDIRECT("K"&amp;$C$61),$T45)</f>
        <v>#NUM!</v>
      </c>
      <c r="AD45" t="e">
        <f ca="1">INDEX(L$65:INDIRECT("L"&amp;$C$61),$T45)</f>
        <v>#NUM!</v>
      </c>
      <c r="AE45" t="e">
        <f ca="1">INDEX(M$65:INDIRECT("M"&amp;$C$61),$T45)</f>
        <v>#NUM!</v>
      </c>
      <c r="AF45" s="23" t="e">
        <f t="array" aca="1" ref="AF45" ca="1">IF(ISBLANK($AE$11),LARGE(IF($E$65:INDIRECT("E"&amp;$C$61)=$AE$10,N$65:INDIRECT(AF$13&amp;$C$61)),$AH45),IF(ISBLANK($AE$10),LARGE(IF($D$65:INDIRECT("D"&amp;$C$61)=$AE$11,N$65:INDIRECT(AF$13&amp;$C$61)),$AH45),LARGE(IF(($E$65:INDIRECT("E"&amp;$C$61)=$AE$10)*($D$65:INDIRECT("D"&amp;$C$61)=$AE$11),N$65:INDIRECT(AF$13&amp;$C$61)),$AH45)))</f>
        <v>#NUM!</v>
      </c>
      <c r="AG45" t="e">
        <f ca="1">INDEX(O$65:INDIRECT("O"&amp;$C$61),$T45)</f>
        <v>#NUM!</v>
      </c>
      <c r="AH45" s="69">
        <v>3</v>
      </c>
      <c r="AI45" s="69" t="str">
        <f t="shared" ref="AI45:AJ48" si="4">AI44</f>
        <v>N</v>
      </c>
      <c r="AJ45" s="69" t="str">
        <f t="shared" si="4"/>
        <v>U</v>
      </c>
    </row>
    <row r="46" spans="1:52" x14ac:dyDescent="0.25">
      <c r="A46" s="74" t="s">
        <v>72</v>
      </c>
      <c r="B46" s="69" t="s">
        <v>35</v>
      </c>
      <c r="C46" s="74" t="e">
        <f ca="1">N6</f>
        <v>#N/A</v>
      </c>
      <c r="D46" s="69" t="e">
        <f ca="1">INDEX(D$65:INDIRECT("D"&amp;$C$61),$C46)</f>
        <v>#N/A</v>
      </c>
      <c r="E46" s="69" t="e">
        <f ca="1">INDEX(INDIRECT(("'MemberID'!$C$6:C"&amp;MemberID!$C$1)),MATCH(D46,INDIRECT(("'MemberID'!$G$6:G"&amp;MemberID!$C$1)),0))</f>
        <v>#N/A</v>
      </c>
      <c r="F46" s="69" t="e">
        <f ca="1">INDEX(E$65:INDIRECT("E"&amp;$C$61),$C46)</f>
        <v>#N/A</v>
      </c>
      <c r="G46" t="e">
        <f ca="1">INDEX(F$65:INDIRECT("F"&amp;$C$61),$C46)</f>
        <v>#N/A</v>
      </c>
      <c r="H46" t="e">
        <f ca="1">INDEX(G$65:INDIRECT("G"&amp;$C$61),$C46)</f>
        <v>#N/A</v>
      </c>
      <c r="I46" t="e">
        <f ca="1">INDEX(H$65:INDIRECT("H"&amp;$C$61),$C46)</f>
        <v>#N/A</v>
      </c>
      <c r="J46" t="e">
        <f ca="1">INDEX(I$65:INDIRECT("I"&amp;$C$61),$C46)</f>
        <v>#N/A</v>
      </c>
      <c r="K46" s="7" t="e">
        <f ca="1">INDEX(J$65:INDIRECT("J"&amp;$C$61),$C46)</f>
        <v>#N/A</v>
      </c>
      <c r="L46" t="e">
        <f ca="1">INDEX(K$65:INDIRECT("K"&amp;$C$61),$C46)</f>
        <v>#N/A</v>
      </c>
      <c r="M46" t="e">
        <f ca="1">INDEX(L$65:INDIRECT("L"&amp;$C$61),$C46)</f>
        <v>#N/A</v>
      </c>
      <c r="N46" t="e">
        <f ca="1">INDEX(M$65:INDIRECT("M"&amp;$C$61),$C46)</f>
        <v>#N/A</v>
      </c>
      <c r="O46" s="23" t="e">
        <f ca="1">INDEX(N$65:INDIRECT("N"&amp;$C$61),$C46)</f>
        <v>#N/A</v>
      </c>
      <c r="P46" t="e">
        <f ca="1">INDEX(O$65:INDIRECT("O"&amp;$C$61),$C46)</f>
        <v>#N/A</v>
      </c>
      <c r="Q46" s="104"/>
      <c r="R46" s="74" t="s">
        <v>72</v>
      </c>
      <c r="S46" s="69" t="s">
        <v>35</v>
      </c>
      <c r="T46" s="74" t="e">
        <f t="array" aca="1" ref="T46" ca="1">MATCH(IF(ISBLANK($AE$11),SMALL(IF($E$65:INDIRECT("E"&amp;$C$61)=$AE$10,INDIRECT(AJ46&amp;65):INDIRECT(AJ46&amp;$C$61)),$AH46),IF(ISBLANK($AE$10),SMALL(IF($D$65:INDIRECT("D"&amp;$C$61)=$AE$11,INDIRECT(AJ46&amp;65):INDIRECT(AJ46&amp;$C$61)),$AH46),SMALL(IF(($E$65:INDIRECT("E"&amp;$C$61)=$AE$10)*($D$65:INDIRECT("D"&amp;$C$61)=$AE$11),INDIRECT(AJ46&amp;65):INDIRECT(AJ46&amp;$C$61)),$AH46))),INDIRECT(AJ46&amp;65):INDIRECT(AJ46&amp;$C$61),0)</f>
        <v>#NUM!</v>
      </c>
      <c r="U46" s="69" t="e">
        <f ca="1">INDEX(D$65:INDIRECT("D"&amp;$C$61),$T46)</f>
        <v>#NUM!</v>
      </c>
      <c r="V46" s="69" t="e">
        <f ca="1">INDEX(INDIRECT(("'MemberID'!$C$6:C"&amp;MemberID!$C$1)),MATCH(U46,INDIRECT(("'MemberID'!$G$6:G"&amp;MemberID!$C$1)),0))</f>
        <v>#NUM!</v>
      </c>
      <c r="W46" s="69" t="e">
        <f ca="1">INDEX(E$65:INDIRECT("E"&amp;$C$61),$T46)</f>
        <v>#NUM!</v>
      </c>
      <c r="X46" t="e">
        <f ca="1">INDEX(F$65:INDIRECT("F"&amp;$C$61),$T46)</f>
        <v>#NUM!</v>
      </c>
      <c r="Y46" t="e">
        <f ca="1">INDEX(G$65:INDIRECT("G"&amp;$C$61),$T46)</f>
        <v>#NUM!</v>
      </c>
      <c r="Z46" t="e">
        <f ca="1">INDEX(H$65:INDIRECT("H"&amp;$C$61),$T46)</f>
        <v>#NUM!</v>
      </c>
      <c r="AA46" t="e">
        <f ca="1">INDEX(I$65:INDIRECT("I"&amp;$C$61),$T46)</f>
        <v>#NUM!</v>
      </c>
      <c r="AB46" t="e">
        <f ca="1">INDEX(J$65:INDIRECT("J"&amp;$C$61),$T46)</f>
        <v>#NUM!</v>
      </c>
      <c r="AC46" t="e">
        <f ca="1">INDEX(K$65:INDIRECT("K"&amp;$C$61),$T46)</f>
        <v>#NUM!</v>
      </c>
      <c r="AD46" t="e">
        <f ca="1">INDEX(L$65:INDIRECT("L"&amp;$C$61),$T46)</f>
        <v>#NUM!</v>
      </c>
      <c r="AE46" t="e">
        <f ca="1">INDEX(M$65:INDIRECT("M"&amp;$C$61),$T46)</f>
        <v>#NUM!</v>
      </c>
      <c r="AF46" s="23" t="e">
        <f t="array" aca="1" ref="AF46" ca="1">IF(ISBLANK($AE$11),SMALL(IF($E$65:INDIRECT("E"&amp;$C$61)=$AE$10,N$65:INDIRECT(AF$13&amp;$C$61)),$AH46),IF(ISBLANK($AE$10),SMALL(IF($D$65:INDIRECT("D"&amp;$C$61)=$AE$11,N$65:INDIRECT(AF$13&amp;$C$61)),$AH46),SMALL(IF(($E$65:INDIRECT("E"&amp;$C$61)=$AE$10)*($D$65:INDIRECT("D"&amp;$C$61)=$AE$11),N$65:INDIRECT(AF$13&amp;$C$61)),$AH46)))</f>
        <v>#NUM!</v>
      </c>
      <c r="AG46" t="e">
        <f ca="1">INDEX(O$65:INDIRECT("O"&amp;$C$61),$T46)</f>
        <v>#NUM!</v>
      </c>
      <c r="AH46" s="69">
        <v>1</v>
      </c>
      <c r="AI46" s="69" t="str">
        <f t="shared" si="4"/>
        <v>N</v>
      </c>
      <c r="AJ46" s="69" t="str">
        <f t="shared" si="4"/>
        <v>U</v>
      </c>
    </row>
    <row r="47" spans="1:52" x14ac:dyDescent="0.25">
      <c r="A47" s="74" t="s">
        <v>73</v>
      </c>
      <c r="B47" s="69" t="s">
        <v>35</v>
      </c>
      <c r="C47" s="74" t="e">
        <f ca="1">V6</f>
        <v>#NUM!</v>
      </c>
      <c r="D47" s="69" t="e">
        <f ca="1">INDEX(D$65:INDIRECT("D"&amp;$C$61),$C47)</f>
        <v>#NUM!</v>
      </c>
      <c r="E47" s="69" t="e">
        <f ca="1">INDEX(INDIRECT(("'MemberID'!$C$6:C"&amp;MemberID!$C$1)),MATCH(D47,INDIRECT(("'MemberID'!$G$6:G"&amp;MemberID!$C$1)),0))</f>
        <v>#NUM!</v>
      </c>
      <c r="F47" s="69" t="e">
        <f ca="1">INDEX(E$65:INDIRECT("E"&amp;$C$61),$C47)</f>
        <v>#NUM!</v>
      </c>
      <c r="G47" t="e">
        <f ca="1">INDEX(F$65:INDIRECT("F"&amp;$C$61),$C47)</f>
        <v>#NUM!</v>
      </c>
      <c r="H47" t="e">
        <f ca="1">INDEX(G$65:INDIRECT("G"&amp;$C$61),$C47)</f>
        <v>#NUM!</v>
      </c>
      <c r="I47" t="e">
        <f ca="1">INDEX(H$65:INDIRECT("H"&amp;$C$61),$C47)</f>
        <v>#NUM!</v>
      </c>
      <c r="J47" t="e">
        <f ca="1">INDEX(I$65:INDIRECT("I"&amp;$C$61),$C47)</f>
        <v>#NUM!</v>
      </c>
      <c r="K47" s="7" t="e">
        <f ca="1">INDEX(J$65:INDIRECT("J"&amp;$C$61),$C47)</f>
        <v>#NUM!</v>
      </c>
      <c r="L47" t="e">
        <f ca="1">INDEX(K$65:INDIRECT("K"&amp;$C$61),$C47)</f>
        <v>#NUM!</v>
      </c>
      <c r="M47" t="e">
        <f ca="1">INDEX(L$65:INDIRECT("L"&amp;$C$61),$C47)</f>
        <v>#NUM!</v>
      </c>
      <c r="N47" t="e">
        <f ca="1">INDEX(M$65:INDIRECT("M"&amp;$C$61),$C47)</f>
        <v>#NUM!</v>
      </c>
      <c r="O47" s="23" t="e">
        <f ca="1">INDEX(N$65:INDIRECT("N"&amp;$C$61),$C47)</f>
        <v>#NUM!</v>
      </c>
      <c r="P47" t="e">
        <f ca="1">INDEX(O$65:INDIRECT("O"&amp;$C$61),$C47)</f>
        <v>#NUM!</v>
      </c>
      <c r="Q47" s="104"/>
      <c r="R47" s="74" t="s">
        <v>73</v>
      </c>
      <c r="S47" s="69" t="s">
        <v>35</v>
      </c>
      <c r="T47" s="74" t="e">
        <f t="array" aca="1" ref="T47" ca="1">MATCH(IF(ISBLANK($AE$11),SMALL(IF($E$65:INDIRECT("E"&amp;$C$61)=$AE$10,INDIRECT(AJ47&amp;65):INDIRECT(AJ47&amp;$C$61)),$AH47),IF(ISBLANK($AE$10),SMALL(IF($D$65:INDIRECT("D"&amp;$C$61)=$AE$11,INDIRECT(AJ47&amp;65):INDIRECT(AJ47&amp;$C$61)),$AH47),SMALL(IF(($E$65:INDIRECT("E"&amp;$C$61)=$AE$10)*($D$65:INDIRECT("D"&amp;$C$61)=$AE$11),INDIRECT(AJ47&amp;65):INDIRECT(AJ47&amp;$C$61)),$AH47))),INDIRECT(AJ47&amp;65):INDIRECT(AJ47&amp;$C$61),0)</f>
        <v>#NUM!</v>
      </c>
      <c r="U47" s="69" t="e">
        <f ca="1">INDEX(D$65:INDIRECT("D"&amp;$C$61),$T47)</f>
        <v>#NUM!</v>
      </c>
      <c r="V47" s="69" t="e">
        <f ca="1">INDEX(INDIRECT(("'MemberID'!$C$6:C"&amp;MemberID!$C$1)),MATCH(U47,INDIRECT(("'MemberID'!$G$6:G"&amp;MemberID!$C$1)),0))</f>
        <v>#NUM!</v>
      </c>
      <c r="W47" s="69" t="e">
        <f ca="1">INDEX(E$65:INDIRECT("E"&amp;$C$61),$T47)</f>
        <v>#NUM!</v>
      </c>
      <c r="X47" t="e">
        <f ca="1">INDEX(F$65:INDIRECT("F"&amp;$C$61),$T47)</f>
        <v>#NUM!</v>
      </c>
      <c r="Y47" t="e">
        <f ca="1">INDEX(G$65:INDIRECT("G"&amp;$C$61),$T47)</f>
        <v>#NUM!</v>
      </c>
      <c r="Z47" t="e">
        <f ca="1">INDEX(H$65:INDIRECT("H"&amp;$C$61),$T47)</f>
        <v>#NUM!</v>
      </c>
      <c r="AA47" t="e">
        <f ca="1">INDEX(I$65:INDIRECT("I"&amp;$C$61),$T47)</f>
        <v>#NUM!</v>
      </c>
      <c r="AB47" t="e">
        <f ca="1">INDEX(J$65:INDIRECT("J"&amp;$C$61),$T47)</f>
        <v>#NUM!</v>
      </c>
      <c r="AC47" t="e">
        <f ca="1">INDEX(K$65:INDIRECT("K"&amp;$C$61),$T47)</f>
        <v>#NUM!</v>
      </c>
      <c r="AD47" t="e">
        <f ca="1">INDEX(L$65:INDIRECT("L"&amp;$C$61),$T47)</f>
        <v>#NUM!</v>
      </c>
      <c r="AE47" t="e">
        <f ca="1">INDEX(M$65:INDIRECT("M"&amp;$C$61),$T47)</f>
        <v>#NUM!</v>
      </c>
      <c r="AF47" s="23" t="e">
        <f t="array" aca="1" ref="AF47" ca="1">IF(ISBLANK($AE$11),SMALL(IF($E$65:INDIRECT("E"&amp;$C$61)=$AE$10,N$65:INDIRECT(AF$13&amp;$C$61)),$AH47),IF(ISBLANK($AE$10),SMALL(IF($D$65:INDIRECT("D"&amp;$C$61)=$AE$11,N$65:INDIRECT(AF$13&amp;$C$61)),$AH47),SMALL(IF(($E$65:INDIRECT("E"&amp;$C$61)=$AE$10)*($D$65:INDIRECT("D"&amp;$C$61)=$AE$11),N$65:INDIRECT(AF$13&amp;$C$61)),$AH47)))</f>
        <v>#NUM!</v>
      </c>
      <c r="AG47" t="e">
        <f ca="1">INDEX(O$65:INDIRECT("O"&amp;$C$61),$T47)</f>
        <v>#NUM!</v>
      </c>
      <c r="AH47" s="69">
        <v>2</v>
      </c>
      <c r="AI47" s="69" t="str">
        <f t="shared" si="4"/>
        <v>N</v>
      </c>
      <c r="AJ47" s="69" t="str">
        <f t="shared" si="4"/>
        <v>U</v>
      </c>
    </row>
    <row r="48" spans="1:52" x14ac:dyDescent="0.25">
      <c r="A48" s="74" t="s">
        <v>74</v>
      </c>
      <c r="B48" s="69" t="s">
        <v>35</v>
      </c>
      <c r="C48" s="74" t="e">
        <f ca="1">AD6</f>
        <v>#NUM!</v>
      </c>
      <c r="D48" s="69" t="e">
        <f ca="1">INDEX(D$65:INDIRECT("D"&amp;$C$61),$C48)</f>
        <v>#NUM!</v>
      </c>
      <c r="E48" s="69" t="e">
        <f ca="1">INDEX(INDIRECT(("'MemberID'!$C$6:C"&amp;MemberID!$C$1)),MATCH(D48,INDIRECT(("'MemberID'!$G$6:G"&amp;MemberID!$C$1)),0))</f>
        <v>#NUM!</v>
      </c>
      <c r="F48" s="69" t="e">
        <f ca="1">INDEX(E$65:INDIRECT("E"&amp;$C$61),$C48)</f>
        <v>#NUM!</v>
      </c>
      <c r="G48" t="e">
        <f ca="1">INDEX(F$65:INDIRECT("F"&amp;$C$61),$C48)</f>
        <v>#NUM!</v>
      </c>
      <c r="H48" t="e">
        <f ca="1">INDEX(G$65:INDIRECT("G"&amp;$C$61),$C48)</f>
        <v>#NUM!</v>
      </c>
      <c r="I48" t="e">
        <f ca="1">INDEX(H$65:INDIRECT("H"&amp;$C$61),$C48)</f>
        <v>#NUM!</v>
      </c>
      <c r="J48" t="e">
        <f ca="1">INDEX(I$65:INDIRECT("I"&amp;$C$61),$C48)</f>
        <v>#NUM!</v>
      </c>
      <c r="K48" s="7" t="e">
        <f ca="1">INDEX(J$65:INDIRECT("J"&amp;$C$61),$C48)</f>
        <v>#NUM!</v>
      </c>
      <c r="L48" t="e">
        <f ca="1">INDEX(K$65:INDIRECT("K"&amp;$C$61),$C48)</f>
        <v>#NUM!</v>
      </c>
      <c r="M48" t="e">
        <f ca="1">INDEX(L$65:INDIRECT("L"&amp;$C$61),$C48)</f>
        <v>#NUM!</v>
      </c>
      <c r="N48" t="e">
        <f ca="1">INDEX(M$65:INDIRECT("M"&amp;$C$61),$C48)</f>
        <v>#NUM!</v>
      </c>
      <c r="O48" s="23" t="e">
        <f ca="1">INDEX(N$65:INDIRECT("N"&amp;$C$61),$C48)</f>
        <v>#NUM!</v>
      </c>
      <c r="P48" t="e">
        <f ca="1">INDEX(O$65:INDIRECT("O"&amp;$C$61),$C48)</f>
        <v>#NUM!</v>
      </c>
      <c r="Q48" s="104"/>
      <c r="R48" s="74" t="s">
        <v>74</v>
      </c>
      <c r="S48" s="69" t="s">
        <v>35</v>
      </c>
      <c r="T48" s="74" t="e">
        <f t="array" aca="1" ref="T48" ca="1">MATCH(IF(ISBLANK($AE$11),SMALL(IF($E$65:INDIRECT("E"&amp;$C$61)=$AE$10,INDIRECT(AJ48&amp;65):INDIRECT(AJ48&amp;$C$61)),$AH48),IF(ISBLANK($AE$10),SMALL(IF($D$65:INDIRECT("D"&amp;$C$61)=$AE$11,INDIRECT(AJ48&amp;65):INDIRECT(AJ48&amp;$C$61)),$AH48),SMALL(IF(($E$65:INDIRECT("E"&amp;$C$61)=$AE$10)*($D$65:INDIRECT("D"&amp;$C$61)=$AE$11),INDIRECT(AJ48&amp;65):INDIRECT(AJ48&amp;$C$61)),$AH48))),INDIRECT(AJ48&amp;65):INDIRECT(AJ48&amp;$C$61),0)</f>
        <v>#NUM!</v>
      </c>
      <c r="U48" s="69" t="e">
        <f ca="1">INDEX(D$65:INDIRECT("D"&amp;$C$61),$T48)</f>
        <v>#NUM!</v>
      </c>
      <c r="V48" s="69" t="e">
        <f ca="1">INDEX(INDIRECT(("'MemberID'!$C$6:C"&amp;MemberID!$C$1)),MATCH(U48,INDIRECT(("'MemberID'!$G$6:G"&amp;MemberID!$C$1)),0))</f>
        <v>#NUM!</v>
      </c>
      <c r="W48" s="69" t="e">
        <f ca="1">INDEX(E$65:INDIRECT("E"&amp;$C$61),$T48)</f>
        <v>#NUM!</v>
      </c>
      <c r="X48" t="e">
        <f ca="1">INDEX(F$65:INDIRECT("F"&amp;$C$61),$T48)</f>
        <v>#NUM!</v>
      </c>
      <c r="Y48" t="e">
        <f ca="1">INDEX(G$65:INDIRECT("G"&amp;$C$61),$T48)</f>
        <v>#NUM!</v>
      </c>
      <c r="Z48" t="e">
        <f ca="1">INDEX(H$65:INDIRECT("H"&amp;$C$61),$T48)</f>
        <v>#NUM!</v>
      </c>
      <c r="AA48" t="e">
        <f ca="1">INDEX(I$65:INDIRECT("I"&amp;$C$61),$T48)</f>
        <v>#NUM!</v>
      </c>
      <c r="AB48" t="e">
        <f ca="1">INDEX(J$65:INDIRECT("J"&amp;$C$61),$T48)</f>
        <v>#NUM!</v>
      </c>
      <c r="AC48" t="e">
        <f ca="1">INDEX(K$65:INDIRECT("K"&amp;$C$61),$T48)</f>
        <v>#NUM!</v>
      </c>
      <c r="AD48" t="e">
        <f ca="1">INDEX(L$65:INDIRECT("L"&amp;$C$61),$T48)</f>
        <v>#NUM!</v>
      </c>
      <c r="AE48" t="e">
        <f ca="1">INDEX(M$65:INDIRECT("M"&amp;$C$61),$T48)</f>
        <v>#NUM!</v>
      </c>
      <c r="AF48" s="23" t="e">
        <f t="array" aca="1" ref="AF48" ca="1">IF(ISBLANK($AE$11),SMALL(IF($E$65:INDIRECT("E"&amp;$C$61)=$AE$10,N$65:INDIRECT(AF$13&amp;$C$61)),$AH48),IF(ISBLANK($AE$10),SMALL(IF($D$65:INDIRECT("D"&amp;$C$61)=$AE$11,N$65:INDIRECT(AF$13&amp;$C$61)),$AH48),SMALL(IF(($E$65:INDIRECT("E"&amp;$C$61)=$AE$10)*($D$65:INDIRECT("D"&amp;$C$61)=$AE$11),N$65:INDIRECT(AF$13&amp;$C$61)),$AH48)))</f>
        <v>#NUM!</v>
      </c>
      <c r="AG48" t="e">
        <f ca="1">INDEX(O$65:INDIRECT("O"&amp;$C$61),$T48)</f>
        <v>#NUM!</v>
      </c>
      <c r="AH48" s="69">
        <v>3</v>
      </c>
      <c r="AI48" s="69" t="str">
        <f t="shared" si="4"/>
        <v>N</v>
      </c>
      <c r="AJ48" s="69" t="str">
        <f t="shared" si="4"/>
        <v>U</v>
      </c>
    </row>
    <row r="49" spans="1:36" x14ac:dyDescent="0.25">
      <c r="B49" s="69"/>
      <c r="C49" s="69"/>
      <c r="D49" s="69"/>
      <c r="E49" s="69"/>
      <c r="F49" s="69"/>
      <c r="K49" s="7"/>
      <c r="Q49" s="104"/>
      <c r="S49" s="69"/>
      <c r="T49" s="69"/>
      <c r="V49" s="69"/>
      <c r="W49" s="69"/>
      <c r="AH49" s="69"/>
      <c r="AI49" s="69"/>
      <c r="AJ49" s="69"/>
    </row>
    <row r="50" spans="1:36" x14ac:dyDescent="0.25">
      <c r="A50" s="73" t="s">
        <v>69</v>
      </c>
      <c r="B50" s="69" t="s">
        <v>36</v>
      </c>
      <c r="C50" s="73" t="e">
        <f ca="1">O3</f>
        <v>#N/A</v>
      </c>
      <c r="D50" s="69" t="e">
        <f ca="1">INDEX(D$65:INDIRECT("D"&amp;$C$61),$C50)</f>
        <v>#N/A</v>
      </c>
      <c r="E50" s="69" t="e">
        <f ca="1">INDEX(INDIRECT(("'MemberID'!$C$6:C"&amp;MemberID!$C$1)),MATCH(D50,INDIRECT(("'MemberID'!$G$6:G"&amp;MemberID!$C$1)),0))</f>
        <v>#N/A</v>
      </c>
      <c r="F50" s="69" t="e">
        <f ca="1">INDEX(E$65:INDIRECT("E"&amp;$C$61),$C50)</f>
        <v>#N/A</v>
      </c>
      <c r="G50" t="e">
        <f ca="1">INDEX(F$65:INDIRECT("F"&amp;$C$61),$C50)</f>
        <v>#N/A</v>
      </c>
      <c r="H50" t="e">
        <f ca="1">INDEX(G$65:INDIRECT("G"&amp;$C$61),$C50)</f>
        <v>#N/A</v>
      </c>
      <c r="I50" t="e">
        <f ca="1">INDEX(H$65:INDIRECT("H"&amp;$C$61),$C50)</f>
        <v>#N/A</v>
      </c>
      <c r="J50" t="e">
        <f ca="1">INDEX(I$65:INDIRECT("I"&amp;$C$61),$C50)</f>
        <v>#N/A</v>
      </c>
      <c r="K50" s="7" t="e">
        <f ca="1">INDEX(J$65:INDIRECT("J"&amp;$C$61),$C50)</f>
        <v>#N/A</v>
      </c>
      <c r="L50" t="e">
        <f ca="1">INDEX(K$65:INDIRECT("K"&amp;$C$61),$C50)</f>
        <v>#N/A</v>
      </c>
      <c r="M50" t="e">
        <f ca="1">INDEX(L$65:INDIRECT("L"&amp;$C$61),$C50)</f>
        <v>#N/A</v>
      </c>
      <c r="N50" t="e">
        <f ca="1">INDEX(M$65:INDIRECT("M"&amp;$C$61),$C50)</f>
        <v>#N/A</v>
      </c>
      <c r="O50" t="e">
        <f ca="1">INDEX(N$65:INDIRECT("N"&amp;$C$61),$C50)</f>
        <v>#N/A</v>
      </c>
      <c r="P50" s="23" t="e">
        <f ca="1">INDEX(O$65:INDIRECT("O"&amp;$C$61),$C50)</f>
        <v>#N/A</v>
      </c>
      <c r="Q50" s="104"/>
      <c r="R50" s="73" t="s">
        <v>69</v>
      </c>
      <c r="S50" s="69" t="s">
        <v>36</v>
      </c>
      <c r="T50" s="73" t="e">
        <f t="array" aca="1" ref="T50" ca="1">MATCH(IF(ISBLANK($AE$11),LARGE(IF($E$65:INDIRECT("E"&amp;$C$61)=$AE$10,INDIRECT(AJ50&amp;65):INDIRECT(AJ50&amp;$C$61)),$AH50),IF(ISBLANK($AE$10),LARGE(IF($D$65:INDIRECT("D"&amp;$C$61)=$AE$11,INDIRECT(AJ50&amp;65):INDIRECT(AJ50&amp;$C$61)),$AH50),LARGE(IF(($E$65:INDIRECT("E"&amp;$C$61)=$AE$10)*($D$65:INDIRECT("D"&amp;$C$61)=$AE$11),INDIRECT(AJ50&amp;65):INDIRECT(AJ50&amp;$C$61)),$AH50))),INDIRECT(AJ50&amp;65):INDIRECT(AJ50&amp;$C$61),0)</f>
        <v>#NUM!</v>
      </c>
      <c r="U50" s="69" t="e">
        <f ca="1">INDEX(D$65:INDIRECT("D"&amp;$C$61),$T50)</f>
        <v>#NUM!</v>
      </c>
      <c r="V50" s="69" t="e">
        <f ca="1">INDEX(INDIRECT(("'MemberID'!$C$6:C"&amp;MemberID!$C$1)),MATCH(U50,INDIRECT(("'MemberID'!$G$6:G"&amp;MemberID!$C$1)),0))</f>
        <v>#NUM!</v>
      </c>
      <c r="W50" s="69" t="e">
        <f ca="1">INDEX(E$65:INDIRECT("E"&amp;$C$61),$T50)</f>
        <v>#NUM!</v>
      </c>
      <c r="X50" t="e">
        <f ca="1">INDEX(F$65:INDIRECT("F"&amp;$C$61),$T50)</f>
        <v>#NUM!</v>
      </c>
      <c r="Y50" t="e">
        <f ca="1">INDEX(G$65:INDIRECT("G"&amp;$C$61),$T50)</f>
        <v>#NUM!</v>
      </c>
      <c r="Z50" t="e">
        <f ca="1">INDEX(H$65:INDIRECT("H"&amp;$C$61),$T50)</f>
        <v>#NUM!</v>
      </c>
      <c r="AA50" t="e">
        <f ca="1">INDEX(I$65:INDIRECT("I"&amp;$C$61),$T50)</f>
        <v>#NUM!</v>
      </c>
      <c r="AB50" t="e">
        <f ca="1">INDEX(J$65:INDIRECT("J"&amp;$C$61),$T50)</f>
        <v>#NUM!</v>
      </c>
      <c r="AC50" t="e">
        <f ca="1">INDEX(K$65:INDIRECT("K"&amp;$C$61),$T50)</f>
        <v>#NUM!</v>
      </c>
      <c r="AD50" t="e">
        <f ca="1">INDEX(L$65:INDIRECT("L"&amp;$C$61),$T50)</f>
        <v>#NUM!</v>
      </c>
      <c r="AE50" t="e">
        <f ca="1">INDEX(M$65:INDIRECT("M"&amp;$C$61),$T50)</f>
        <v>#NUM!</v>
      </c>
      <c r="AF50" t="e">
        <f ca="1">INDEX(N$65:INDIRECT("N"&amp;$C$61),$T50)</f>
        <v>#NUM!</v>
      </c>
      <c r="AG50" s="23" t="e">
        <f t="array" aca="1" ref="AG50" ca="1">IF(ISBLANK($AE$11),LARGE(IF($E$65:INDIRECT("E"&amp;$C$61)=$AE$10,O$65:INDIRECT(AG$13&amp;$C$61)),$AH50),IF(ISBLANK($AE$10),LARGE(IF($D$65:INDIRECT("D"&amp;$C$61)=$AE$11,O$65:INDIRECT(AG$13&amp;$C$61)),$AH50),LARGE(IF(($E$65:INDIRECT("E"&amp;$C$61)=$AE$10)*($D$65:INDIRECT("D"&amp;$C$61)=$AE$11),O$65:INDIRECT(AG$13&amp;$C$61)),$AH50)))</f>
        <v>#NUM!</v>
      </c>
      <c r="AH50" s="69">
        <v>1</v>
      </c>
      <c r="AI50" s="69" t="s">
        <v>155</v>
      </c>
      <c r="AJ50" s="69" t="s">
        <v>197</v>
      </c>
    </row>
    <row r="51" spans="1:36" x14ac:dyDescent="0.25">
      <c r="A51" s="73" t="s">
        <v>70</v>
      </c>
      <c r="B51" s="69" t="s">
        <v>36</v>
      </c>
      <c r="C51" s="73" t="e">
        <f ca="1">W3</f>
        <v>#NUM!</v>
      </c>
      <c r="D51" s="69" t="e">
        <f ca="1">INDEX(D$65:INDIRECT("D"&amp;$C$61),$C51)</f>
        <v>#NUM!</v>
      </c>
      <c r="E51" s="69" t="e">
        <f ca="1">INDEX(INDIRECT(("'MemberID'!$C$6:C"&amp;MemberID!$C$1)),MATCH(D51,INDIRECT(("'MemberID'!$G$6:G"&amp;MemberID!$C$1)),0))</f>
        <v>#NUM!</v>
      </c>
      <c r="F51" s="69" t="e">
        <f ca="1">INDEX(E$65:INDIRECT("E"&amp;$C$61),$C51)</f>
        <v>#NUM!</v>
      </c>
      <c r="G51" t="e">
        <f ca="1">INDEX(F$65:INDIRECT("F"&amp;$C$61),$C51)</f>
        <v>#NUM!</v>
      </c>
      <c r="H51" t="e">
        <f ca="1">INDEX(G$65:INDIRECT("G"&amp;$C$61),$C51)</f>
        <v>#NUM!</v>
      </c>
      <c r="I51" t="e">
        <f ca="1">INDEX(H$65:INDIRECT("H"&amp;$C$61),$C51)</f>
        <v>#NUM!</v>
      </c>
      <c r="J51" t="e">
        <f ca="1">INDEX(I$65:INDIRECT("I"&amp;$C$61),$C51)</f>
        <v>#NUM!</v>
      </c>
      <c r="K51" s="7" t="e">
        <f ca="1">INDEX(J$65:INDIRECT("J"&amp;$C$61),$C51)</f>
        <v>#NUM!</v>
      </c>
      <c r="L51" t="e">
        <f ca="1">INDEX(K$65:INDIRECT("K"&amp;$C$61),$C51)</f>
        <v>#NUM!</v>
      </c>
      <c r="M51" t="e">
        <f ca="1">INDEX(L$65:INDIRECT("L"&amp;$C$61),$C51)</f>
        <v>#NUM!</v>
      </c>
      <c r="N51" t="e">
        <f ca="1">INDEX(M$65:INDIRECT("M"&amp;$C$61),$C51)</f>
        <v>#NUM!</v>
      </c>
      <c r="O51" t="e">
        <f ca="1">INDEX(N$65:INDIRECT("N"&amp;$C$61),$C51)</f>
        <v>#NUM!</v>
      </c>
      <c r="P51" s="23" t="e">
        <f ca="1">INDEX(O$65:INDIRECT("O"&amp;$C$61),$C51)</f>
        <v>#NUM!</v>
      </c>
      <c r="Q51" s="104"/>
      <c r="R51" s="73" t="s">
        <v>70</v>
      </c>
      <c r="S51" s="69" t="s">
        <v>36</v>
      </c>
      <c r="T51" s="73" t="e">
        <f t="array" aca="1" ref="T51" ca="1">MATCH(IF(ISBLANK($AE$11),LARGE(IF($E$65:INDIRECT("E"&amp;$C$61)=$AE$10,INDIRECT(AJ51&amp;65):INDIRECT(AJ51&amp;$C$61)),$AH51),IF(ISBLANK($AE$10),LARGE(IF($D$65:INDIRECT("D"&amp;$C$61)=$AE$11,INDIRECT(AJ51&amp;65):INDIRECT(AJ51&amp;$C$61)),$AH51),LARGE(IF(($E$65:INDIRECT("E"&amp;$C$61)=$AE$10)*($D$65:INDIRECT("D"&amp;$C$61)=$AE$11),INDIRECT(AJ51&amp;65):INDIRECT(AJ51&amp;$C$61)),$AH51))),INDIRECT(AJ51&amp;65):INDIRECT(AJ51&amp;$C$61),0)</f>
        <v>#NUM!</v>
      </c>
      <c r="U51" s="69" t="e">
        <f ca="1">INDEX(D$65:INDIRECT("D"&amp;$C$61),$T51)</f>
        <v>#NUM!</v>
      </c>
      <c r="V51" s="69" t="e">
        <f ca="1">INDEX(INDIRECT(("'MemberID'!$C$6:C"&amp;MemberID!$C$1)),MATCH(U51,INDIRECT(("'MemberID'!$G$6:G"&amp;MemberID!$C$1)),0))</f>
        <v>#NUM!</v>
      </c>
      <c r="W51" s="69" t="e">
        <f ca="1">INDEX(E$65:INDIRECT("E"&amp;$C$61),$T51)</f>
        <v>#NUM!</v>
      </c>
      <c r="X51" t="e">
        <f ca="1">INDEX(F$65:INDIRECT("F"&amp;$C$61),$T51)</f>
        <v>#NUM!</v>
      </c>
      <c r="Y51" t="e">
        <f ca="1">INDEX(G$65:INDIRECT("G"&amp;$C$61),$T51)</f>
        <v>#NUM!</v>
      </c>
      <c r="Z51" t="e">
        <f ca="1">INDEX(H$65:INDIRECT("H"&amp;$C$61),$T51)</f>
        <v>#NUM!</v>
      </c>
      <c r="AA51" t="e">
        <f ca="1">INDEX(I$65:INDIRECT("I"&amp;$C$61),$T51)</f>
        <v>#NUM!</v>
      </c>
      <c r="AB51" t="e">
        <f ca="1">INDEX(J$65:INDIRECT("J"&amp;$C$61),$T51)</f>
        <v>#NUM!</v>
      </c>
      <c r="AC51" t="e">
        <f ca="1">INDEX(K$65:INDIRECT("K"&amp;$C$61),$T51)</f>
        <v>#NUM!</v>
      </c>
      <c r="AD51" t="e">
        <f ca="1">INDEX(L$65:INDIRECT("L"&amp;$C$61),$T51)</f>
        <v>#NUM!</v>
      </c>
      <c r="AE51" t="e">
        <f ca="1">INDEX(M$65:INDIRECT("M"&amp;$C$61),$T51)</f>
        <v>#NUM!</v>
      </c>
      <c r="AF51" t="e">
        <f ca="1">INDEX(N$65:INDIRECT("N"&amp;$C$61),$T51)</f>
        <v>#NUM!</v>
      </c>
      <c r="AG51" s="23" t="e">
        <f t="array" aca="1" ref="AG51" ca="1">IF(ISBLANK($AE$11),LARGE(IF($E$65:INDIRECT("E"&amp;$C$61)=$AE$10,O$65:INDIRECT(AG$13&amp;$C$61)),$AH51),IF(ISBLANK($AE$10),LARGE(IF($D$65:INDIRECT("D"&amp;$C$61)=$AE$11,O$65:INDIRECT(AG$13&amp;$C$61)),$AH51),LARGE(IF(($E$65:INDIRECT("E"&amp;$C$61)=$AE$10)*($D$65:INDIRECT("D"&amp;$C$61)=$AE$11),O$65:INDIRECT(AG$13&amp;$C$61)),$AH51)))</f>
        <v>#NUM!</v>
      </c>
      <c r="AH51" s="69">
        <v>2</v>
      </c>
      <c r="AI51" s="69" t="str">
        <f>AI50</f>
        <v>O</v>
      </c>
      <c r="AJ51" s="69" t="str">
        <f>AJ50</f>
        <v>V</v>
      </c>
    </row>
    <row r="52" spans="1:36" x14ac:dyDescent="0.25">
      <c r="A52" s="73" t="s">
        <v>71</v>
      </c>
      <c r="B52" s="69" t="s">
        <v>36</v>
      </c>
      <c r="C52" s="73" t="e">
        <f ca="1">AE3</f>
        <v>#NUM!</v>
      </c>
      <c r="D52" s="69" t="e">
        <f ca="1">INDEX(D$65:INDIRECT("D"&amp;$C$61),$C52)</f>
        <v>#NUM!</v>
      </c>
      <c r="E52" s="69" t="e">
        <f ca="1">INDEX(INDIRECT(("'MemberID'!$C$6:C"&amp;MemberID!$C$1)),MATCH(D52,INDIRECT(("'MemberID'!$G$6:G"&amp;MemberID!$C$1)),0))</f>
        <v>#NUM!</v>
      </c>
      <c r="F52" s="69" t="e">
        <f ca="1">INDEX(E$65:INDIRECT("E"&amp;$C$61),$C52)</f>
        <v>#NUM!</v>
      </c>
      <c r="G52" t="e">
        <f ca="1">INDEX(F$65:INDIRECT("F"&amp;$C$61),$C52)</f>
        <v>#NUM!</v>
      </c>
      <c r="H52" t="e">
        <f ca="1">INDEX(G$65:INDIRECT("G"&amp;$C$61),$C52)</f>
        <v>#NUM!</v>
      </c>
      <c r="I52" t="e">
        <f ca="1">INDEX(H$65:INDIRECT("H"&amp;$C$61),$C52)</f>
        <v>#NUM!</v>
      </c>
      <c r="J52" t="e">
        <f ca="1">INDEX(I$65:INDIRECT("I"&amp;$C$61),$C52)</f>
        <v>#NUM!</v>
      </c>
      <c r="K52" s="7" t="e">
        <f ca="1">INDEX(J$65:INDIRECT("J"&amp;$C$61),$C52)</f>
        <v>#NUM!</v>
      </c>
      <c r="L52" t="e">
        <f ca="1">INDEX(K$65:INDIRECT("K"&amp;$C$61),$C52)</f>
        <v>#NUM!</v>
      </c>
      <c r="M52" t="e">
        <f ca="1">INDEX(L$65:INDIRECT("L"&amp;$C$61),$C52)</f>
        <v>#NUM!</v>
      </c>
      <c r="N52" t="e">
        <f ca="1">INDEX(M$65:INDIRECT("M"&amp;$C$61),$C52)</f>
        <v>#NUM!</v>
      </c>
      <c r="O52" t="e">
        <f ca="1">INDEX(N$65:INDIRECT("N"&amp;$C$61),$C52)</f>
        <v>#NUM!</v>
      </c>
      <c r="P52" s="23" t="e">
        <f ca="1">INDEX(O$65:INDIRECT("O"&amp;$C$61),$C52)</f>
        <v>#NUM!</v>
      </c>
      <c r="Q52" s="104"/>
      <c r="R52" s="73" t="s">
        <v>71</v>
      </c>
      <c r="S52" s="69" t="s">
        <v>36</v>
      </c>
      <c r="T52" s="73" t="e">
        <f t="array" aca="1" ref="T52" ca="1">MATCH(IF(ISBLANK($AE$11),LARGE(IF($E$65:INDIRECT("E"&amp;$C$61)=$AE$10,INDIRECT(AJ52&amp;65):INDIRECT(AJ52&amp;$C$61)),$AH52),IF(ISBLANK($AE$10),LARGE(IF($D$65:INDIRECT("D"&amp;$C$61)=$AE$11,INDIRECT(AJ52&amp;65):INDIRECT(AJ52&amp;$C$61)),$AH52),LARGE(IF(($E$65:INDIRECT("E"&amp;$C$61)=$AE$10)*($D$65:INDIRECT("D"&amp;$C$61)=$AE$11),INDIRECT(AJ52&amp;65):INDIRECT(AJ52&amp;$C$61)),$AH52))),INDIRECT(AJ52&amp;65):INDIRECT(AJ52&amp;$C$61),0)</f>
        <v>#NUM!</v>
      </c>
      <c r="U52" s="69" t="e">
        <f ca="1">INDEX(D$65:INDIRECT("D"&amp;$C$61),$T52)</f>
        <v>#NUM!</v>
      </c>
      <c r="V52" s="69" t="e">
        <f ca="1">INDEX(INDIRECT(("'MemberID'!$C$6:C"&amp;MemberID!$C$1)),MATCH(U52,INDIRECT(("'MemberID'!$G$6:G"&amp;MemberID!$C$1)),0))</f>
        <v>#NUM!</v>
      </c>
      <c r="W52" s="69" t="e">
        <f ca="1">INDEX(E$65:INDIRECT("E"&amp;$C$61),$T52)</f>
        <v>#NUM!</v>
      </c>
      <c r="X52" t="e">
        <f ca="1">INDEX(F$65:INDIRECT("F"&amp;$C$61),$T52)</f>
        <v>#NUM!</v>
      </c>
      <c r="Y52" t="e">
        <f ca="1">INDEX(G$65:INDIRECT("G"&amp;$C$61),$T52)</f>
        <v>#NUM!</v>
      </c>
      <c r="Z52" t="e">
        <f ca="1">INDEX(H$65:INDIRECT("H"&amp;$C$61),$T52)</f>
        <v>#NUM!</v>
      </c>
      <c r="AA52" t="e">
        <f ca="1">INDEX(I$65:INDIRECT("I"&amp;$C$61),$T52)</f>
        <v>#NUM!</v>
      </c>
      <c r="AB52" t="e">
        <f ca="1">INDEX(J$65:INDIRECT("J"&amp;$C$61),$T52)</f>
        <v>#NUM!</v>
      </c>
      <c r="AC52" t="e">
        <f ca="1">INDEX(K$65:INDIRECT("K"&amp;$C$61),$T52)</f>
        <v>#NUM!</v>
      </c>
      <c r="AD52" t="e">
        <f ca="1">INDEX(L$65:INDIRECT("L"&amp;$C$61),$T52)</f>
        <v>#NUM!</v>
      </c>
      <c r="AE52" t="e">
        <f ca="1">INDEX(M$65:INDIRECT("M"&amp;$C$61),$T52)</f>
        <v>#NUM!</v>
      </c>
      <c r="AF52" t="e">
        <f ca="1">INDEX(N$65:INDIRECT("N"&amp;$C$61),$T52)</f>
        <v>#NUM!</v>
      </c>
      <c r="AG52" s="23" t="e">
        <f t="array" aca="1" ref="AG52" ca="1">IF(ISBLANK($AE$11),LARGE(IF($E$65:INDIRECT("E"&amp;$C$61)=$AE$10,O$65:INDIRECT(AG$13&amp;$C$61)),$AH52),IF(ISBLANK($AE$10),LARGE(IF($D$65:INDIRECT("D"&amp;$C$61)=$AE$11,O$65:INDIRECT(AG$13&amp;$C$61)),$AH52),LARGE(IF(($E$65:INDIRECT("E"&amp;$C$61)=$AE$10)*($D$65:INDIRECT("D"&amp;$C$61)=$AE$11),O$65:INDIRECT(AG$13&amp;$C$61)),$AH52)))</f>
        <v>#NUM!</v>
      </c>
      <c r="AH52" s="69">
        <v>3</v>
      </c>
      <c r="AI52" s="69" t="str">
        <f t="shared" ref="AI52:AJ55" si="5">AI51</f>
        <v>O</v>
      </c>
      <c r="AJ52" s="69" t="str">
        <f t="shared" si="5"/>
        <v>V</v>
      </c>
    </row>
    <row r="53" spans="1:36" x14ac:dyDescent="0.25">
      <c r="A53" s="74" t="s">
        <v>72</v>
      </c>
      <c r="B53" s="69" t="s">
        <v>36</v>
      </c>
      <c r="C53" s="74" t="e">
        <f ca="1">O6</f>
        <v>#N/A</v>
      </c>
      <c r="D53" s="69" t="e">
        <f ca="1">INDEX(D$65:INDIRECT("D"&amp;$C$61),$C53)</f>
        <v>#N/A</v>
      </c>
      <c r="E53" s="69" t="e">
        <f ca="1">INDEX(INDIRECT(("'MemberID'!$C$6:C"&amp;MemberID!$C$1)),MATCH(D53,INDIRECT(("'MemberID'!$G$6:G"&amp;MemberID!$C$1)),0))</f>
        <v>#N/A</v>
      </c>
      <c r="F53" s="69" t="e">
        <f ca="1">INDEX(E$65:INDIRECT("E"&amp;$C$61),$C53)</f>
        <v>#N/A</v>
      </c>
      <c r="G53" t="e">
        <f ca="1">INDEX(F$65:INDIRECT("F"&amp;$C$61),$C53)</f>
        <v>#N/A</v>
      </c>
      <c r="H53" t="e">
        <f ca="1">INDEX(G$65:INDIRECT("G"&amp;$C$61),$C53)</f>
        <v>#N/A</v>
      </c>
      <c r="I53" t="e">
        <f ca="1">INDEX(H$65:INDIRECT("H"&amp;$C$61),$C53)</f>
        <v>#N/A</v>
      </c>
      <c r="J53" t="e">
        <f ca="1">INDEX(I$65:INDIRECT("I"&amp;$C$61),$C53)</f>
        <v>#N/A</v>
      </c>
      <c r="K53" s="7" t="e">
        <f ca="1">INDEX(J$65:INDIRECT("J"&amp;$C$61),$C53)</f>
        <v>#N/A</v>
      </c>
      <c r="L53" t="e">
        <f ca="1">INDEX(K$65:INDIRECT("K"&amp;$C$61),$C53)</f>
        <v>#N/A</v>
      </c>
      <c r="M53" t="e">
        <f ca="1">INDEX(L$65:INDIRECT("L"&amp;$C$61),$C53)</f>
        <v>#N/A</v>
      </c>
      <c r="N53" t="e">
        <f ca="1">INDEX(M$65:INDIRECT("M"&amp;$C$61),$C53)</f>
        <v>#N/A</v>
      </c>
      <c r="O53" t="e">
        <f ca="1">INDEX(N$65:INDIRECT("N"&amp;$C$61),$C53)</f>
        <v>#N/A</v>
      </c>
      <c r="P53" s="23" t="e">
        <f ca="1">INDEX(O$65:INDIRECT("O"&amp;$C$61),$C53)</f>
        <v>#N/A</v>
      </c>
      <c r="Q53" s="104"/>
      <c r="R53" s="74" t="s">
        <v>72</v>
      </c>
      <c r="S53" s="69" t="s">
        <v>36</v>
      </c>
      <c r="T53" s="74" t="e">
        <f t="array" aca="1" ref="T53" ca="1">MATCH(IF(ISBLANK($AE$11),SMALL(IF($E$65:INDIRECT("E"&amp;$C$61)=$AE$10,INDIRECT(AJ53&amp;65):INDIRECT(AJ53&amp;$C$61)),$AH53),IF(ISBLANK($AE$10),SMALL(IF($D$65:INDIRECT("D"&amp;$C$61)=$AE$11,INDIRECT(AJ53&amp;65):INDIRECT(AJ53&amp;$C$61)),$AH53),SMALL(IF(($E$65:INDIRECT("E"&amp;$C$61)=$AE$10)*($D$65:INDIRECT("D"&amp;$C$61)=$AE$11),INDIRECT(AJ53&amp;65):INDIRECT(AJ53&amp;$C$61)),$AH53))),INDIRECT(AJ53&amp;65):INDIRECT(AJ53&amp;$C$61),0)</f>
        <v>#NUM!</v>
      </c>
      <c r="U53" s="69" t="e">
        <f ca="1">INDEX(D$65:INDIRECT("D"&amp;$C$61),$T53)</f>
        <v>#NUM!</v>
      </c>
      <c r="V53" s="69" t="e">
        <f ca="1">INDEX(INDIRECT(("'MemberID'!$C$6:C"&amp;MemberID!$C$1)),MATCH(U53,INDIRECT(("'MemberID'!$G$6:G"&amp;MemberID!$C$1)),0))</f>
        <v>#NUM!</v>
      </c>
      <c r="W53" s="69" t="e">
        <f ca="1">INDEX(E$65:INDIRECT("E"&amp;$C$61),$T53)</f>
        <v>#NUM!</v>
      </c>
      <c r="X53" t="e">
        <f ca="1">INDEX(F$65:INDIRECT("F"&amp;$C$61),$T53)</f>
        <v>#NUM!</v>
      </c>
      <c r="Y53" t="e">
        <f ca="1">INDEX(G$65:INDIRECT("G"&amp;$C$61),$T53)</f>
        <v>#NUM!</v>
      </c>
      <c r="Z53" t="e">
        <f ca="1">INDEX(H$65:INDIRECT("H"&amp;$C$61),$T53)</f>
        <v>#NUM!</v>
      </c>
      <c r="AA53" t="e">
        <f ca="1">INDEX(I$65:INDIRECT("I"&amp;$C$61),$T53)</f>
        <v>#NUM!</v>
      </c>
      <c r="AB53" t="e">
        <f ca="1">INDEX(J$65:INDIRECT("J"&amp;$C$61),$T53)</f>
        <v>#NUM!</v>
      </c>
      <c r="AC53" t="e">
        <f ca="1">INDEX(K$65:INDIRECT("K"&amp;$C$61),$T53)</f>
        <v>#NUM!</v>
      </c>
      <c r="AD53" t="e">
        <f ca="1">INDEX(L$65:INDIRECT("L"&amp;$C$61),$T53)</f>
        <v>#NUM!</v>
      </c>
      <c r="AE53" t="e">
        <f ca="1">INDEX(M$65:INDIRECT("M"&amp;$C$61),$T53)</f>
        <v>#NUM!</v>
      </c>
      <c r="AF53" t="e">
        <f ca="1">INDEX(N$65:INDIRECT("N"&amp;$C$61),$T53)</f>
        <v>#NUM!</v>
      </c>
      <c r="AG53" s="23" t="e">
        <f t="array" aca="1" ref="AG53" ca="1">IF(ISBLANK($AE$11),SMALL(IF($E$65:INDIRECT("E"&amp;$C$61)=$AE$10,O$65:INDIRECT(AG$13&amp;$C$61)),$AH53),IF(ISBLANK($AE$10),SMALL(IF($D$65:INDIRECT("D"&amp;$C$61)=$AE$11,O$65:INDIRECT(AG$13&amp;$C$61)),$AH53),SMALL(IF(($E$65:INDIRECT("E"&amp;$C$61)=$AE$10)*($D$65:INDIRECT("D"&amp;$C$61)=$AE$11),O$65:INDIRECT(AG$13&amp;$C$61)),$AH53)))</f>
        <v>#NUM!</v>
      </c>
      <c r="AH53" s="69">
        <v>1</v>
      </c>
      <c r="AI53" s="69" t="str">
        <f t="shared" si="5"/>
        <v>O</v>
      </c>
      <c r="AJ53" s="69" t="str">
        <f t="shared" si="5"/>
        <v>V</v>
      </c>
    </row>
    <row r="54" spans="1:36" x14ac:dyDescent="0.25">
      <c r="A54" s="74" t="s">
        <v>73</v>
      </c>
      <c r="B54" s="69" t="s">
        <v>36</v>
      </c>
      <c r="C54" s="74" t="e">
        <f ca="1">W6</f>
        <v>#NUM!</v>
      </c>
      <c r="D54" s="69" t="e">
        <f ca="1">INDEX(D$65:INDIRECT("D"&amp;$C$61),$C54)</f>
        <v>#NUM!</v>
      </c>
      <c r="E54" s="69" t="e">
        <f ca="1">INDEX(INDIRECT(("'MemberID'!$C$6:C"&amp;MemberID!$C$1)),MATCH(D54,INDIRECT(("'MemberID'!$G$6:G"&amp;MemberID!$C$1)),0))</f>
        <v>#NUM!</v>
      </c>
      <c r="F54" s="69" t="e">
        <f ca="1">INDEX(E$65:INDIRECT("E"&amp;$C$61),$C54)</f>
        <v>#NUM!</v>
      </c>
      <c r="G54" t="e">
        <f ca="1">INDEX(F$65:INDIRECT("F"&amp;$C$61),$C54)</f>
        <v>#NUM!</v>
      </c>
      <c r="H54" t="e">
        <f ca="1">INDEX(G$65:INDIRECT("G"&amp;$C$61),$C54)</f>
        <v>#NUM!</v>
      </c>
      <c r="I54" t="e">
        <f ca="1">INDEX(H$65:INDIRECT("H"&amp;$C$61),$C54)</f>
        <v>#NUM!</v>
      </c>
      <c r="J54" t="e">
        <f ca="1">INDEX(I$65:INDIRECT("I"&amp;$C$61),$C54)</f>
        <v>#NUM!</v>
      </c>
      <c r="K54" s="7" t="e">
        <f ca="1">INDEX(J$65:INDIRECT("J"&amp;$C$61),$C54)</f>
        <v>#NUM!</v>
      </c>
      <c r="L54" t="e">
        <f ca="1">INDEX(K$65:INDIRECT("K"&amp;$C$61),$C54)</f>
        <v>#NUM!</v>
      </c>
      <c r="M54" t="e">
        <f ca="1">INDEX(L$65:INDIRECT("L"&amp;$C$61),$C54)</f>
        <v>#NUM!</v>
      </c>
      <c r="N54" t="e">
        <f ca="1">INDEX(M$65:INDIRECT("M"&amp;$C$61),$C54)</f>
        <v>#NUM!</v>
      </c>
      <c r="O54" t="e">
        <f ca="1">INDEX(N$65:INDIRECT("N"&amp;$C$61),$C54)</f>
        <v>#NUM!</v>
      </c>
      <c r="P54" s="23" t="e">
        <f ca="1">INDEX(O$65:INDIRECT("O"&amp;$C$61),$C54)</f>
        <v>#NUM!</v>
      </c>
      <c r="Q54" s="104"/>
      <c r="R54" s="74" t="s">
        <v>73</v>
      </c>
      <c r="S54" s="69" t="s">
        <v>36</v>
      </c>
      <c r="T54" s="74" t="e">
        <f t="array" aca="1" ref="T54" ca="1">MATCH(IF(ISBLANK($AE$11),SMALL(IF($E$65:INDIRECT("E"&amp;$C$61)=$AE$10,INDIRECT(AJ54&amp;65):INDIRECT(AJ54&amp;$C$61)),$AH54),IF(ISBLANK($AE$10),SMALL(IF($D$65:INDIRECT("D"&amp;$C$61)=$AE$11,INDIRECT(AJ54&amp;65):INDIRECT(AJ54&amp;$C$61)),$AH54),SMALL(IF(($E$65:INDIRECT("E"&amp;$C$61)=$AE$10)*($D$65:INDIRECT("D"&amp;$C$61)=$AE$11),INDIRECT(AJ54&amp;65):INDIRECT(AJ54&amp;$C$61)),$AH54))),INDIRECT(AJ54&amp;65):INDIRECT(AJ54&amp;$C$61),0)</f>
        <v>#NUM!</v>
      </c>
      <c r="U54" s="69" t="e">
        <f ca="1">INDEX(D$65:INDIRECT("D"&amp;$C$61),$T54)</f>
        <v>#NUM!</v>
      </c>
      <c r="V54" s="69" t="e">
        <f ca="1">INDEX(INDIRECT(("'MemberID'!$C$6:C"&amp;MemberID!$C$1)),MATCH(U54,INDIRECT(("'MemberID'!$G$6:G"&amp;MemberID!$C$1)),0))</f>
        <v>#NUM!</v>
      </c>
      <c r="W54" s="69" t="e">
        <f ca="1">INDEX(E$65:INDIRECT("E"&amp;$C$61),$T54)</f>
        <v>#NUM!</v>
      </c>
      <c r="X54" t="e">
        <f ca="1">INDEX(F$65:INDIRECT("F"&amp;$C$61),$T54)</f>
        <v>#NUM!</v>
      </c>
      <c r="Y54" t="e">
        <f ca="1">INDEX(G$65:INDIRECT("G"&amp;$C$61),$T54)</f>
        <v>#NUM!</v>
      </c>
      <c r="Z54" t="e">
        <f ca="1">INDEX(H$65:INDIRECT("H"&amp;$C$61),$T54)</f>
        <v>#NUM!</v>
      </c>
      <c r="AA54" t="e">
        <f ca="1">INDEX(I$65:INDIRECT("I"&amp;$C$61),$T54)</f>
        <v>#NUM!</v>
      </c>
      <c r="AB54" t="e">
        <f ca="1">INDEX(J$65:INDIRECT("J"&amp;$C$61),$T54)</f>
        <v>#NUM!</v>
      </c>
      <c r="AC54" t="e">
        <f ca="1">INDEX(K$65:INDIRECT("K"&amp;$C$61),$T54)</f>
        <v>#NUM!</v>
      </c>
      <c r="AD54" t="e">
        <f ca="1">INDEX(L$65:INDIRECT("L"&amp;$C$61),$T54)</f>
        <v>#NUM!</v>
      </c>
      <c r="AE54" t="e">
        <f ca="1">INDEX(M$65:INDIRECT("M"&amp;$C$61),$T54)</f>
        <v>#NUM!</v>
      </c>
      <c r="AF54" t="e">
        <f ca="1">INDEX(N$65:INDIRECT("N"&amp;$C$61),$T54)</f>
        <v>#NUM!</v>
      </c>
      <c r="AG54" s="23" t="e">
        <f t="array" aca="1" ref="AG54" ca="1">IF(ISBLANK($AE$11),SMALL(IF($E$65:INDIRECT("E"&amp;$C$61)=$AE$10,O$65:INDIRECT(AG$13&amp;$C$61)),$AH54),IF(ISBLANK($AE$10),SMALL(IF($D$65:INDIRECT("D"&amp;$C$61)=$AE$11,O$65:INDIRECT(AG$13&amp;$C$61)),$AH54),SMALL(IF(($E$65:INDIRECT("E"&amp;$C$61)=$AE$10)*($D$65:INDIRECT("D"&amp;$C$61)=$AE$11),O$65:INDIRECT(AG$13&amp;$C$61)),$AH54)))</f>
        <v>#NUM!</v>
      </c>
      <c r="AH54" s="69">
        <v>2</v>
      </c>
      <c r="AI54" s="69" t="str">
        <f t="shared" si="5"/>
        <v>O</v>
      </c>
      <c r="AJ54" s="69" t="str">
        <f t="shared" si="5"/>
        <v>V</v>
      </c>
    </row>
    <row r="55" spans="1:36" x14ac:dyDescent="0.25">
      <c r="A55" s="74" t="s">
        <v>74</v>
      </c>
      <c r="B55" s="69" t="s">
        <v>36</v>
      </c>
      <c r="C55" s="74" t="e">
        <f ca="1">AE6</f>
        <v>#NUM!</v>
      </c>
      <c r="D55" s="69" t="e">
        <f ca="1">INDEX(D$65:INDIRECT("D"&amp;$C$61),$C55)</f>
        <v>#NUM!</v>
      </c>
      <c r="E55" s="69" t="e">
        <f ca="1">INDEX(INDIRECT(("'MemberID'!$C$6:C"&amp;MemberID!$C$1)),MATCH(D55,INDIRECT(("'MemberID'!$G$6:G"&amp;MemberID!$C$1)),0))</f>
        <v>#NUM!</v>
      </c>
      <c r="F55" s="69" t="e">
        <f ca="1">INDEX(E$65:INDIRECT("E"&amp;$C$61),$C55)</f>
        <v>#NUM!</v>
      </c>
      <c r="G55" t="e">
        <f ca="1">INDEX(F$65:INDIRECT("F"&amp;$C$61),$C55)</f>
        <v>#NUM!</v>
      </c>
      <c r="H55" t="e">
        <f ca="1">INDEX(G$65:INDIRECT("G"&amp;$C$61),$C55)</f>
        <v>#NUM!</v>
      </c>
      <c r="I55" t="e">
        <f ca="1">INDEX(H$65:INDIRECT("H"&amp;$C$61),$C55)</f>
        <v>#NUM!</v>
      </c>
      <c r="J55" t="e">
        <f ca="1">INDEX(I$65:INDIRECT("I"&amp;$C$61),$C55)</f>
        <v>#NUM!</v>
      </c>
      <c r="K55" s="7" t="e">
        <f ca="1">INDEX(J$65:INDIRECT("J"&amp;$C$61),$C55)</f>
        <v>#NUM!</v>
      </c>
      <c r="L55" t="e">
        <f ca="1">INDEX(K$65:INDIRECT("K"&amp;$C$61),$C55)</f>
        <v>#NUM!</v>
      </c>
      <c r="M55" t="e">
        <f ca="1">INDEX(L$65:INDIRECT("L"&amp;$C$61),$C55)</f>
        <v>#NUM!</v>
      </c>
      <c r="N55" t="e">
        <f ca="1">INDEX(M$65:INDIRECT("M"&amp;$C$61),$C55)</f>
        <v>#NUM!</v>
      </c>
      <c r="O55" t="e">
        <f ca="1">INDEX(N$65:INDIRECT("N"&amp;$C$61),$C55)</f>
        <v>#NUM!</v>
      </c>
      <c r="P55" s="23" t="e">
        <f ca="1">INDEX(O$65:INDIRECT("O"&amp;$C$61),$C55)</f>
        <v>#NUM!</v>
      </c>
      <c r="Q55" s="104"/>
      <c r="R55" s="74" t="s">
        <v>74</v>
      </c>
      <c r="S55" s="69" t="s">
        <v>36</v>
      </c>
      <c r="T55" s="74" t="e">
        <f t="array" aca="1" ref="T55" ca="1">MATCH(IF(ISBLANK($AE$11),SMALL(IF($E$65:INDIRECT("E"&amp;$C$61)=$AE$10,INDIRECT(AJ55&amp;65):INDIRECT(AJ55&amp;$C$61)),$AH55),IF(ISBLANK($AE$10),SMALL(IF($D$65:INDIRECT("D"&amp;$C$61)=$AE$11,INDIRECT(AJ55&amp;65):INDIRECT(AJ55&amp;$C$61)),$AH55),SMALL(IF(($E$65:INDIRECT("E"&amp;$C$61)=$AE$10)*($D$65:INDIRECT("D"&amp;$C$61)=$AE$11),INDIRECT(AJ55&amp;65):INDIRECT(AJ55&amp;$C$61)),$AH55))),INDIRECT(AJ55&amp;65):INDIRECT(AJ55&amp;$C$61),0)</f>
        <v>#NUM!</v>
      </c>
      <c r="U55" s="69" t="e">
        <f ca="1">INDEX(D$65:INDIRECT("D"&amp;$C$61),$T55)</f>
        <v>#NUM!</v>
      </c>
      <c r="V55" s="69" t="e">
        <f ca="1">INDEX(INDIRECT(("'MemberID'!$C$6:C"&amp;MemberID!$C$1)),MATCH(U55,INDIRECT(("'MemberID'!$G$6:G"&amp;MemberID!$C$1)),0))</f>
        <v>#NUM!</v>
      </c>
      <c r="W55" s="69" t="e">
        <f ca="1">INDEX(E$65:INDIRECT("E"&amp;$C$61),$T55)</f>
        <v>#NUM!</v>
      </c>
      <c r="X55" t="e">
        <f ca="1">INDEX(F$65:INDIRECT("F"&amp;$C$61),$T55)</f>
        <v>#NUM!</v>
      </c>
      <c r="Y55" t="e">
        <f ca="1">INDEX(G$65:INDIRECT("G"&amp;$C$61),$T55)</f>
        <v>#NUM!</v>
      </c>
      <c r="Z55" t="e">
        <f ca="1">INDEX(H$65:INDIRECT("H"&amp;$C$61),$T55)</f>
        <v>#NUM!</v>
      </c>
      <c r="AA55" t="e">
        <f ca="1">INDEX(I$65:INDIRECT("I"&amp;$C$61),$T55)</f>
        <v>#NUM!</v>
      </c>
      <c r="AB55" t="e">
        <f ca="1">INDEX(J$65:INDIRECT("J"&amp;$C$61),$T55)</f>
        <v>#NUM!</v>
      </c>
      <c r="AC55" t="e">
        <f ca="1">INDEX(K$65:INDIRECT("K"&amp;$C$61),$T55)</f>
        <v>#NUM!</v>
      </c>
      <c r="AD55" t="e">
        <f ca="1">INDEX(L$65:INDIRECT("L"&amp;$C$61),$T55)</f>
        <v>#NUM!</v>
      </c>
      <c r="AE55" t="e">
        <f ca="1">INDEX(M$65:INDIRECT("M"&amp;$C$61),$T55)</f>
        <v>#NUM!</v>
      </c>
      <c r="AF55" t="e">
        <f ca="1">INDEX(N$65:INDIRECT("N"&amp;$C$61),$T55)</f>
        <v>#NUM!</v>
      </c>
      <c r="AG55" s="23" t="e">
        <f t="array" aca="1" ref="AG55" ca="1">IF(ISBLANK($AE$11),SMALL(IF($E$65:INDIRECT("E"&amp;$C$61)=$AE$10,O$65:INDIRECT(AG$13&amp;$C$61)),$AH55),IF(ISBLANK($AE$10),SMALL(IF($D$65:INDIRECT("D"&amp;$C$61)=$AE$11,O$65:INDIRECT(AG$13&amp;$C$61)),$AH55),SMALL(IF(($E$65:INDIRECT("E"&amp;$C$61)=$AE$10)*($D$65:INDIRECT("D"&amp;$C$61)=$AE$11),O$65:INDIRECT(AG$13&amp;$C$61)),$AH55)))</f>
        <v>#NUM!</v>
      </c>
      <c r="AH55" s="69">
        <v>3</v>
      </c>
      <c r="AI55" s="69" t="str">
        <f t="shared" si="5"/>
        <v>O</v>
      </c>
      <c r="AJ55" s="69" t="str">
        <f t="shared" si="5"/>
        <v>V</v>
      </c>
    </row>
    <row r="56" spans="1:36" x14ac:dyDescent="0.25">
      <c r="Q56" s="104"/>
    </row>
    <row r="57" spans="1:36" x14ac:dyDescent="0.25">
      <c r="F57" s="57"/>
      <c r="G57" s="57"/>
      <c r="H57" s="57"/>
      <c r="I57" s="57"/>
      <c r="Q57" s="104"/>
    </row>
    <row r="58" spans="1:36" x14ac:dyDescent="0.25">
      <c r="D58" s="7"/>
      <c r="F58" s="77"/>
      <c r="G58" s="77"/>
      <c r="H58" s="77"/>
      <c r="I58" s="77"/>
      <c r="J58" s="7"/>
      <c r="K58" s="7"/>
      <c r="L58" s="7"/>
      <c r="M58" s="7"/>
      <c r="N58" s="7"/>
      <c r="O58" s="7"/>
      <c r="P58" s="7"/>
      <c r="Q58" s="105"/>
      <c r="R58" s="7"/>
      <c r="S58" s="7"/>
      <c r="T58" s="7"/>
      <c r="U58" s="7"/>
      <c r="V58" s="7"/>
      <c r="W58" s="7"/>
      <c r="X58" s="7"/>
      <c r="Y58" s="7"/>
    </row>
    <row r="59" spans="1:36" x14ac:dyDescent="0.25">
      <c r="D59" s="66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8"/>
      <c r="Q59" s="105"/>
      <c r="R59" s="7"/>
      <c r="S59" s="7"/>
      <c r="T59" s="7"/>
      <c r="U59" s="7"/>
      <c r="V59" s="7"/>
      <c r="W59" s="7"/>
      <c r="X59" s="7"/>
    </row>
    <row r="60" spans="1:36" x14ac:dyDescent="0.25">
      <c r="D60" s="66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8"/>
      <c r="Q60" s="105"/>
      <c r="R60" s="7"/>
      <c r="S60" s="7"/>
      <c r="T60" s="7"/>
      <c r="U60" s="7"/>
      <c r="V60" s="7"/>
      <c r="W60" s="7"/>
      <c r="X60" s="7"/>
    </row>
    <row r="61" spans="1:36" x14ac:dyDescent="0.25">
      <c r="B61" t="s">
        <v>23</v>
      </c>
      <c r="C61" s="23">
        <f>LOOKUP(2,1/(NOT(ISBLANK(D:D))),ROW(D:D))</f>
        <v>64</v>
      </c>
      <c r="D61" s="66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8"/>
      <c r="Q61" s="105"/>
      <c r="R61" s="7"/>
      <c r="S61" s="7"/>
      <c r="T61" s="7"/>
      <c r="U61" s="7"/>
      <c r="V61" s="7"/>
      <c r="W61" s="7"/>
      <c r="X61" s="7"/>
    </row>
    <row r="62" spans="1:36" x14ac:dyDescent="0.25">
      <c r="Q62" s="104"/>
    </row>
    <row r="63" spans="1:36" x14ac:dyDescent="0.25">
      <c r="C63" s="7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Q63" s="22" t="s">
        <v>168</v>
      </c>
      <c r="R63" s="22"/>
      <c r="S63" s="22"/>
      <c r="T63" s="22"/>
      <c r="U63" s="22"/>
      <c r="V63" s="22"/>
    </row>
    <row r="64" spans="1:36" x14ac:dyDescent="0.25">
      <c r="C64" s="7"/>
      <c r="D64" t="s">
        <v>0</v>
      </c>
      <c r="E64" s="28" t="s">
        <v>191</v>
      </c>
      <c r="F64" s="28" t="s">
        <v>192</v>
      </c>
      <c r="G64" s="28" t="s">
        <v>193</v>
      </c>
      <c r="H64" s="28" t="s">
        <v>194</v>
      </c>
      <c r="I64" t="s">
        <v>129</v>
      </c>
      <c r="J64" t="s">
        <v>5</v>
      </c>
      <c r="K64" t="s">
        <v>6</v>
      </c>
      <c r="L64" t="s">
        <v>7</v>
      </c>
      <c r="M64" t="s">
        <v>8</v>
      </c>
      <c r="N64" t="s">
        <v>9</v>
      </c>
      <c r="O64" t="s">
        <v>10</v>
      </c>
      <c r="Q64" s="69" t="s">
        <v>140</v>
      </c>
      <c r="R64" s="69" t="s">
        <v>141</v>
      </c>
      <c r="S64" s="69" t="s">
        <v>142</v>
      </c>
      <c r="T64" s="69" t="s">
        <v>143</v>
      </c>
      <c r="U64" s="69" t="s">
        <v>144</v>
      </c>
      <c r="V64" s="69" t="s">
        <v>145</v>
      </c>
    </row>
    <row r="65" spans="30:49" x14ac:dyDescent="0.25">
      <c r="AD65" s="1"/>
      <c r="AE65" s="1"/>
      <c r="AO65" s="1"/>
      <c r="AP65" s="1"/>
      <c r="AQ65" s="1"/>
      <c r="AR65" s="1"/>
      <c r="AS65" s="1"/>
      <c r="AT65" s="1"/>
      <c r="AU65" s="1"/>
      <c r="AW65" s="1"/>
    </row>
  </sheetData>
  <dataValidations count="2">
    <dataValidation type="list" showInputMessage="1" showErrorMessage="1" sqref="AE11" xr:uid="{9BCE7AB6-7378-4BCF-8BF0-E3743C996037}">
      <formula1>MemberList</formula1>
    </dataValidation>
    <dataValidation type="list" showInputMessage="1" showErrorMessage="1" sqref="AE10" xr:uid="{4C1C71C4-E6C0-4B94-8E5B-4B791712F1C9}">
      <formula1>StationList</formula1>
    </dataValidation>
  </dataValidation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887D5-BF02-47D3-A3FA-77C5132476B2}">
  <sheetPr codeName="Sheet63"/>
  <dimension ref="A1:AZ64"/>
  <sheetViews>
    <sheetView zoomScale="70" zoomScaleNormal="70" workbookViewId="0"/>
  </sheetViews>
  <sheetFormatPr defaultRowHeight="15" x14ac:dyDescent="0.25"/>
  <cols>
    <col min="1" max="1" width="10.28515625" customWidth="1"/>
    <col min="2" max="2" width="11.7109375" customWidth="1"/>
    <col min="3" max="3" width="13.42578125" bestFit="1" customWidth="1"/>
    <col min="4" max="4" width="8.85546875" customWidth="1"/>
    <col min="5" max="6" width="14.85546875" bestFit="1" customWidth="1"/>
    <col min="7" max="8" width="20.5703125" bestFit="1" customWidth="1"/>
    <col min="9" max="10" width="35.7109375" customWidth="1"/>
    <col min="11" max="11" width="17.28515625" bestFit="1" customWidth="1"/>
    <col min="12" max="13" width="15.85546875" bestFit="1" customWidth="1"/>
    <col min="14" max="15" width="19.140625" bestFit="1" customWidth="1"/>
    <col min="16" max="16" width="18.85546875" customWidth="1"/>
    <col min="17" max="17" width="15.85546875" customWidth="1"/>
    <col min="18" max="21" width="15.85546875" bestFit="1" customWidth="1"/>
    <col min="22" max="22" width="16.85546875" bestFit="1" customWidth="1"/>
    <col min="23" max="23" width="16.7109375" bestFit="1" customWidth="1"/>
    <col min="24" max="24" width="13" bestFit="1" customWidth="1"/>
    <col min="25" max="25" width="20.5703125" bestFit="1" customWidth="1"/>
    <col min="26" max="26" width="14.85546875" bestFit="1" customWidth="1"/>
    <col min="27" max="27" width="35.7109375" customWidth="1"/>
    <col min="28" max="29" width="15.85546875" bestFit="1" customWidth="1"/>
    <col min="30" max="30" width="16.85546875" bestFit="1" customWidth="1"/>
    <col min="31" max="31" width="16.85546875" customWidth="1"/>
    <col min="32" max="33" width="15.85546875" bestFit="1" customWidth="1"/>
    <col min="34" max="34" width="12.5703125" customWidth="1"/>
    <col min="35" max="36" width="14.42578125" customWidth="1"/>
  </cols>
  <sheetData>
    <row r="1" spans="1:38" x14ac:dyDescent="0.25">
      <c r="A1" s="26" t="str">
        <f>'MODEL INTRO'!M19</f>
        <v>S2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</row>
    <row r="2" spans="1:38" x14ac:dyDescent="0.25">
      <c r="A2" s="27" t="str">
        <f>'STR1 Forces'!A2</f>
        <v>Column Forces</v>
      </c>
      <c r="I2" s="103" t="s">
        <v>63</v>
      </c>
      <c r="J2" s="25">
        <f ca="1">MAX(J$65:INDIRECT("G"&amp;$C$61))</f>
        <v>0</v>
      </c>
      <c r="K2" s="25">
        <f ca="1">MAX(K$65:INDIRECT("H"&amp;$C$61))</f>
        <v>0</v>
      </c>
      <c r="L2" s="25">
        <f ca="1">MAX(L$65:INDIRECT("I"&amp;$C$61))</f>
        <v>0</v>
      </c>
      <c r="M2" s="25">
        <f ca="1">MAX(M$65:INDIRECT("J"&amp;$C$61))</f>
        <v>0</v>
      </c>
      <c r="N2" s="25">
        <f ca="1">MAX(N$65:INDIRECT("K"&amp;$C$61))</f>
        <v>0</v>
      </c>
      <c r="O2" s="25">
        <f ca="1">MAX(O$65:INDIRECT("L"&amp;$C$61))</f>
        <v>0</v>
      </c>
      <c r="Q2" s="103" t="s">
        <v>64</v>
      </c>
      <c r="R2" s="25" t="e">
        <f ca="1">LARGE(J$65:INDIRECT("G"&amp;$C$61),2)</f>
        <v>#NUM!</v>
      </c>
      <c r="S2" s="25" t="e">
        <f ca="1">LARGE(K$65:INDIRECT("H"&amp;$C$61),2)</f>
        <v>#NUM!</v>
      </c>
      <c r="T2" s="25" t="e">
        <f ca="1">LARGE(L$65:INDIRECT("I"&amp;$C$61),2)</f>
        <v>#NUM!</v>
      </c>
      <c r="U2" s="25" t="e">
        <f ca="1">LARGE(M$65:INDIRECT("J"&amp;$C$61),2)</f>
        <v>#NUM!</v>
      </c>
      <c r="V2" s="25" t="e">
        <f ca="1">LARGE(N$65:INDIRECT("K"&amp;$C$61),2)</f>
        <v>#NUM!</v>
      </c>
      <c r="W2" s="25" t="e">
        <f ca="1">LARGE(O$65:INDIRECT("L"&amp;$C$61),2)</f>
        <v>#NUM!</v>
      </c>
      <c r="Y2" s="103" t="s">
        <v>65</v>
      </c>
      <c r="Z2" s="25" t="e">
        <f ca="1">LARGE(J$65:INDIRECT("G"&amp;$C$61),3)</f>
        <v>#NUM!</v>
      </c>
      <c r="AA2" s="25" t="e">
        <f ca="1">LARGE(K$65:INDIRECT("H"&amp;$C$61),3)</f>
        <v>#NUM!</v>
      </c>
      <c r="AB2" s="25" t="e">
        <f ca="1">LARGE(L$65:INDIRECT("I"&amp;$C$61),3)</f>
        <v>#NUM!</v>
      </c>
      <c r="AC2" s="25" t="e">
        <f ca="1">LARGE(M$65:INDIRECT("J"&amp;$C$61),3)</f>
        <v>#NUM!</v>
      </c>
      <c r="AD2" s="25" t="e">
        <f ca="1">LARGE(N$65:INDIRECT("K"&amp;$C$61),3)</f>
        <v>#NUM!</v>
      </c>
      <c r="AE2" s="25" t="e">
        <f ca="1">LARGE(O$65:INDIRECT("L"&amp;$C$61),3)</f>
        <v>#NUM!</v>
      </c>
      <c r="AH2" s="24" t="s">
        <v>163</v>
      </c>
    </row>
    <row r="3" spans="1:38" x14ac:dyDescent="0.25">
      <c r="A3" s="27" t="s">
        <v>174</v>
      </c>
      <c r="I3" s="103" t="s">
        <v>30</v>
      </c>
      <c r="J3" s="56" t="e">
        <f ca="1">MATCH(MAX(Q$65:INDIRECT(AB14&amp;$C$61)),Q$65:INDIRECT(AB14&amp;$C$61),0)</f>
        <v>#N/A</v>
      </c>
      <c r="K3" s="56" t="e">
        <f ca="1">MATCH(MAX(R$65:INDIRECT(AC14&amp;$C$61)),R$65:INDIRECT(AC14&amp;$C$61),0)</f>
        <v>#N/A</v>
      </c>
      <c r="L3" s="56" t="e">
        <f ca="1">MATCH(MAX(S$65:INDIRECT(AD14&amp;$C$61)),S$65:INDIRECT(AD14&amp;$C$61),0)</f>
        <v>#N/A</v>
      </c>
      <c r="M3" s="56" t="e">
        <f ca="1">MATCH(MAX(T$65:INDIRECT(AE14&amp;$C$61)),T$65:INDIRECT(AE14&amp;$C$61),0)</f>
        <v>#N/A</v>
      </c>
      <c r="N3" s="56" t="e">
        <f ca="1">MATCH(MAX(U$65:INDIRECT(AF14&amp;$C$61)),U$65:INDIRECT(AF14&amp;$C$61),0)</f>
        <v>#N/A</v>
      </c>
      <c r="O3" s="56" t="e">
        <f ca="1">MATCH(MAX(V$65:INDIRECT(AG14&amp;$C$61)),V$65:INDIRECT(AG14&amp;$C$61),0)</f>
        <v>#N/A</v>
      </c>
      <c r="Q3" s="103" t="s">
        <v>30</v>
      </c>
      <c r="R3" s="56" t="e">
        <f ca="1">MATCH(LARGE(Q$65:INDIRECT(AB14&amp;$C$61),2),Q$65:INDIRECT(AB14&amp;$C$61),0)</f>
        <v>#NUM!</v>
      </c>
      <c r="S3" s="56" t="e">
        <f ca="1">MATCH(LARGE(R$65:INDIRECT(AC14&amp;$C$61),2),R$65:INDIRECT(AC14&amp;$C$61),0)</f>
        <v>#NUM!</v>
      </c>
      <c r="T3" s="56" t="e">
        <f ca="1">MATCH(LARGE(S$65:INDIRECT(AD14&amp;$C$61),2),S$65:INDIRECT(AD14&amp;$C$61),0)</f>
        <v>#NUM!</v>
      </c>
      <c r="U3" s="56" t="e">
        <f ca="1">MATCH(LARGE(T$65:INDIRECT(AE14&amp;$C$61),2),T$65:INDIRECT(AE14&amp;$C$61),0)</f>
        <v>#NUM!</v>
      </c>
      <c r="V3" s="56" t="e">
        <f ca="1">MATCH(LARGE(U$65:INDIRECT(AF14&amp;$C$61),2),U$65:INDIRECT(AF14&amp;$C$61),0)</f>
        <v>#NUM!</v>
      </c>
      <c r="W3" s="56" t="e">
        <f ca="1">MATCH(LARGE(V$65:INDIRECT(AG14&amp;$C$61),2),V$65:INDIRECT(AG14&amp;$C$61),0)</f>
        <v>#NUM!</v>
      </c>
      <c r="Y3" s="103" t="s">
        <v>30</v>
      </c>
      <c r="Z3" s="56" t="e">
        <f ca="1">MATCH(LARGE(Q$65:INDIRECT(AB14&amp;$C$61),3),Q$65:INDIRECT(AB14&amp;$C$61),0)</f>
        <v>#NUM!</v>
      </c>
      <c r="AA3" s="56" t="e">
        <f ca="1">MATCH(LARGE(R$65:INDIRECT(AC14&amp;$C$61),3),R$65:INDIRECT(AC14&amp;$C$61),0)</f>
        <v>#NUM!</v>
      </c>
      <c r="AB3" s="56" t="e">
        <f ca="1">MATCH(LARGE(S$65:INDIRECT(AD14&amp;$C$61),3),S$65:INDIRECT(AD14&amp;$C$61),0)</f>
        <v>#NUM!</v>
      </c>
      <c r="AC3" s="56" t="e">
        <f ca="1">MATCH(LARGE(T$65:INDIRECT(AE14&amp;$C$61),3),T$65:INDIRECT(AE14&amp;$C$61),0)</f>
        <v>#NUM!</v>
      </c>
      <c r="AD3" s="56" t="e">
        <f ca="1">MATCH(LARGE(U$65:INDIRECT(AF14&amp;$C$61),3),U$65:INDIRECT(AF14&amp;$C$61),0)</f>
        <v>#NUM!</v>
      </c>
      <c r="AE3" s="56" t="e">
        <f ca="1">MATCH(LARGE(V$65:INDIRECT(AG14&amp;$C$61),3),V$65:INDIRECT(AG14&amp;$C$61),0)</f>
        <v>#NUM!</v>
      </c>
      <c r="AH3" s="24" t="s">
        <v>164</v>
      </c>
      <c r="AI3" s="71" t="s">
        <v>146</v>
      </c>
    </row>
    <row r="4" spans="1:38" x14ac:dyDescent="0.25">
      <c r="I4" s="103"/>
      <c r="J4" s="67"/>
      <c r="K4" s="67"/>
      <c r="L4" s="67"/>
      <c r="M4" s="67"/>
      <c r="N4" s="67"/>
      <c r="O4" s="67"/>
      <c r="Q4" s="103"/>
      <c r="R4" s="67"/>
      <c r="S4" s="67"/>
      <c r="T4" s="67"/>
      <c r="U4" s="67"/>
      <c r="V4" s="67"/>
      <c r="W4" s="67"/>
      <c r="Y4" s="103"/>
      <c r="Z4" s="67"/>
      <c r="AA4" s="67"/>
      <c r="AB4" s="67"/>
      <c r="AC4" s="67"/>
      <c r="AD4" s="67"/>
      <c r="AE4" s="67"/>
      <c r="AH4" s="24" t="s">
        <v>165</v>
      </c>
      <c r="AI4" s="71" t="s">
        <v>147</v>
      </c>
    </row>
    <row r="5" spans="1:38" x14ac:dyDescent="0.25">
      <c r="I5" s="103" t="s">
        <v>66</v>
      </c>
      <c r="J5" s="25">
        <f ca="1">MIN(J$65:INDIRECT("G"&amp;$C$61))</f>
        <v>0</v>
      </c>
      <c r="K5" s="25">
        <f ca="1">MIN(K$65:INDIRECT("H"&amp;$C$61))</f>
        <v>0</v>
      </c>
      <c r="L5" s="25">
        <f ca="1">MIN(L$65:INDIRECT("I"&amp;$C$61))</f>
        <v>0</v>
      </c>
      <c r="M5" s="25">
        <f ca="1">MIN(M$65:INDIRECT("J"&amp;$C$61))</f>
        <v>0</v>
      </c>
      <c r="N5" s="25">
        <f ca="1">MIN(N$65:INDIRECT("K"&amp;$C$61))</f>
        <v>0</v>
      </c>
      <c r="O5" s="25">
        <f ca="1">MIN(O$65:INDIRECT("L"&amp;$C$61))</f>
        <v>0</v>
      </c>
      <c r="Q5" s="103" t="s">
        <v>67</v>
      </c>
      <c r="R5" s="25" t="e">
        <f ca="1">SMALL(J$65:INDIRECT("G"&amp;$C$61),2)</f>
        <v>#NUM!</v>
      </c>
      <c r="S5" s="25" t="e">
        <f ca="1">SMALL(K$65:INDIRECT("H"&amp;$C$61),2)</f>
        <v>#NUM!</v>
      </c>
      <c r="T5" s="25" t="e">
        <f ca="1">SMALL(L$65:INDIRECT("I"&amp;$C$61),2)</f>
        <v>#NUM!</v>
      </c>
      <c r="U5" s="25" t="e">
        <f ca="1">SMALL(M$65:INDIRECT("J"&amp;$C$61),2)</f>
        <v>#NUM!</v>
      </c>
      <c r="V5" s="25" t="e">
        <f ca="1">SMALL(N$65:INDIRECT("K"&amp;$C$61),2)</f>
        <v>#NUM!</v>
      </c>
      <c r="W5" s="25" t="e">
        <f ca="1">SMALL(O$65:INDIRECT("L"&amp;$C$61),2)</f>
        <v>#NUM!</v>
      </c>
      <c r="Y5" s="103" t="s">
        <v>68</v>
      </c>
      <c r="Z5" s="25" t="e">
        <f ca="1">SMALL(J$65:INDIRECT("G"&amp;$C$61),3)</f>
        <v>#NUM!</v>
      </c>
      <c r="AA5" s="25" t="e">
        <f ca="1">SMALL(K$65:INDIRECT("H"&amp;$C$61),3)</f>
        <v>#NUM!</v>
      </c>
      <c r="AB5" s="25" t="e">
        <f ca="1">SMALL(L$65:INDIRECT("I"&amp;$C$61),3)</f>
        <v>#NUM!</v>
      </c>
      <c r="AC5" s="25" t="e">
        <f ca="1">SMALL(M$65:INDIRECT("J"&amp;$C$61),3)</f>
        <v>#NUM!</v>
      </c>
      <c r="AD5" s="25" t="e">
        <f ca="1">SMALL(N$65:INDIRECT("K"&amp;$C$61),3)</f>
        <v>#NUM!</v>
      </c>
      <c r="AE5" s="25" t="e">
        <f ca="1">SMALL(O$65:INDIRECT("L"&amp;$C$61),3)</f>
        <v>#NUM!</v>
      </c>
      <c r="AH5" s="24" t="s">
        <v>166</v>
      </c>
      <c r="AI5" s="70" t="s">
        <v>148</v>
      </c>
    </row>
    <row r="6" spans="1:38" x14ac:dyDescent="0.25">
      <c r="I6" s="103" t="s">
        <v>30</v>
      </c>
      <c r="J6" s="56" t="e">
        <f ca="1">MATCH(MIN(Q$65:INDIRECT(AB14&amp;$C$61)),Q$65:INDIRECT(AB14&amp;$C$61),0)</f>
        <v>#N/A</v>
      </c>
      <c r="K6" s="56" t="e">
        <f ca="1">MATCH(MIN(R$65:INDIRECT(AC14&amp;$C$61)),R$65:INDIRECT(AC14&amp;$C$61),0)</f>
        <v>#N/A</v>
      </c>
      <c r="L6" s="56" t="e">
        <f ca="1">MATCH(MIN(S$65:INDIRECT(AD14&amp;$C$61)),S$65:INDIRECT(AD14&amp;$C$61),0)</f>
        <v>#N/A</v>
      </c>
      <c r="M6" s="56" t="e">
        <f ca="1">MATCH(MIN(T$65:INDIRECT(AE14&amp;$C$61)),T$65:INDIRECT(AE14&amp;$C$61),0)</f>
        <v>#N/A</v>
      </c>
      <c r="N6" s="56" t="e">
        <f ca="1">MATCH(MIN(U$65:INDIRECT(AF14&amp;$C$61)),U$65:INDIRECT(AF14&amp;$C$61),0)</f>
        <v>#N/A</v>
      </c>
      <c r="O6" s="56" t="e">
        <f ca="1">MATCH(MIN(V$65:INDIRECT(AG14&amp;$C$61)),V$65:INDIRECT(AG14&amp;$C$61),0)</f>
        <v>#N/A</v>
      </c>
      <c r="Q6" s="103" t="s">
        <v>30</v>
      </c>
      <c r="R6" s="56" t="e">
        <f ca="1">MATCH(SMALL(Q$65:INDIRECT(AB14&amp;$C$61),2),Q$65:INDIRECT(AB14&amp;$C$61),0)</f>
        <v>#NUM!</v>
      </c>
      <c r="S6" s="56" t="e">
        <f ca="1">MATCH(SMALL(R$65:INDIRECT(AC14&amp;$C$61),2),R$65:INDIRECT(AC14&amp;$C$61),0)</f>
        <v>#NUM!</v>
      </c>
      <c r="T6" s="56" t="e">
        <f ca="1">MATCH(SMALL(S$65:INDIRECT(AD14&amp;$C$61),2),S$65:INDIRECT(AD14&amp;$C$61),0)</f>
        <v>#NUM!</v>
      </c>
      <c r="U6" s="56" t="e">
        <f ca="1">MATCH(SMALL(T$65:INDIRECT(AE14&amp;$C$61),2),T$65:INDIRECT(AE14&amp;$C$61),0)</f>
        <v>#NUM!</v>
      </c>
      <c r="V6" s="56" t="e">
        <f ca="1">MATCH(SMALL(U$65:INDIRECT(AF14&amp;$C$61),2),U$65:INDIRECT(AF14&amp;$C$61),0)</f>
        <v>#NUM!</v>
      </c>
      <c r="W6" s="56" t="e">
        <f ca="1">MATCH(SMALL(V$65:INDIRECT(AG14&amp;$C$61),2),V$65:INDIRECT(AG14&amp;$C$61),0)</f>
        <v>#NUM!</v>
      </c>
      <c r="Y6" s="103" t="s">
        <v>30</v>
      </c>
      <c r="Z6" s="56" t="e">
        <f ca="1">MATCH(SMALL(Q$65:INDIRECT(AB14&amp;$C$61),3),Q$65:INDIRECT(AB14&amp;$C$61),0)</f>
        <v>#NUM!</v>
      </c>
      <c r="AA6" s="56" t="e">
        <f ca="1">MATCH(SMALL(R$65:INDIRECT(AC14&amp;$C$61),3),R$65:INDIRECT(AC14&amp;$C$61),0)</f>
        <v>#NUM!</v>
      </c>
      <c r="AB6" s="56" t="e">
        <f ca="1">MATCH(SMALL(S$65:INDIRECT(AD14&amp;$C$61),3),S$65:INDIRECT(AD14&amp;$C$61),0)</f>
        <v>#NUM!</v>
      </c>
      <c r="AC6" s="56" t="e">
        <f ca="1">MATCH(SMALL(T$65:INDIRECT(AE14&amp;$C$61),3),T$65:INDIRECT(AE14&amp;$C$61),0)</f>
        <v>#NUM!</v>
      </c>
      <c r="AD6" s="56" t="e">
        <f ca="1">MATCH(SMALL(U$65:INDIRECT(AF14&amp;$C$61),3),U$65:INDIRECT(AF14&amp;$C$61),0)</f>
        <v>#NUM!</v>
      </c>
      <c r="AE6" s="56" t="e">
        <f ca="1">MATCH(SMALL(V$65:INDIRECT(AG14&amp;$C$61),3),V$65:INDIRECT(AG14&amp;$C$61),0)</f>
        <v>#NUM!</v>
      </c>
      <c r="AH6" s="24" t="s">
        <v>167</v>
      </c>
      <c r="AI6" s="70" t="s">
        <v>159</v>
      </c>
    </row>
    <row r="7" spans="1:38" x14ac:dyDescent="0.25">
      <c r="Q7" s="104"/>
      <c r="AI7" s="72" t="s">
        <v>160</v>
      </c>
    </row>
    <row r="8" spans="1:38" x14ac:dyDescent="0.25">
      <c r="Q8" s="104"/>
      <c r="AI8" t="s">
        <v>161</v>
      </c>
    </row>
    <row r="9" spans="1:38" x14ac:dyDescent="0.25">
      <c r="Q9" s="104"/>
    </row>
    <row r="10" spans="1:38" x14ac:dyDescent="0.25">
      <c r="Q10" s="104"/>
      <c r="AC10" s="23"/>
      <c r="AD10" s="64" t="s">
        <v>176</v>
      </c>
      <c r="AE10" s="76">
        <v>0</v>
      </c>
      <c r="AF10" t="s">
        <v>183</v>
      </c>
    </row>
    <row r="11" spans="1:38" x14ac:dyDescent="0.25">
      <c r="Q11" s="104"/>
      <c r="AC11" s="23"/>
      <c r="AD11" s="64" t="s">
        <v>177</v>
      </c>
      <c r="AE11" s="76">
        <v>3158</v>
      </c>
    </row>
    <row r="12" spans="1:38" x14ac:dyDescent="0.25">
      <c r="D12" s="69" t="s">
        <v>0</v>
      </c>
      <c r="E12" s="69" t="s">
        <v>266</v>
      </c>
      <c r="F12" s="106" t="s">
        <v>191</v>
      </c>
      <c r="G12" s="28" t="s">
        <v>192</v>
      </c>
      <c r="H12" s="28" t="s">
        <v>193</v>
      </c>
      <c r="I12" s="28" t="s">
        <v>194</v>
      </c>
      <c r="J12" t="s">
        <v>129</v>
      </c>
      <c r="K12" t="s">
        <v>5</v>
      </c>
      <c r="L12" t="s">
        <v>6</v>
      </c>
      <c r="M12" t="s">
        <v>7</v>
      </c>
      <c r="N12" t="s">
        <v>8</v>
      </c>
      <c r="O12" t="s">
        <v>9</v>
      </c>
      <c r="P12" t="s">
        <v>10</v>
      </c>
      <c r="Q12" s="104"/>
      <c r="T12" s="69" t="s">
        <v>122</v>
      </c>
      <c r="U12" s="69" t="s">
        <v>0</v>
      </c>
      <c r="V12" s="69" t="s">
        <v>266</v>
      </c>
      <c r="W12" s="28" t="s">
        <v>191</v>
      </c>
      <c r="X12" s="28" t="s">
        <v>192</v>
      </c>
      <c r="Y12" s="28" t="s">
        <v>193</v>
      </c>
      <c r="Z12" s="28" t="s">
        <v>194</v>
      </c>
      <c r="AA12" s="69" t="s">
        <v>129</v>
      </c>
      <c r="AB12" s="69" t="s">
        <v>123</v>
      </c>
      <c r="AC12" s="69" t="s">
        <v>124</v>
      </c>
      <c r="AD12" s="69" t="s">
        <v>125</v>
      </c>
      <c r="AE12" s="69" t="s">
        <v>126</v>
      </c>
      <c r="AF12" s="69" t="s">
        <v>127</v>
      </c>
      <c r="AG12" s="69" t="s">
        <v>128</v>
      </c>
      <c r="AH12" s="69" t="s">
        <v>153</v>
      </c>
      <c r="AI12" s="69" t="s">
        <v>149</v>
      </c>
      <c r="AJ12" s="69" t="s">
        <v>162</v>
      </c>
      <c r="AL12" s="86"/>
    </row>
    <row r="13" spans="1:38" x14ac:dyDescent="0.25">
      <c r="D13" s="69"/>
      <c r="F13" s="69"/>
      <c r="Q13" s="104"/>
      <c r="T13" s="24"/>
      <c r="AB13" s="69" t="s">
        <v>150</v>
      </c>
      <c r="AC13" s="69" t="s">
        <v>151</v>
      </c>
      <c r="AD13" s="69" t="s">
        <v>152</v>
      </c>
      <c r="AE13" s="69" t="s">
        <v>198</v>
      </c>
      <c r="AF13" s="69" t="s">
        <v>154</v>
      </c>
      <c r="AG13" s="69" t="s">
        <v>155</v>
      </c>
      <c r="AH13" s="69"/>
      <c r="AI13" s="69"/>
      <c r="AJ13" s="69"/>
    </row>
    <row r="14" spans="1:38" x14ac:dyDescent="0.25">
      <c r="C14" s="24" t="s">
        <v>30</v>
      </c>
      <c r="D14" s="69"/>
      <c r="E14" s="69"/>
      <c r="F14" s="69"/>
      <c r="Q14" s="104"/>
      <c r="T14" s="24"/>
      <c r="V14" s="69"/>
      <c r="AB14" s="69" t="s">
        <v>156</v>
      </c>
      <c r="AC14" s="69" t="s">
        <v>157</v>
      </c>
      <c r="AD14" s="69" t="s">
        <v>158</v>
      </c>
      <c r="AE14" s="69" t="s">
        <v>195</v>
      </c>
      <c r="AF14" s="69" t="s">
        <v>196</v>
      </c>
      <c r="AG14" s="69" t="s">
        <v>197</v>
      </c>
      <c r="AH14" s="69"/>
      <c r="AI14" s="69"/>
      <c r="AJ14" s="69"/>
    </row>
    <row r="15" spans="1:38" x14ac:dyDescent="0.25">
      <c r="A15" s="73" t="s">
        <v>69</v>
      </c>
      <c r="B15" s="69" t="s">
        <v>31</v>
      </c>
      <c r="C15" s="73" t="e">
        <f ca="1">J3</f>
        <v>#N/A</v>
      </c>
      <c r="D15" s="69" t="e">
        <f ca="1">INDEX(D$65:INDIRECT("D"&amp;$C$61),$C15)</f>
        <v>#N/A</v>
      </c>
      <c r="E15" s="69" t="e">
        <f ca="1">INDEX(INDIRECT(("'MemberID'!$C$6:C"&amp;MemberID!$C$1)),MATCH(D15,INDIRECT(("'MemberID'!$G$6:G"&amp;MemberID!$C$1)),0))</f>
        <v>#N/A</v>
      </c>
      <c r="F15" s="69" t="e">
        <f ca="1">INDEX(E$65:INDIRECT("E"&amp;$C$61),$C15)</f>
        <v>#N/A</v>
      </c>
      <c r="G15" t="e">
        <f ca="1">INDEX(F$65:INDIRECT("F"&amp;$C$61),$C15)</f>
        <v>#N/A</v>
      </c>
      <c r="H15" t="e">
        <f ca="1">INDEX(G$65:INDIRECT("G"&amp;$C$61),$C15)</f>
        <v>#N/A</v>
      </c>
      <c r="I15" t="e">
        <f ca="1">INDEX(H$65:INDIRECT("H"&amp;$C$61),$C15)</f>
        <v>#N/A</v>
      </c>
      <c r="J15" t="e">
        <f ca="1">INDEX(I$65:INDIRECT("I"&amp;$C$61),$C15)</f>
        <v>#N/A</v>
      </c>
      <c r="K15" s="23" t="e">
        <f ca="1">INDEX(J$65:INDIRECT("J"&amp;$C$61),$C15)</f>
        <v>#N/A</v>
      </c>
      <c r="L15" t="e">
        <f ca="1">INDEX(K$65:INDIRECT("K"&amp;$C$61),$C15)</f>
        <v>#N/A</v>
      </c>
      <c r="M15" t="e">
        <f ca="1">INDEX(L$65:INDIRECT("L"&amp;$C$61),$C15)</f>
        <v>#N/A</v>
      </c>
      <c r="N15" t="e">
        <f ca="1">INDEX(M$65:INDIRECT("M"&amp;$C$61),$C15)</f>
        <v>#N/A</v>
      </c>
      <c r="O15" t="e">
        <f ca="1">INDEX(N$65:INDIRECT("N"&amp;$C$61),$C15)</f>
        <v>#N/A</v>
      </c>
      <c r="P15" t="e">
        <f ca="1">INDEX(O$65:INDIRECT("O"&amp;$C$61),$C15)</f>
        <v>#N/A</v>
      </c>
      <c r="Q15" s="104"/>
      <c r="R15" s="73" t="s">
        <v>69</v>
      </c>
      <c r="S15" s="69" t="s">
        <v>31</v>
      </c>
      <c r="T15" s="73" t="e">
        <f t="array" aca="1" ref="T15" ca="1">MATCH(IF(ISBLANK($AE$11),LARGE(IF($E$65:INDIRECT("E"&amp;$C$61)=$AE$10,INDIRECT(AJ15&amp;65):INDIRECT(AJ15&amp;$C$61)),$AH15),IF(ISBLANK($AE$10),LARGE(IF($D$65:INDIRECT("D"&amp;$C$61)=$AE$11,INDIRECT(AJ15&amp;65):INDIRECT(AJ15&amp;$C$61)),$AH15),LARGE(IF(($E$65:INDIRECT("E"&amp;$C$61)=$AE$10)*($D$65:INDIRECT("D"&amp;$C$61)=$AE$11),INDIRECT(AJ15&amp;65):INDIRECT(AJ15&amp;$C$61)),$AH15))),INDIRECT(AJ15&amp;65):INDIRECT(AJ15&amp;$C$61),0)</f>
        <v>#NUM!</v>
      </c>
      <c r="U15" s="69" t="e">
        <f ca="1">INDEX(D$65:INDIRECT("D"&amp;$C$61),$T15)</f>
        <v>#NUM!</v>
      </c>
      <c r="V15" s="69" t="e">
        <f ca="1">INDEX(INDIRECT(("'MemberID'!$C$6:C"&amp;MemberID!$C$1)),MATCH(U15,INDIRECT(("'MemberID'!$G$6:G"&amp;MemberID!$C$1)),0))</f>
        <v>#NUM!</v>
      </c>
      <c r="W15" s="69" t="e">
        <f ca="1">INDEX(E$65:INDIRECT("E"&amp;$C$61),$T15)</f>
        <v>#NUM!</v>
      </c>
      <c r="X15" t="e">
        <f ca="1">INDEX(F$65:INDIRECT("F"&amp;$C$61),$T15)</f>
        <v>#NUM!</v>
      </c>
      <c r="Y15" t="e">
        <f ca="1">INDEX(G$65:INDIRECT("G"&amp;$C$61),$T15)</f>
        <v>#NUM!</v>
      </c>
      <c r="Z15" t="e">
        <f ca="1">INDEX(H$65:INDIRECT("H"&amp;$C$61),$T15)</f>
        <v>#NUM!</v>
      </c>
      <c r="AA15" t="e">
        <f ca="1">INDEX(I$65:INDIRECT("I"&amp;$C$61),$T15)</f>
        <v>#NUM!</v>
      </c>
      <c r="AB15" s="23" t="e">
        <f t="array" aca="1" ref="AB15" ca="1">IF(ISBLANK($AE$11),LARGE(IF($E$65:INDIRECT("E"&amp;$C$61)=$AE$10,J$65:INDIRECT(AB$13&amp;$C$61)),$AH15),IF(ISBLANK($AE$10),LARGE(IF($D$65:INDIRECT("D"&amp;$C$61)=$AE$11,J$65:INDIRECT(AB$13&amp;$C$61)),$AH15),LARGE(IF(($E$65:INDIRECT("E"&amp;$C$61)=$AE$10)*($D$65:INDIRECT("D"&amp;$C$61)=$AE$11),J$65:INDIRECT(AB$13&amp;$C$61)),$AH15)))</f>
        <v>#NUM!</v>
      </c>
      <c r="AC15" t="e">
        <f ca="1">INDEX(K$65:INDIRECT("K"&amp;$C$61),$T15)</f>
        <v>#NUM!</v>
      </c>
      <c r="AD15" t="e">
        <f ca="1">INDEX(L$65:INDIRECT("L"&amp;$C$61),$T15)</f>
        <v>#NUM!</v>
      </c>
      <c r="AE15" t="e">
        <f ca="1">INDEX(M$65:INDIRECT("M"&amp;$C$61),$T15)</f>
        <v>#NUM!</v>
      </c>
      <c r="AF15" t="e">
        <f ca="1">INDEX(N$65:INDIRECT("N"&amp;$C$61),$T15)</f>
        <v>#NUM!</v>
      </c>
      <c r="AG15" t="e">
        <f ca="1">INDEX(O$65:INDIRECT("O"&amp;$C$61),$T15)</f>
        <v>#NUM!</v>
      </c>
      <c r="AH15" s="69">
        <v>1</v>
      </c>
      <c r="AI15" s="69" t="s">
        <v>150</v>
      </c>
      <c r="AJ15" s="69" t="s">
        <v>156</v>
      </c>
    </row>
    <row r="16" spans="1:38" x14ac:dyDescent="0.25">
      <c r="A16" s="73" t="s">
        <v>70</v>
      </c>
      <c r="B16" s="69" t="s">
        <v>31</v>
      </c>
      <c r="C16" s="73" t="e">
        <f ca="1">R3</f>
        <v>#NUM!</v>
      </c>
      <c r="D16" s="69" t="e">
        <f ca="1">INDEX(D$65:INDIRECT("D"&amp;$C$61),$C16)</f>
        <v>#NUM!</v>
      </c>
      <c r="E16" s="69" t="e">
        <f ca="1">INDEX(INDIRECT(("'MemberID'!$C$6:C"&amp;MemberID!$C$1)),MATCH(D16,INDIRECT(("'MemberID'!$G$6:G"&amp;MemberID!$C$1)),0))</f>
        <v>#NUM!</v>
      </c>
      <c r="F16" s="69" t="e">
        <f ca="1">INDEX(E$65:INDIRECT("E"&amp;$C$61),$C16)</f>
        <v>#NUM!</v>
      </c>
      <c r="G16" t="e">
        <f ca="1">INDEX(F$65:INDIRECT("F"&amp;$C$61),$C16)</f>
        <v>#NUM!</v>
      </c>
      <c r="H16" t="e">
        <f ca="1">INDEX(G$65:INDIRECT("G"&amp;$C$61),$C16)</f>
        <v>#NUM!</v>
      </c>
      <c r="I16" t="e">
        <f ca="1">INDEX(H$65:INDIRECT("H"&amp;$C$61),$C16)</f>
        <v>#NUM!</v>
      </c>
      <c r="J16" t="e">
        <f ca="1">INDEX(I$65:INDIRECT("I"&amp;$C$61),$C16)</f>
        <v>#NUM!</v>
      </c>
      <c r="K16" s="23" t="e">
        <f ca="1">INDEX(J$65:INDIRECT("J"&amp;$C$61),$C16)</f>
        <v>#NUM!</v>
      </c>
      <c r="L16" t="e">
        <f ca="1">INDEX(K$65:INDIRECT("K"&amp;$C$61),$C16)</f>
        <v>#NUM!</v>
      </c>
      <c r="M16" t="e">
        <f ca="1">INDEX(L$65:INDIRECT("L"&amp;$C$61),$C16)</f>
        <v>#NUM!</v>
      </c>
      <c r="N16" t="e">
        <f ca="1">INDEX(M$65:INDIRECT("M"&amp;$C$61),$C16)</f>
        <v>#NUM!</v>
      </c>
      <c r="O16" t="e">
        <f ca="1">INDEX(N$65:INDIRECT("N"&amp;$C$61),$C16)</f>
        <v>#NUM!</v>
      </c>
      <c r="P16" t="e">
        <f ca="1">INDEX(O$65:INDIRECT("O"&amp;$C$61),$C16)</f>
        <v>#NUM!</v>
      </c>
      <c r="Q16" s="104"/>
      <c r="R16" s="73" t="s">
        <v>70</v>
      </c>
      <c r="S16" s="69" t="s">
        <v>31</v>
      </c>
      <c r="T16" s="73" t="e">
        <f t="array" aca="1" ref="T16" ca="1">MATCH(IF(ISBLANK($AE$11),LARGE(IF($E$65:INDIRECT("E"&amp;$C$61)=$AE$10,INDIRECT(AJ16&amp;65):INDIRECT(AJ16&amp;$C$61)),$AH16),IF(ISBLANK($AE$10),LARGE(IF($D$65:INDIRECT("D"&amp;$C$61)=$AE$11,INDIRECT(AJ16&amp;65):INDIRECT(AJ16&amp;$C$61)),$AH16),LARGE(IF(($E$65:INDIRECT("E"&amp;$C$61)=$AE$10)*($D$65:INDIRECT("D"&amp;$C$61)=$AE$11),INDIRECT(AJ16&amp;65):INDIRECT(AJ16&amp;$C$61)),$AH16))),INDIRECT(AJ16&amp;65):INDIRECT(AJ16&amp;$C$61),0)</f>
        <v>#NUM!</v>
      </c>
      <c r="U16" s="69" t="e">
        <f ca="1">INDEX(D$65:INDIRECT("D"&amp;$C$61),$T16)</f>
        <v>#NUM!</v>
      </c>
      <c r="V16" s="69" t="e">
        <f ca="1">INDEX(INDIRECT(("'MemberID'!$C$6:C"&amp;MemberID!$C$1)),MATCH(U16,INDIRECT(("'MemberID'!$G$6:G"&amp;MemberID!$C$1)),0))</f>
        <v>#NUM!</v>
      </c>
      <c r="W16" s="69" t="e">
        <f ca="1">INDEX(E$65:INDIRECT("E"&amp;$C$61),$T16)</f>
        <v>#NUM!</v>
      </c>
      <c r="X16" t="e">
        <f ca="1">INDEX(F$65:INDIRECT("F"&amp;$C$61),$T16)</f>
        <v>#NUM!</v>
      </c>
      <c r="Y16" t="e">
        <f ca="1">INDEX(G$65:INDIRECT("G"&amp;$C$61),$T16)</f>
        <v>#NUM!</v>
      </c>
      <c r="Z16" t="e">
        <f ca="1">INDEX(H$65:INDIRECT("H"&amp;$C$61),$T16)</f>
        <v>#NUM!</v>
      </c>
      <c r="AA16" t="e">
        <f ca="1">INDEX(I$65:INDIRECT("I"&amp;$C$61),$T16)</f>
        <v>#NUM!</v>
      </c>
      <c r="AB16" s="23" t="e">
        <f t="array" aca="1" ref="AB16" ca="1">IF(ISBLANK($AE$11),LARGE(IF($E$65:INDIRECT("E"&amp;$C$61)=$AE$10,J$65:INDIRECT(AB$13&amp;$C$61)),$AH16),IF(ISBLANK($AE$10),LARGE(IF($D$65:INDIRECT("D"&amp;$C$61)=$AE$11,J$65:INDIRECT(AB$13&amp;$C$61)),$AH16),LARGE(IF(($E$65:INDIRECT("E"&amp;$C$61)=$AE$10)*($D$65:INDIRECT("D"&amp;$C$61)=$AE$11),J$65:INDIRECT(AB$13&amp;$C$61)),$AH16)))</f>
        <v>#NUM!</v>
      </c>
      <c r="AC16" t="e">
        <f ca="1">INDEX(K$65:INDIRECT("K"&amp;$C$61),$T16)</f>
        <v>#NUM!</v>
      </c>
      <c r="AD16" t="e">
        <f ca="1">INDEX(L$65:INDIRECT("L"&amp;$C$61),$T16)</f>
        <v>#NUM!</v>
      </c>
      <c r="AE16" t="e">
        <f ca="1">INDEX(M$65:INDIRECT("M"&amp;$C$61),$T16)</f>
        <v>#NUM!</v>
      </c>
      <c r="AF16" t="e">
        <f ca="1">INDEX(N$65:INDIRECT("N"&amp;$C$61),$T16)</f>
        <v>#NUM!</v>
      </c>
      <c r="AG16" t="e">
        <f ca="1">INDEX(O$65:INDIRECT("O"&amp;$C$61),$T16)</f>
        <v>#NUM!</v>
      </c>
      <c r="AH16" s="69">
        <v>2</v>
      </c>
      <c r="AI16" s="69" t="str">
        <f>AI15</f>
        <v>J</v>
      </c>
      <c r="AJ16" s="69" t="str">
        <f>AJ15</f>
        <v>Q</v>
      </c>
    </row>
    <row r="17" spans="1:36" x14ac:dyDescent="0.25">
      <c r="A17" s="73" t="s">
        <v>71</v>
      </c>
      <c r="B17" s="69" t="s">
        <v>31</v>
      </c>
      <c r="C17" s="73" t="e">
        <f ca="1">Z3</f>
        <v>#NUM!</v>
      </c>
      <c r="D17" s="69" t="e">
        <f ca="1">INDEX(D$65:INDIRECT("D"&amp;$C$61),$C17)</f>
        <v>#NUM!</v>
      </c>
      <c r="E17" s="69" t="e">
        <f ca="1">INDEX(INDIRECT(("'MemberID'!$C$6:C"&amp;MemberID!$C$1)),MATCH(D17,INDIRECT(("'MemberID'!$G$6:G"&amp;MemberID!$C$1)),0))</f>
        <v>#NUM!</v>
      </c>
      <c r="F17" s="69" t="e">
        <f ca="1">INDEX(E$65:INDIRECT("E"&amp;$C$61),$C17)</f>
        <v>#NUM!</v>
      </c>
      <c r="G17" t="e">
        <f ca="1">INDEX(F$65:INDIRECT("F"&amp;$C$61),$C17)</f>
        <v>#NUM!</v>
      </c>
      <c r="H17" t="e">
        <f ca="1">INDEX(G$65:INDIRECT("G"&amp;$C$61),$C17)</f>
        <v>#NUM!</v>
      </c>
      <c r="I17" t="e">
        <f ca="1">INDEX(H$65:INDIRECT("H"&amp;$C$61),$C17)</f>
        <v>#NUM!</v>
      </c>
      <c r="J17" t="e">
        <f ca="1">INDEX(I$65:INDIRECT("I"&amp;$C$61),$C17)</f>
        <v>#NUM!</v>
      </c>
      <c r="K17" s="23" t="e">
        <f ca="1">INDEX(J$65:INDIRECT("J"&amp;$C$61),$C17)</f>
        <v>#NUM!</v>
      </c>
      <c r="L17" t="e">
        <f ca="1">INDEX(K$65:INDIRECT("K"&amp;$C$61),$C17)</f>
        <v>#NUM!</v>
      </c>
      <c r="M17" t="e">
        <f ca="1">INDEX(L$65:INDIRECT("L"&amp;$C$61),$C17)</f>
        <v>#NUM!</v>
      </c>
      <c r="N17" t="e">
        <f ca="1">INDEX(M$65:INDIRECT("M"&amp;$C$61),$C17)</f>
        <v>#NUM!</v>
      </c>
      <c r="O17" t="e">
        <f ca="1">INDEX(N$65:INDIRECT("N"&amp;$C$61),$C17)</f>
        <v>#NUM!</v>
      </c>
      <c r="P17" t="e">
        <f ca="1">INDEX(O$65:INDIRECT("O"&amp;$C$61),$C17)</f>
        <v>#NUM!</v>
      </c>
      <c r="Q17" s="104"/>
      <c r="R17" s="73" t="s">
        <v>71</v>
      </c>
      <c r="S17" s="69" t="s">
        <v>31</v>
      </c>
      <c r="T17" s="73" t="e">
        <f t="array" aca="1" ref="T17" ca="1">MATCH(IF(ISBLANK($AE$11),LARGE(IF($E$65:INDIRECT("E"&amp;$C$61)=$AE$10,INDIRECT(AJ17&amp;65):INDIRECT(AJ17&amp;$C$61)),$AH17),IF(ISBLANK($AE$10),LARGE(IF($D$65:INDIRECT("D"&amp;$C$61)=$AE$11,INDIRECT(AJ17&amp;65):INDIRECT(AJ17&amp;$C$61)),$AH17),LARGE(IF(($E$65:INDIRECT("E"&amp;$C$61)=$AE$10)*($D$65:INDIRECT("D"&amp;$C$61)=$AE$11),INDIRECT(AJ17&amp;65):INDIRECT(AJ17&amp;$C$61)),$AH17))),INDIRECT(AJ17&amp;65):INDIRECT(AJ17&amp;$C$61),0)</f>
        <v>#NUM!</v>
      </c>
      <c r="U17" s="69" t="e">
        <f ca="1">INDEX(D$65:INDIRECT("D"&amp;$C$61),$T17)</f>
        <v>#NUM!</v>
      </c>
      <c r="V17" s="69" t="e">
        <f ca="1">INDEX(INDIRECT(("'MemberID'!$C$6:C"&amp;MemberID!$C$1)),MATCH(U17,INDIRECT(("'MemberID'!$G$6:G"&amp;MemberID!$C$1)),0))</f>
        <v>#NUM!</v>
      </c>
      <c r="W17" s="69" t="e">
        <f ca="1">INDEX(E$65:INDIRECT("E"&amp;$C$61),$T17)</f>
        <v>#NUM!</v>
      </c>
      <c r="X17" t="e">
        <f ca="1">INDEX(F$65:INDIRECT("F"&amp;$C$61),$T17)</f>
        <v>#NUM!</v>
      </c>
      <c r="Y17" t="e">
        <f ca="1">INDEX(G$65:INDIRECT("G"&amp;$C$61),$T17)</f>
        <v>#NUM!</v>
      </c>
      <c r="Z17" t="e">
        <f ca="1">INDEX(H$65:INDIRECT("H"&amp;$C$61),$T17)</f>
        <v>#NUM!</v>
      </c>
      <c r="AA17" t="e">
        <f ca="1">INDEX(I$65:INDIRECT("I"&amp;$C$61),$T17)</f>
        <v>#NUM!</v>
      </c>
      <c r="AB17" s="23" t="e">
        <f t="array" aca="1" ref="AB17" ca="1">IF(ISBLANK($AE$11),LARGE(IF($E$65:INDIRECT("E"&amp;$C$61)=$AE$10,J$65:INDIRECT(AB$13&amp;$C$61)),$AH17),IF(ISBLANK($AE$10),LARGE(IF($D$65:INDIRECT("D"&amp;$C$61)=$AE$11,J$65:INDIRECT(AB$13&amp;$C$61)),$AH17),LARGE(IF(($E$65:INDIRECT("E"&amp;$C$61)=$AE$10)*($D$65:INDIRECT("D"&amp;$C$61)=$AE$11),J$65:INDIRECT(AB$13&amp;$C$61)),$AH17)))</f>
        <v>#NUM!</v>
      </c>
      <c r="AC17" t="e">
        <f ca="1">INDEX(K$65:INDIRECT("K"&amp;$C$61),$T17)</f>
        <v>#NUM!</v>
      </c>
      <c r="AD17" t="e">
        <f ca="1">INDEX(L$65:INDIRECT("L"&amp;$C$61),$T17)</f>
        <v>#NUM!</v>
      </c>
      <c r="AE17" t="e">
        <f ca="1">INDEX(M$65:INDIRECT("M"&amp;$C$61),$T17)</f>
        <v>#NUM!</v>
      </c>
      <c r="AF17" t="e">
        <f ca="1">INDEX(N$65:INDIRECT("N"&amp;$C$61),$T17)</f>
        <v>#NUM!</v>
      </c>
      <c r="AG17" t="e">
        <f ca="1">INDEX(O$65:INDIRECT("O"&amp;$C$61),$T17)</f>
        <v>#NUM!</v>
      </c>
      <c r="AH17" s="69">
        <v>3</v>
      </c>
      <c r="AI17" s="69" t="str">
        <f t="shared" ref="AI17:AJ20" si="0">AI16</f>
        <v>J</v>
      </c>
      <c r="AJ17" s="69" t="str">
        <f t="shared" si="0"/>
        <v>Q</v>
      </c>
    </row>
    <row r="18" spans="1:36" x14ac:dyDescent="0.25">
      <c r="A18" s="74" t="s">
        <v>72</v>
      </c>
      <c r="B18" s="69" t="s">
        <v>31</v>
      </c>
      <c r="C18" s="74" t="e">
        <f ca="1">J6</f>
        <v>#N/A</v>
      </c>
      <c r="D18" s="69" t="e">
        <f ca="1">INDEX(D$65:INDIRECT("D"&amp;$C$61),$C18)</f>
        <v>#N/A</v>
      </c>
      <c r="E18" s="69" t="e">
        <f ca="1">INDEX(INDIRECT(("'MemberID'!$C$6:C"&amp;MemberID!$C$1)),MATCH(D18,INDIRECT(("'MemberID'!$G$6:G"&amp;MemberID!$C$1)),0))</f>
        <v>#N/A</v>
      </c>
      <c r="F18" s="69" t="e">
        <f ca="1">INDEX(E$65:INDIRECT("E"&amp;$C$61),$C18)</f>
        <v>#N/A</v>
      </c>
      <c r="G18" t="e">
        <f ca="1">INDEX(F$65:INDIRECT("F"&amp;$C$61),$C18)</f>
        <v>#N/A</v>
      </c>
      <c r="H18" t="e">
        <f ca="1">INDEX(G$65:INDIRECT("G"&amp;$C$61),$C18)</f>
        <v>#N/A</v>
      </c>
      <c r="I18" t="e">
        <f ca="1">INDEX(H$65:INDIRECT("H"&amp;$C$61),$C18)</f>
        <v>#N/A</v>
      </c>
      <c r="J18" t="e">
        <f ca="1">INDEX(I$65:INDIRECT("I"&amp;$C$61),$C18)</f>
        <v>#N/A</v>
      </c>
      <c r="K18" s="23" t="e">
        <f ca="1">INDEX(J$65:INDIRECT("J"&amp;$C$61),$C18)</f>
        <v>#N/A</v>
      </c>
      <c r="L18" t="e">
        <f ca="1">INDEX(K$65:INDIRECT("K"&amp;$C$61),$C18)</f>
        <v>#N/A</v>
      </c>
      <c r="M18" t="e">
        <f ca="1">INDEX(L$65:INDIRECT("L"&amp;$C$61),$C18)</f>
        <v>#N/A</v>
      </c>
      <c r="N18" t="e">
        <f ca="1">INDEX(M$65:INDIRECT("M"&amp;$C$61),$C18)</f>
        <v>#N/A</v>
      </c>
      <c r="O18" t="e">
        <f ca="1">INDEX(N$65:INDIRECT("N"&amp;$C$61),$C18)</f>
        <v>#N/A</v>
      </c>
      <c r="P18" t="e">
        <f ca="1">INDEX(O$65:INDIRECT("O"&amp;$C$61),$C18)</f>
        <v>#N/A</v>
      </c>
      <c r="Q18" s="104"/>
      <c r="R18" s="74" t="s">
        <v>72</v>
      </c>
      <c r="S18" s="69" t="s">
        <v>31</v>
      </c>
      <c r="T18" s="74" t="e">
        <f t="array" aca="1" ref="T18" ca="1">MATCH(IF(ISBLANK($AE$11),SMALL(IF($E$65:INDIRECT("E"&amp;$C$61)=$AE$10,INDIRECT(AJ18&amp;65):INDIRECT(AJ18&amp;$C$61)),$AH18),IF(ISBLANK($AE$10),SMALL(IF($D$65:INDIRECT("D"&amp;$C$61)=$AE$11,INDIRECT(AJ18&amp;65):INDIRECT(AJ18&amp;$C$61)),$AH18),SMALL(IF(($E$65:INDIRECT("E"&amp;$C$61)=$AE$10)*($D$65:INDIRECT("D"&amp;$C$61)=$AE$11),INDIRECT(AJ18&amp;65):INDIRECT(AJ18&amp;$C$61)),$AH18))),INDIRECT(AJ18&amp;65):INDIRECT(AJ18&amp;$C$61),0)</f>
        <v>#NUM!</v>
      </c>
      <c r="U18" s="69" t="e">
        <f ca="1">INDEX(D$65:INDIRECT("D"&amp;$C$61),$T18)</f>
        <v>#NUM!</v>
      </c>
      <c r="V18" s="69" t="e">
        <f ca="1">INDEX(INDIRECT(("'MemberID'!$C$6:C"&amp;MemberID!$C$1)),MATCH(U18,INDIRECT(("'MemberID'!$G$6:G"&amp;MemberID!$C$1)),0))</f>
        <v>#NUM!</v>
      </c>
      <c r="W18" s="69" t="e">
        <f ca="1">INDEX(E$65:INDIRECT("E"&amp;$C$61),$T18)</f>
        <v>#NUM!</v>
      </c>
      <c r="X18" t="e">
        <f ca="1">INDEX(F$65:INDIRECT("F"&amp;$C$61),$T18)</f>
        <v>#NUM!</v>
      </c>
      <c r="Y18" t="e">
        <f ca="1">INDEX(G$65:INDIRECT("G"&amp;$C$61),$T18)</f>
        <v>#NUM!</v>
      </c>
      <c r="Z18" t="e">
        <f ca="1">INDEX(H$65:INDIRECT("H"&amp;$C$61),$T18)</f>
        <v>#NUM!</v>
      </c>
      <c r="AA18" t="e">
        <f ca="1">INDEX(I$65:INDIRECT("I"&amp;$C$61),$T18)</f>
        <v>#NUM!</v>
      </c>
      <c r="AB18" s="23" t="e">
        <f t="array" aca="1" ref="AB18" ca="1">IF(ISBLANK($AE$11),SMALL(IF($E$65:INDIRECT("E"&amp;$C$61)=$AE$10,J$65:INDIRECT(AB$13&amp;$C$61)),$AH18),IF(ISBLANK($AE$10),SMALL(IF($D$65:INDIRECT("D"&amp;$C$61)=$AE$11,J$65:INDIRECT(AB$13&amp;$C$61)),$AH18),SMALL(IF(($E$65:INDIRECT("E"&amp;$C$61)=$AE$10)*($D$65:INDIRECT("D"&amp;$C$61)=$AE$11),J$65:INDIRECT(AB$13&amp;$C$61)),$AH18)))</f>
        <v>#NUM!</v>
      </c>
      <c r="AC18" t="e">
        <f ca="1">INDEX(K$65:INDIRECT("K"&amp;$C$61),$T18)</f>
        <v>#NUM!</v>
      </c>
      <c r="AD18" t="e">
        <f ca="1">INDEX(L$65:INDIRECT("L"&amp;$C$61),$T18)</f>
        <v>#NUM!</v>
      </c>
      <c r="AE18" t="e">
        <f ca="1">INDEX(M$65:INDIRECT("M"&amp;$C$61),$T18)</f>
        <v>#NUM!</v>
      </c>
      <c r="AF18" t="e">
        <f ca="1">INDEX(N$65:INDIRECT("N"&amp;$C$61),$T18)</f>
        <v>#NUM!</v>
      </c>
      <c r="AG18" t="e">
        <f ca="1">INDEX(O$65:INDIRECT("O"&amp;$C$61),$T18)</f>
        <v>#NUM!</v>
      </c>
      <c r="AH18" s="69">
        <v>1</v>
      </c>
      <c r="AI18" s="69" t="str">
        <f t="shared" si="0"/>
        <v>J</v>
      </c>
      <c r="AJ18" s="69" t="str">
        <f t="shared" si="0"/>
        <v>Q</v>
      </c>
    </row>
    <row r="19" spans="1:36" x14ac:dyDescent="0.25">
      <c r="A19" s="74" t="s">
        <v>73</v>
      </c>
      <c r="B19" s="69" t="s">
        <v>31</v>
      </c>
      <c r="C19" s="74" t="e">
        <f ca="1">R6</f>
        <v>#NUM!</v>
      </c>
      <c r="D19" s="69" t="e">
        <f ca="1">INDEX(D$65:INDIRECT("D"&amp;$C$61),$C19)</f>
        <v>#NUM!</v>
      </c>
      <c r="E19" s="69" t="e">
        <f ca="1">INDEX(INDIRECT(("'MemberID'!$C$6:C"&amp;MemberID!$C$1)),MATCH(D19,INDIRECT(("'MemberID'!$G$6:G"&amp;MemberID!$C$1)),0))</f>
        <v>#NUM!</v>
      </c>
      <c r="F19" s="69" t="e">
        <f ca="1">INDEX(E$65:INDIRECT("E"&amp;$C$61),$C19)</f>
        <v>#NUM!</v>
      </c>
      <c r="G19" t="e">
        <f ca="1">INDEX(F$65:INDIRECT("F"&amp;$C$61),$C19)</f>
        <v>#NUM!</v>
      </c>
      <c r="H19" t="e">
        <f ca="1">INDEX(G$65:INDIRECT("G"&amp;$C$61),$C19)</f>
        <v>#NUM!</v>
      </c>
      <c r="I19" t="e">
        <f ca="1">INDEX(H$65:INDIRECT("H"&amp;$C$61),$C19)</f>
        <v>#NUM!</v>
      </c>
      <c r="J19" t="e">
        <f ca="1">INDEX(I$65:INDIRECT("I"&amp;$C$61),$C19)</f>
        <v>#NUM!</v>
      </c>
      <c r="K19" s="23" t="e">
        <f ca="1">INDEX(J$65:INDIRECT("J"&amp;$C$61),$C19)</f>
        <v>#NUM!</v>
      </c>
      <c r="L19" t="e">
        <f ca="1">INDEX(K$65:INDIRECT("K"&amp;$C$61),$C19)</f>
        <v>#NUM!</v>
      </c>
      <c r="M19" t="e">
        <f ca="1">INDEX(L$65:INDIRECT("L"&amp;$C$61),$C19)</f>
        <v>#NUM!</v>
      </c>
      <c r="N19" t="e">
        <f ca="1">INDEX(M$65:INDIRECT("M"&amp;$C$61),$C19)</f>
        <v>#NUM!</v>
      </c>
      <c r="O19" t="e">
        <f ca="1">INDEX(N$65:INDIRECT("N"&amp;$C$61),$C19)</f>
        <v>#NUM!</v>
      </c>
      <c r="P19" t="e">
        <f ca="1">INDEX(O$65:INDIRECT("O"&amp;$C$61),$C19)</f>
        <v>#NUM!</v>
      </c>
      <c r="Q19" s="104"/>
      <c r="R19" s="74" t="s">
        <v>73</v>
      </c>
      <c r="S19" s="69" t="s">
        <v>31</v>
      </c>
      <c r="T19" s="74" t="e">
        <f t="array" aca="1" ref="T19" ca="1">MATCH(IF(ISBLANK($AE$11),SMALL(IF($E$65:INDIRECT("E"&amp;$C$61)=$AE$10,INDIRECT(AJ19&amp;65):INDIRECT(AJ19&amp;$C$61)),$AH19),IF(ISBLANK($AE$10),SMALL(IF($D$65:INDIRECT("D"&amp;$C$61)=$AE$11,INDIRECT(AJ19&amp;65):INDIRECT(AJ19&amp;$C$61)),$AH19),SMALL(IF(($E$65:INDIRECT("E"&amp;$C$61)=$AE$10)*($D$65:INDIRECT("D"&amp;$C$61)=$AE$11),INDIRECT(AJ19&amp;65):INDIRECT(AJ19&amp;$C$61)),$AH19))),INDIRECT(AJ19&amp;65):INDIRECT(AJ19&amp;$C$61),0)</f>
        <v>#NUM!</v>
      </c>
      <c r="U19" s="69" t="e">
        <f ca="1">INDEX(D$65:INDIRECT("D"&amp;$C$61),$T19)</f>
        <v>#NUM!</v>
      </c>
      <c r="V19" s="69" t="e">
        <f ca="1">INDEX(INDIRECT(("'MemberID'!$C$6:C"&amp;MemberID!$C$1)),MATCH(U19,INDIRECT(("'MemberID'!$G$6:G"&amp;MemberID!$C$1)),0))</f>
        <v>#NUM!</v>
      </c>
      <c r="W19" s="69" t="e">
        <f ca="1">INDEX(E$65:INDIRECT("E"&amp;$C$61),$T19)</f>
        <v>#NUM!</v>
      </c>
      <c r="X19" t="e">
        <f ca="1">INDEX(F$65:INDIRECT("F"&amp;$C$61),$T19)</f>
        <v>#NUM!</v>
      </c>
      <c r="Y19" t="e">
        <f ca="1">INDEX(G$65:INDIRECT("G"&amp;$C$61),$T19)</f>
        <v>#NUM!</v>
      </c>
      <c r="Z19" t="e">
        <f ca="1">INDEX(H$65:INDIRECT("H"&amp;$C$61),$T19)</f>
        <v>#NUM!</v>
      </c>
      <c r="AA19" t="e">
        <f ca="1">INDEX(I$65:INDIRECT("I"&amp;$C$61),$T19)</f>
        <v>#NUM!</v>
      </c>
      <c r="AB19" s="23" t="e">
        <f t="array" aca="1" ref="AB19" ca="1">IF(ISBLANK($AE$11),SMALL(IF($E$65:INDIRECT("E"&amp;$C$61)=$AE$10,J$65:INDIRECT(AB$13&amp;$C$61)),$AH19),IF(ISBLANK($AE$10),SMALL(IF($D$65:INDIRECT("D"&amp;$C$61)=$AE$11,J$65:INDIRECT(AB$13&amp;$C$61)),$AH19),SMALL(IF(($E$65:INDIRECT("E"&amp;$C$61)=$AE$10)*($D$65:INDIRECT("D"&amp;$C$61)=$AE$11),J$65:INDIRECT(AB$13&amp;$C$61)),$AH19)))</f>
        <v>#NUM!</v>
      </c>
      <c r="AC19" t="e">
        <f ca="1">INDEX(K$65:INDIRECT("K"&amp;$C$61),$T19)</f>
        <v>#NUM!</v>
      </c>
      <c r="AD19" t="e">
        <f ca="1">INDEX(L$65:INDIRECT("L"&amp;$C$61),$T19)</f>
        <v>#NUM!</v>
      </c>
      <c r="AE19" t="e">
        <f ca="1">INDEX(M$65:INDIRECT("M"&amp;$C$61),$T19)</f>
        <v>#NUM!</v>
      </c>
      <c r="AF19" t="e">
        <f ca="1">INDEX(N$65:INDIRECT("N"&amp;$C$61),$T19)</f>
        <v>#NUM!</v>
      </c>
      <c r="AG19" t="e">
        <f ca="1">INDEX(O$65:INDIRECT("O"&amp;$C$61),$T19)</f>
        <v>#NUM!</v>
      </c>
      <c r="AH19" s="69">
        <v>2</v>
      </c>
      <c r="AI19" s="69" t="str">
        <f t="shared" si="0"/>
        <v>J</v>
      </c>
      <c r="AJ19" s="69" t="str">
        <f t="shared" si="0"/>
        <v>Q</v>
      </c>
    </row>
    <row r="20" spans="1:36" x14ac:dyDescent="0.25">
      <c r="A20" s="74" t="s">
        <v>74</v>
      </c>
      <c r="B20" s="69" t="s">
        <v>31</v>
      </c>
      <c r="C20" s="74" t="e">
        <f ca="1">Z6</f>
        <v>#NUM!</v>
      </c>
      <c r="D20" s="69" t="e">
        <f ca="1">INDEX(D$65:INDIRECT("D"&amp;$C$61),$C20)</f>
        <v>#NUM!</v>
      </c>
      <c r="E20" s="69" t="e">
        <f ca="1">INDEX(INDIRECT(("'MemberID'!$C$6:C"&amp;MemberID!$C$1)),MATCH(D20,INDIRECT(("'MemberID'!$G$6:G"&amp;MemberID!$C$1)),0))</f>
        <v>#NUM!</v>
      </c>
      <c r="F20" s="69" t="e">
        <f ca="1">INDEX(E$65:INDIRECT("E"&amp;$C$61),$C20)</f>
        <v>#NUM!</v>
      </c>
      <c r="G20" t="e">
        <f ca="1">INDEX(F$65:INDIRECT("F"&amp;$C$61),$C20)</f>
        <v>#NUM!</v>
      </c>
      <c r="H20" t="e">
        <f ca="1">INDEX(G$65:INDIRECT("G"&amp;$C$61),$C20)</f>
        <v>#NUM!</v>
      </c>
      <c r="I20" t="e">
        <f ca="1">INDEX(H$65:INDIRECT("H"&amp;$C$61),$C20)</f>
        <v>#NUM!</v>
      </c>
      <c r="J20" t="e">
        <f ca="1">INDEX(I$65:INDIRECT("I"&amp;$C$61),$C20)</f>
        <v>#NUM!</v>
      </c>
      <c r="K20" s="23" t="e">
        <f ca="1">INDEX(J$65:INDIRECT("J"&amp;$C$61),$C20)</f>
        <v>#NUM!</v>
      </c>
      <c r="L20" t="e">
        <f ca="1">INDEX(K$65:INDIRECT("K"&amp;$C$61),$C20)</f>
        <v>#NUM!</v>
      </c>
      <c r="M20" t="e">
        <f ca="1">INDEX(L$65:INDIRECT("L"&amp;$C$61),$C20)</f>
        <v>#NUM!</v>
      </c>
      <c r="N20" t="e">
        <f ca="1">INDEX(M$65:INDIRECT("M"&amp;$C$61),$C20)</f>
        <v>#NUM!</v>
      </c>
      <c r="O20" t="e">
        <f ca="1">INDEX(N$65:INDIRECT("N"&amp;$C$61),$C20)</f>
        <v>#NUM!</v>
      </c>
      <c r="P20" t="e">
        <f ca="1">INDEX(O$65:INDIRECT("O"&amp;$C$61),$C20)</f>
        <v>#NUM!</v>
      </c>
      <c r="Q20" s="104"/>
      <c r="R20" s="74" t="s">
        <v>74</v>
      </c>
      <c r="S20" s="69" t="s">
        <v>31</v>
      </c>
      <c r="T20" s="74" t="e">
        <f t="array" aca="1" ref="T20" ca="1">MATCH(IF(ISBLANK($AE$11),SMALL(IF($E$65:INDIRECT("E"&amp;$C$61)=$AE$10,INDIRECT(AJ20&amp;65):INDIRECT(AJ20&amp;$C$61)),$AH20),IF(ISBLANK($AE$10),SMALL(IF($D$65:INDIRECT("D"&amp;$C$61)=$AE$11,INDIRECT(AJ20&amp;65):INDIRECT(AJ20&amp;$C$61)),$AH20),SMALL(IF(($E$65:INDIRECT("E"&amp;$C$61)=$AE$10)*($D$65:INDIRECT("D"&amp;$C$61)=$AE$11),INDIRECT(AJ20&amp;65):INDIRECT(AJ20&amp;$C$61)),$AH20))),INDIRECT(AJ20&amp;65):INDIRECT(AJ20&amp;$C$61),0)</f>
        <v>#NUM!</v>
      </c>
      <c r="U20" s="69" t="e">
        <f ca="1">INDEX(D$65:INDIRECT("D"&amp;$C$61),$T20)</f>
        <v>#NUM!</v>
      </c>
      <c r="V20" s="69" t="e">
        <f ca="1">INDEX(INDIRECT(("'MemberID'!$C$6:C"&amp;MemberID!$C$1)),MATCH(U20,INDIRECT(("'MemberID'!$G$6:G"&amp;MemberID!$C$1)),0))</f>
        <v>#NUM!</v>
      </c>
      <c r="W20" s="69" t="e">
        <f ca="1">INDEX(E$65:INDIRECT("E"&amp;$C$61),$T20)</f>
        <v>#NUM!</v>
      </c>
      <c r="X20" t="e">
        <f ca="1">INDEX(F$65:INDIRECT("F"&amp;$C$61),$T20)</f>
        <v>#NUM!</v>
      </c>
      <c r="Y20" t="e">
        <f ca="1">INDEX(G$65:INDIRECT("G"&amp;$C$61),$T20)</f>
        <v>#NUM!</v>
      </c>
      <c r="Z20" t="e">
        <f ca="1">INDEX(H$65:INDIRECT("H"&amp;$C$61),$T20)</f>
        <v>#NUM!</v>
      </c>
      <c r="AA20" t="e">
        <f ca="1">INDEX(I$65:INDIRECT("I"&amp;$C$61),$T20)</f>
        <v>#NUM!</v>
      </c>
      <c r="AB20" s="23" t="e">
        <f t="array" aca="1" ref="AB20" ca="1">IF(ISBLANK($AE$11),SMALL(IF($E$65:INDIRECT("E"&amp;$C$61)=$AE$10,J$65:INDIRECT(AB$13&amp;$C$61)),$AH20),IF(ISBLANK($AE$10),SMALL(IF($D$65:INDIRECT("D"&amp;$C$61)=$AE$11,J$65:INDIRECT(AB$13&amp;$C$61)),$AH20),SMALL(IF(($E$65:INDIRECT("E"&amp;$C$61)=$AE$10)*($D$65:INDIRECT("D"&amp;$C$61)=$AE$11),J$65:INDIRECT(AB$13&amp;$C$61)),$AH20)))</f>
        <v>#NUM!</v>
      </c>
      <c r="AC20" t="e">
        <f ca="1">INDEX(K$65:INDIRECT("K"&amp;$C$61),$T20)</f>
        <v>#NUM!</v>
      </c>
      <c r="AD20" t="e">
        <f ca="1">INDEX(L$65:INDIRECT("L"&amp;$C$61),$T20)</f>
        <v>#NUM!</v>
      </c>
      <c r="AE20" t="e">
        <f ca="1">INDEX(M$65:INDIRECT("M"&amp;$C$61),$T20)</f>
        <v>#NUM!</v>
      </c>
      <c r="AF20" t="e">
        <f ca="1">INDEX(N$65:INDIRECT("N"&amp;$C$61),$T20)</f>
        <v>#NUM!</v>
      </c>
      <c r="AG20" t="e">
        <f ca="1">INDEX(O$65:INDIRECT("O"&amp;$C$61),$T20)</f>
        <v>#NUM!</v>
      </c>
      <c r="AH20" s="69">
        <v>3</v>
      </c>
      <c r="AI20" s="69" t="str">
        <f t="shared" si="0"/>
        <v>J</v>
      </c>
      <c r="AJ20" s="69" t="str">
        <f t="shared" si="0"/>
        <v>Q</v>
      </c>
    </row>
    <row r="21" spans="1:36" x14ac:dyDescent="0.25">
      <c r="A21" s="5"/>
      <c r="B21" s="69"/>
      <c r="C21" s="69"/>
      <c r="D21" s="69"/>
      <c r="E21" s="69"/>
      <c r="F21" s="69"/>
      <c r="J21" s="7"/>
      <c r="K21" s="7"/>
      <c r="L21" s="7"/>
      <c r="Q21" s="104"/>
      <c r="R21" s="5"/>
      <c r="S21" s="69"/>
      <c r="T21" s="69"/>
      <c r="V21" s="69"/>
      <c r="W21" s="69"/>
      <c r="AH21" s="69"/>
      <c r="AI21" s="69"/>
      <c r="AJ21" s="69"/>
    </row>
    <row r="22" spans="1:36" x14ac:dyDescent="0.25">
      <c r="A22" s="73" t="s">
        <v>69</v>
      </c>
      <c r="B22" s="69" t="s">
        <v>32</v>
      </c>
      <c r="C22" s="73" t="e">
        <f ca="1">K3</f>
        <v>#N/A</v>
      </c>
      <c r="D22" s="69" t="e">
        <f ca="1">INDEX(D$65:INDIRECT("D"&amp;$C$61),$C22)</f>
        <v>#N/A</v>
      </c>
      <c r="E22" s="69" t="e">
        <f ca="1">INDEX(INDIRECT(("'MemberID'!$C$6:C"&amp;MemberID!$C$1)),MATCH(D22,INDIRECT(("'MemberID'!$G$6:G"&amp;MemberID!$C$1)),0))</f>
        <v>#N/A</v>
      </c>
      <c r="F22" s="69" t="e">
        <f ca="1">INDEX(E$65:INDIRECT("E"&amp;$C$61),$C22)</f>
        <v>#N/A</v>
      </c>
      <c r="G22" t="e">
        <f ca="1">INDEX(F$65:INDIRECT("F"&amp;$C$61),$C22)</f>
        <v>#N/A</v>
      </c>
      <c r="H22" t="e">
        <f ca="1">INDEX(G$65:INDIRECT("G"&amp;$C$61),$C22)</f>
        <v>#N/A</v>
      </c>
      <c r="I22" t="e">
        <f ca="1">INDEX(H$65:INDIRECT("H"&amp;$C$61),$C22)</f>
        <v>#N/A</v>
      </c>
      <c r="J22" t="e">
        <f ca="1">INDEX(I$65:INDIRECT("I"&amp;$C$61),$C22)</f>
        <v>#N/A</v>
      </c>
      <c r="K22" s="7" t="e">
        <f ca="1">INDEX(J$65:INDIRECT("J"&amp;$C$61),$C22)</f>
        <v>#N/A</v>
      </c>
      <c r="L22" s="23" t="e">
        <f ca="1">INDEX(K$65:INDIRECT("K"&amp;$C$61),$C22)</f>
        <v>#N/A</v>
      </c>
      <c r="M22" t="e">
        <f ca="1">INDEX(L$65:INDIRECT("L"&amp;$C$61),$C22)</f>
        <v>#N/A</v>
      </c>
      <c r="N22" t="e">
        <f ca="1">INDEX(M$65:INDIRECT("M"&amp;$C$61),$C22)</f>
        <v>#N/A</v>
      </c>
      <c r="O22" t="e">
        <f ca="1">INDEX(N$65:INDIRECT("N"&amp;$C$61),$C22)</f>
        <v>#N/A</v>
      </c>
      <c r="P22" t="e">
        <f ca="1">INDEX(O$65:INDIRECT("O"&amp;$C$61),$C22)</f>
        <v>#N/A</v>
      </c>
      <c r="Q22" s="104"/>
      <c r="R22" s="73" t="s">
        <v>69</v>
      </c>
      <c r="S22" s="69" t="s">
        <v>32</v>
      </c>
      <c r="T22" s="73" t="e">
        <f t="array" aca="1" ref="T22" ca="1">MATCH(IF(ISBLANK($AE$11),LARGE(IF($E$65:INDIRECT("E"&amp;$C$61)=$AE$10,INDIRECT(AJ22&amp;65):INDIRECT(AJ22&amp;$C$61)),$AH22),IF(ISBLANK($AE$10),LARGE(IF($D$65:INDIRECT("D"&amp;$C$61)=$AE$11,INDIRECT(AJ22&amp;65):INDIRECT(AJ22&amp;$C$61)),$AH22),LARGE(IF(($E$65:INDIRECT("E"&amp;$C$61)=$AE$10)*($D$65:INDIRECT("D"&amp;$C$61)=$AE$11),INDIRECT(AJ22&amp;65):INDIRECT(AJ22&amp;$C$61)),$AH22))),INDIRECT(AJ22&amp;65):INDIRECT(AJ22&amp;$C$61),0)</f>
        <v>#NUM!</v>
      </c>
      <c r="U22" s="69" t="e">
        <f ca="1">INDEX(D$65:INDIRECT("D"&amp;$C$61),$T22)</f>
        <v>#NUM!</v>
      </c>
      <c r="V22" s="69" t="e">
        <f ca="1">INDEX(INDIRECT(("'MemberID'!$C$6:C"&amp;MemberID!$C$1)),MATCH(U22,INDIRECT(("'MemberID'!$G$6:G"&amp;MemberID!$C$1)),0))</f>
        <v>#NUM!</v>
      </c>
      <c r="W22" s="69" t="e">
        <f ca="1">INDEX(E$65:INDIRECT("E"&amp;$C$61),$T22)</f>
        <v>#NUM!</v>
      </c>
      <c r="X22" t="e">
        <f ca="1">INDEX(F$65:INDIRECT("F"&amp;$C$61),$T22)</f>
        <v>#NUM!</v>
      </c>
      <c r="Y22" t="e">
        <f ca="1">INDEX(G$65:INDIRECT("G"&amp;$C$61),$T22)</f>
        <v>#NUM!</v>
      </c>
      <c r="Z22" t="e">
        <f ca="1">INDEX(H$65:INDIRECT("H"&amp;$C$61),$T22)</f>
        <v>#NUM!</v>
      </c>
      <c r="AA22" t="e">
        <f ca="1">INDEX(I$65:INDIRECT("I"&amp;$C$61),$T22)</f>
        <v>#NUM!</v>
      </c>
      <c r="AB22" t="e">
        <f ca="1">INDEX(J$65:INDIRECT("J"&amp;$C$61),$T22)</f>
        <v>#NUM!</v>
      </c>
      <c r="AC22" s="23" t="e">
        <f t="array" aca="1" ref="AC22" ca="1">IF(ISBLANK($AE$11),LARGE(IF($E$65:INDIRECT("E"&amp;$C$61)=$AE$10,K$65:INDIRECT(AC$13&amp;$C$61)),$AH22),IF(ISBLANK($AE$10),LARGE(IF($D$65:INDIRECT("D"&amp;$C$61)=$AE$11,K$65:INDIRECT(AC$13&amp;$C$61)),$AH22),LARGE(IF(($E$65:INDIRECT("E"&amp;$C$61)=$AE$10)*($D$65:INDIRECT("D"&amp;$C$61)=$AE$11),K$65:INDIRECT(AC$13&amp;$C$61)),$AH22)))</f>
        <v>#NUM!</v>
      </c>
      <c r="AD22" t="e">
        <f ca="1">INDEX(L$65:INDIRECT("L"&amp;$C$61),$T22)</f>
        <v>#NUM!</v>
      </c>
      <c r="AE22" t="e">
        <f ca="1">INDEX(M$65:INDIRECT("M"&amp;$C$61),$T22)</f>
        <v>#NUM!</v>
      </c>
      <c r="AF22" t="e">
        <f ca="1">INDEX(N$65:INDIRECT("N"&amp;$C$61),$T22)</f>
        <v>#NUM!</v>
      </c>
      <c r="AG22" t="e">
        <f ca="1">INDEX(O$65:INDIRECT("O"&amp;$C$61),$T22)</f>
        <v>#NUM!</v>
      </c>
      <c r="AH22" s="69">
        <v>1</v>
      </c>
      <c r="AI22" s="69" t="s">
        <v>151</v>
      </c>
      <c r="AJ22" s="69" t="s">
        <v>157</v>
      </c>
    </row>
    <row r="23" spans="1:36" x14ac:dyDescent="0.25">
      <c r="A23" s="73" t="s">
        <v>70</v>
      </c>
      <c r="B23" s="69" t="s">
        <v>32</v>
      </c>
      <c r="C23" s="73" t="e">
        <f ca="1">S3</f>
        <v>#NUM!</v>
      </c>
      <c r="D23" s="69" t="e">
        <f ca="1">INDEX(D$65:INDIRECT("D"&amp;$C$61),$C23)</f>
        <v>#NUM!</v>
      </c>
      <c r="E23" s="69" t="e">
        <f ca="1">INDEX(INDIRECT(("'MemberID'!$C$6:C"&amp;MemberID!$C$1)),MATCH(D23,INDIRECT(("'MemberID'!$G$6:G"&amp;MemberID!$C$1)),0))</f>
        <v>#NUM!</v>
      </c>
      <c r="F23" s="69" t="e">
        <f ca="1">INDEX(E$65:INDIRECT("E"&amp;$C$61),$C23)</f>
        <v>#NUM!</v>
      </c>
      <c r="G23" t="e">
        <f ca="1">INDEX(F$65:INDIRECT("F"&amp;$C$61),$C23)</f>
        <v>#NUM!</v>
      </c>
      <c r="H23" t="e">
        <f ca="1">INDEX(G$65:INDIRECT("G"&amp;$C$61),$C23)</f>
        <v>#NUM!</v>
      </c>
      <c r="I23" t="e">
        <f ca="1">INDEX(H$65:INDIRECT("H"&amp;$C$61),$C23)</f>
        <v>#NUM!</v>
      </c>
      <c r="J23" t="e">
        <f ca="1">INDEX(I$65:INDIRECT("I"&amp;$C$61),$C23)</f>
        <v>#NUM!</v>
      </c>
      <c r="K23" s="7" t="e">
        <f ca="1">INDEX(J$65:INDIRECT("J"&amp;$C$61),$C23)</f>
        <v>#NUM!</v>
      </c>
      <c r="L23" s="23" t="e">
        <f ca="1">INDEX(K$65:INDIRECT("K"&amp;$C$61),$C23)</f>
        <v>#NUM!</v>
      </c>
      <c r="M23" t="e">
        <f ca="1">INDEX(L$65:INDIRECT("L"&amp;$C$61),$C23)</f>
        <v>#NUM!</v>
      </c>
      <c r="N23" t="e">
        <f ca="1">INDEX(M$65:INDIRECT("M"&amp;$C$61),$C23)</f>
        <v>#NUM!</v>
      </c>
      <c r="O23" t="e">
        <f ca="1">INDEX(N$65:INDIRECT("N"&amp;$C$61),$C23)</f>
        <v>#NUM!</v>
      </c>
      <c r="P23" t="e">
        <f ca="1">INDEX(O$65:INDIRECT("O"&amp;$C$61),$C23)</f>
        <v>#NUM!</v>
      </c>
      <c r="Q23" s="104"/>
      <c r="R23" s="73" t="s">
        <v>70</v>
      </c>
      <c r="S23" s="69" t="s">
        <v>32</v>
      </c>
      <c r="T23" s="73" t="e">
        <f t="array" aca="1" ref="T23" ca="1">MATCH(IF(ISBLANK($AE$11),LARGE(IF($E$65:INDIRECT("E"&amp;$C$61)=$AE$10,INDIRECT(AJ23&amp;65):INDIRECT(AJ23&amp;$C$61)),$AH23),IF(ISBLANK($AE$10),LARGE(IF($D$65:INDIRECT("D"&amp;$C$61)=$AE$11,INDIRECT(AJ23&amp;65):INDIRECT(AJ23&amp;$C$61)),$AH23),LARGE(IF(($E$65:INDIRECT("E"&amp;$C$61)=$AE$10)*($D$65:INDIRECT("D"&amp;$C$61)=$AE$11),INDIRECT(AJ23&amp;65):INDIRECT(AJ23&amp;$C$61)),$AH23))),INDIRECT(AJ23&amp;65):INDIRECT(AJ23&amp;$C$61),0)</f>
        <v>#NUM!</v>
      </c>
      <c r="U23" s="69" t="e">
        <f ca="1">INDEX(D$65:INDIRECT("D"&amp;$C$61),$T23)</f>
        <v>#NUM!</v>
      </c>
      <c r="V23" s="69" t="e">
        <f ca="1">INDEX(INDIRECT(("'MemberID'!$C$6:C"&amp;MemberID!$C$1)),MATCH(U23,INDIRECT(("'MemberID'!$G$6:G"&amp;MemberID!$C$1)),0))</f>
        <v>#NUM!</v>
      </c>
      <c r="W23" s="69" t="e">
        <f ca="1">INDEX(E$65:INDIRECT("E"&amp;$C$61),$T23)</f>
        <v>#NUM!</v>
      </c>
      <c r="X23" t="e">
        <f ca="1">INDEX(F$65:INDIRECT("F"&amp;$C$61),$T23)</f>
        <v>#NUM!</v>
      </c>
      <c r="Y23" t="e">
        <f ca="1">INDEX(G$65:INDIRECT("G"&amp;$C$61),$T23)</f>
        <v>#NUM!</v>
      </c>
      <c r="Z23" t="e">
        <f ca="1">INDEX(H$65:INDIRECT("H"&amp;$C$61),$T23)</f>
        <v>#NUM!</v>
      </c>
      <c r="AA23" t="e">
        <f ca="1">INDEX(I$65:INDIRECT("I"&amp;$C$61),$T23)</f>
        <v>#NUM!</v>
      </c>
      <c r="AB23" t="e">
        <f ca="1">INDEX(J$65:INDIRECT("J"&amp;$C$61),$T23)</f>
        <v>#NUM!</v>
      </c>
      <c r="AC23" s="23" t="e">
        <f t="array" aca="1" ref="AC23" ca="1">IF(ISBLANK($AE$11),LARGE(IF($E$65:INDIRECT("E"&amp;$C$61)=$AE$10,K$65:INDIRECT(AC$13&amp;$C$61)),$AH23),IF(ISBLANK($AE$10),LARGE(IF($D$65:INDIRECT("D"&amp;$C$61)=$AE$11,K$65:INDIRECT(AC$13&amp;$C$61)),$AH23),LARGE(IF(($E$65:INDIRECT("E"&amp;$C$61)=$AE$10)*($D$65:INDIRECT("D"&amp;$C$61)=$AE$11),K$65:INDIRECT(AC$13&amp;$C$61)),$AH23)))</f>
        <v>#NUM!</v>
      </c>
      <c r="AD23" t="e">
        <f ca="1">INDEX(L$65:INDIRECT("L"&amp;$C$61),$T23)</f>
        <v>#NUM!</v>
      </c>
      <c r="AE23" t="e">
        <f ca="1">INDEX(M$65:INDIRECT("M"&amp;$C$61),$T23)</f>
        <v>#NUM!</v>
      </c>
      <c r="AF23" t="e">
        <f ca="1">INDEX(N$65:INDIRECT("N"&amp;$C$61),$T23)</f>
        <v>#NUM!</v>
      </c>
      <c r="AG23" t="e">
        <f ca="1">INDEX(O$65:INDIRECT("O"&amp;$C$61),$T23)</f>
        <v>#NUM!</v>
      </c>
      <c r="AH23" s="69">
        <v>2</v>
      </c>
      <c r="AI23" s="69" t="str">
        <f>AI22</f>
        <v>K</v>
      </c>
      <c r="AJ23" s="69" t="str">
        <f>AJ22</f>
        <v>R</v>
      </c>
    </row>
    <row r="24" spans="1:36" x14ac:dyDescent="0.25">
      <c r="A24" s="73" t="s">
        <v>71</v>
      </c>
      <c r="B24" s="69" t="s">
        <v>32</v>
      </c>
      <c r="C24" s="73" t="e">
        <f ca="1">AA3</f>
        <v>#NUM!</v>
      </c>
      <c r="D24" s="69" t="e">
        <f ca="1">INDEX(D$65:INDIRECT("D"&amp;$C$61),$C24)</f>
        <v>#NUM!</v>
      </c>
      <c r="E24" s="69" t="e">
        <f ca="1">INDEX(INDIRECT(("'MemberID'!$C$6:C"&amp;MemberID!$C$1)),MATCH(D24,INDIRECT(("'MemberID'!$G$6:G"&amp;MemberID!$C$1)),0))</f>
        <v>#NUM!</v>
      </c>
      <c r="F24" s="69" t="e">
        <f ca="1">INDEX(E$65:INDIRECT("E"&amp;$C$61),$C24)</f>
        <v>#NUM!</v>
      </c>
      <c r="G24" t="e">
        <f ca="1">INDEX(F$65:INDIRECT("F"&amp;$C$61),$C24)</f>
        <v>#NUM!</v>
      </c>
      <c r="H24" t="e">
        <f ca="1">INDEX(G$65:INDIRECT("G"&amp;$C$61),$C24)</f>
        <v>#NUM!</v>
      </c>
      <c r="I24" t="e">
        <f ca="1">INDEX(H$65:INDIRECT("H"&amp;$C$61),$C24)</f>
        <v>#NUM!</v>
      </c>
      <c r="J24" t="e">
        <f ca="1">INDEX(I$65:INDIRECT("I"&amp;$C$61),$C24)</f>
        <v>#NUM!</v>
      </c>
      <c r="K24" s="7" t="e">
        <f ca="1">INDEX(J$65:INDIRECT("J"&amp;$C$61),$C24)</f>
        <v>#NUM!</v>
      </c>
      <c r="L24" s="23" t="e">
        <f ca="1">INDEX(K$65:INDIRECT("K"&amp;$C$61),$C24)</f>
        <v>#NUM!</v>
      </c>
      <c r="M24" t="e">
        <f ca="1">INDEX(L$65:INDIRECT("L"&amp;$C$61),$C24)</f>
        <v>#NUM!</v>
      </c>
      <c r="N24" t="e">
        <f ca="1">INDEX(M$65:INDIRECT("M"&amp;$C$61),$C24)</f>
        <v>#NUM!</v>
      </c>
      <c r="O24" t="e">
        <f ca="1">INDEX(N$65:INDIRECT("N"&amp;$C$61),$C24)</f>
        <v>#NUM!</v>
      </c>
      <c r="P24" t="e">
        <f ca="1">INDEX(O$65:INDIRECT("O"&amp;$C$61),$C24)</f>
        <v>#NUM!</v>
      </c>
      <c r="Q24" s="104"/>
      <c r="R24" s="73" t="s">
        <v>71</v>
      </c>
      <c r="S24" s="69" t="s">
        <v>32</v>
      </c>
      <c r="T24" s="73" t="e">
        <f t="array" aca="1" ref="T24" ca="1">MATCH(IF(ISBLANK($AE$11),LARGE(IF($E$65:INDIRECT("E"&amp;$C$61)=$AE$10,INDIRECT(AJ24&amp;65):INDIRECT(AJ24&amp;$C$61)),$AH24),IF(ISBLANK($AE$10),LARGE(IF($D$65:INDIRECT("D"&amp;$C$61)=$AE$11,INDIRECT(AJ24&amp;65):INDIRECT(AJ24&amp;$C$61)),$AH24),LARGE(IF(($E$65:INDIRECT("E"&amp;$C$61)=$AE$10)*($D$65:INDIRECT("D"&amp;$C$61)=$AE$11),INDIRECT(AJ24&amp;65):INDIRECT(AJ24&amp;$C$61)),$AH24))),INDIRECT(AJ24&amp;65):INDIRECT(AJ24&amp;$C$61),0)</f>
        <v>#NUM!</v>
      </c>
      <c r="U24" s="69" t="e">
        <f ca="1">INDEX(D$65:INDIRECT("D"&amp;$C$61),$T24)</f>
        <v>#NUM!</v>
      </c>
      <c r="V24" s="69" t="e">
        <f ca="1">INDEX(INDIRECT(("'MemberID'!$C$6:C"&amp;MemberID!$C$1)),MATCH(U24,INDIRECT(("'MemberID'!$G$6:G"&amp;MemberID!$C$1)),0))</f>
        <v>#NUM!</v>
      </c>
      <c r="W24" s="69" t="e">
        <f ca="1">INDEX(E$65:INDIRECT("E"&amp;$C$61),$T24)</f>
        <v>#NUM!</v>
      </c>
      <c r="X24" t="e">
        <f ca="1">INDEX(F$65:INDIRECT("F"&amp;$C$61),$T24)</f>
        <v>#NUM!</v>
      </c>
      <c r="Y24" t="e">
        <f ca="1">INDEX(G$65:INDIRECT("G"&amp;$C$61),$T24)</f>
        <v>#NUM!</v>
      </c>
      <c r="Z24" t="e">
        <f ca="1">INDEX(H$65:INDIRECT("H"&amp;$C$61),$T24)</f>
        <v>#NUM!</v>
      </c>
      <c r="AA24" t="e">
        <f ca="1">INDEX(I$65:INDIRECT("I"&amp;$C$61),$T24)</f>
        <v>#NUM!</v>
      </c>
      <c r="AB24" t="e">
        <f ca="1">INDEX(J$65:INDIRECT("J"&amp;$C$61),$T24)</f>
        <v>#NUM!</v>
      </c>
      <c r="AC24" s="23" t="e">
        <f t="array" aca="1" ref="AC24" ca="1">IF(ISBLANK($AE$11),LARGE(IF($E$65:INDIRECT("E"&amp;$C$61)=$AE$10,K$65:INDIRECT(AC$13&amp;$C$61)),$AH24),IF(ISBLANK($AE$10),LARGE(IF($D$65:INDIRECT("D"&amp;$C$61)=$AE$11,K$65:INDIRECT(AC$13&amp;$C$61)),$AH24),LARGE(IF(($E$65:INDIRECT("E"&amp;$C$61)=$AE$10)*($D$65:INDIRECT("D"&amp;$C$61)=$AE$11),K$65:INDIRECT(AC$13&amp;$C$61)),$AH24)))</f>
        <v>#NUM!</v>
      </c>
      <c r="AD24" t="e">
        <f ca="1">INDEX(L$65:INDIRECT("L"&amp;$C$61),$T24)</f>
        <v>#NUM!</v>
      </c>
      <c r="AE24" t="e">
        <f ca="1">INDEX(M$65:INDIRECT("M"&amp;$C$61),$T24)</f>
        <v>#NUM!</v>
      </c>
      <c r="AF24" t="e">
        <f ca="1">INDEX(N$65:INDIRECT("N"&amp;$C$61),$T24)</f>
        <v>#NUM!</v>
      </c>
      <c r="AG24" t="e">
        <f ca="1">INDEX(O$65:INDIRECT("O"&amp;$C$61),$T24)</f>
        <v>#NUM!</v>
      </c>
      <c r="AH24" s="69">
        <v>3</v>
      </c>
      <c r="AI24" s="69" t="str">
        <f t="shared" ref="AI24:AJ27" si="1">AI23</f>
        <v>K</v>
      </c>
      <c r="AJ24" s="69" t="str">
        <f t="shared" si="1"/>
        <v>R</v>
      </c>
    </row>
    <row r="25" spans="1:36" x14ac:dyDescent="0.25">
      <c r="A25" s="74" t="s">
        <v>72</v>
      </c>
      <c r="B25" s="69" t="s">
        <v>32</v>
      </c>
      <c r="C25" s="74" t="e">
        <f ca="1">K6</f>
        <v>#N/A</v>
      </c>
      <c r="D25" s="69" t="e">
        <f ca="1">INDEX(D$65:INDIRECT("D"&amp;$C$61),$C25)</f>
        <v>#N/A</v>
      </c>
      <c r="E25" s="69" t="e">
        <f ca="1">INDEX(INDIRECT(("'MemberID'!$C$6:C"&amp;MemberID!$C$1)),MATCH(D25,INDIRECT(("'MemberID'!$G$6:G"&amp;MemberID!$C$1)),0))</f>
        <v>#N/A</v>
      </c>
      <c r="F25" s="69" t="e">
        <f ca="1">INDEX(E$65:INDIRECT("E"&amp;$C$61),$C25)</f>
        <v>#N/A</v>
      </c>
      <c r="G25" t="e">
        <f ca="1">INDEX(F$65:INDIRECT("F"&amp;$C$61),$C25)</f>
        <v>#N/A</v>
      </c>
      <c r="H25" t="e">
        <f ca="1">INDEX(G$65:INDIRECT("G"&amp;$C$61),$C25)</f>
        <v>#N/A</v>
      </c>
      <c r="I25" t="e">
        <f ca="1">INDEX(H$65:INDIRECT("H"&amp;$C$61),$C25)</f>
        <v>#N/A</v>
      </c>
      <c r="J25" t="e">
        <f ca="1">INDEX(I$65:INDIRECT("I"&amp;$C$61),$C25)</f>
        <v>#N/A</v>
      </c>
      <c r="K25" s="7" t="e">
        <f ca="1">INDEX(J$65:INDIRECT("J"&amp;$C$61),$C25)</f>
        <v>#N/A</v>
      </c>
      <c r="L25" s="23" t="e">
        <f ca="1">INDEX(K$65:INDIRECT("K"&amp;$C$61),$C25)</f>
        <v>#N/A</v>
      </c>
      <c r="M25" t="e">
        <f ca="1">INDEX(L$65:INDIRECT("L"&amp;$C$61),$C25)</f>
        <v>#N/A</v>
      </c>
      <c r="N25" t="e">
        <f ca="1">INDEX(M$65:INDIRECT("M"&amp;$C$61),$C25)</f>
        <v>#N/A</v>
      </c>
      <c r="O25" t="e">
        <f ca="1">INDEX(N$65:INDIRECT("N"&amp;$C$61),$C25)</f>
        <v>#N/A</v>
      </c>
      <c r="P25" t="e">
        <f ca="1">INDEX(O$65:INDIRECT("O"&amp;$C$61),$C25)</f>
        <v>#N/A</v>
      </c>
      <c r="Q25" s="104"/>
      <c r="R25" s="74" t="s">
        <v>72</v>
      </c>
      <c r="S25" s="69" t="s">
        <v>32</v>
      </c>
      <c r="T25" s="74" t="e">
        <f t="array" aca="1" ref="T25" ca="1">MATCH(IF(ISBLANK($AE$11),SMALL(IF($E$65:INDIRECT("E"&amp;$C$61)=$AE$10,INDIRECT(AJ25&amp;65):INDIRECT(AJ25&amp;$C$61)),$AH25),IF(ISBLANK($AE$10),SMALL(IF($D$65:INDIRECT("D"&amp;$C$61)=$AE$11,INDIRECT(AJ25&amp;65):INDIRECT(AJ25&amp;$C$61)),$AH25),SMALL(IF(($E$65:INDIRECT("E"&amp;$C$61)=$AE$10)*($D$65:INDIRECT("D"&amp;$C$61)=$AE$11),INDIRECT(AJ25&amp;65):INDIRECT(AJ25&amp;$C$61)),$AH25))),INDIRECT(AJ25&amp;65):INDIRECT(AJ25&amp;$C$61),0)</f>
        <v>#NUM!</v>
      </c>
      <c r="U25" s="69" t="e">
        <f ca="1">INDEX(D$65:INDIRECT("D"&amp;$C$61),$T25)</f>
        <v>#NUM!</v>
      </c>
      <c r="V25" s="69" t="e">
        <f ca="1">INDEX(INDIRECT(("'MemberID'!$C$6:C"&amp;MemberID!$C$1)),MATCH(U25,INDIRECT(("'MemberID'!$G$6:G"&amp;MemberID!$C$1)),0))</f>
        <v>#NUM!</v>
      </c>
      <c r="W25" s="69" t="e">
        <f ca="1">INDEX(E$65:INDIRECT("E"&amp;$C$61),$T25)</f>
        <v>#NUM!</v>
      </c>
      <c r="X25" t="e">
        <f ca="1">INDEX(F$65:INDIRECT("F"&amp;$C$61),$T25)</f>
        <v>#NUM!</v>
      </c>
      <c r="Y25" t="e">
        <f ca="1">INDEX(G$65:INDIRECT("G"&amp;$C$61),$T25)</f>
        <v>#NUM!</v>
      </c>
      <c r="Z25" t="e">
        <f ca="1">INDEX(H$65:INDIRECT("H"&amp;$C$61),$T25)</f>
        <v>#NUM!</v>
      </c>
      <c r="AA25" t="e">
        <f ca="1">INDEX(I$65:INDIRECT("I"&amp;$C$61),$T25)</f>
        <v>#NUM!</v>
      </c>
      <c r="AB25" t="e">
        <f ca="1">INDEX(J$65:INDIRECT("J"&amp;$C$61),$T25)</f>
        <v>#NUM!</v>
      </c>
      <c r="AC25" s="23" t="e">
        <f t="array" aca="1" ref="AC25" ca="1">IF(ISBLANK($AE$11),SMALL(IF($E$65:INDIRECT("E"&amp;$C$61)=$AE$10,K$65:INDIRECT(AC$13&amp;$C$61)),$AH25),IF(ISBLANK($AE$10),SMALL(IF($D$65:INDIRECT("D"&amp;$C$61)=$AE$11,K$65:INDIRECT(AC$13&amp;$C$61)),$AH25),SMALL(IF(($E$65:INDIRECT("E"&amp;$C$61)=$AE$10)*($D$65:INDIRECT("D"&amp;$C$61)=$AE$11),K$65:INDIRECT(AC$13&amp;$C$61)),$AH25)))</f>
        <v>#NUM!</v>
      </c>
      <c r="AD25" t="e">
        <f ca="1">INDEX(L$65:INDIRECT("L"&amp;$C$61),$T25)</f>
        <v>#NUM!</v>
      </c>
      <c r="AE25" t="e">
        <f ca="1">INDEX(M$65:INDIRECT("M"&amp;$C$61),$T25)</f>
        <v>#NUM!</v>
      </c>
      <c r="AF25" t="e">
        <f ca="1">INDEX(N$65:INDIRECT("N"&amp;$C$61),$T25)</f>
        <v>#NUM!</v>
      </c>
      <c r="AG25" t="e">
        <f ca="1">INDEX(O$65:INDIRECT("O"&amp;$C$61),$T25)</f>
        <v>#NUM!</v>
      </c>
      <c r="AH25" s="69">
        <v>1</v>
      </c>
      <c r="AI25" s="69" t="str">
        <f t="shared" si="1"/>
        <v>K</v>
      </c>
      <c r="AJ25" s="69" t="str">
        <f t="shared" si="1"/>
        <v>R</v>
      </c>
    </row>
    <row r="26" spans="1:36" x14ac:dyDescent="0.25">
      <c r="A26" s="74" t="s">
        <v>73</v>
      </c>
      <c r="B26" s="69" t="s">
        <v>32</v>
      </c>
      <c r="C26" s="74" t="e">
        <f ca="1">S6</f>
        <v>#NUM!</v>
      </c>
      <c r="D26" s="69" t="e">
        <f ca="1">INDEX(D$65:INDIRECT("D"&amp;$C$61),$C26)</f>
        <v>#NUM!</v>
      </c>
      <c r="E26" s="69" t="e">
        <f ca="1">INDEX(INDIRECT(("'MemberID'!$C$6:C"&amp;MemberID!$C$1)),MATCH(D26,INDIRECT(("'MemberID'!$G$6:G"&amp;MemberID!$C$1)),0))</f>
        <v>#NUM!</v>
      </c>
      <c r="F26" s="69" t="e">
        <f ca="1">INDEX(E$65:INDIRECT("E"&amp;$C$61),$C26)</f>
        <v>#NUM!</v>
      </c>
      <c r="G26" t="e">
        <f ca="1">INDEX(F$65:INDIRECT("F"&amp;$C$61),$C26)</f>
        <v>#NUM!</v>
      </c>
      <c r="H26" t="e">
        <f ca="1">INDEX(G$65:INDIRECT("G"&amp;$C$61),$C26)</f>
        <v>#NUM!</v>
      </c>
      <c r="I26" t="e">
        <f ca="1">INDEX(H$65:INDIRECT("H"&amp;$C$61),$C26)</f>
        <v>#NUM!</v>
      </c>
      <c r="J26" t="e">
        <f ca="1">INDEX(I$65:INDIRECT("I"&amp;$C$61),$C26)</f>
        <v>#NUM!</v>
      </c>
      <c r="K26" s="7" t="e">
        <f ca="1">INDEX(J$65:INDIRECT("J"&amp;$C$61),$C26)</f>
        <v>#NUM!</v>
      </c>
      <c r="L26" s="23" t="e">
        <f ca="1">INDEX(K$65:INDIRECT("K"&amp;$C$61),$C26)</f>
        <v>#NUM!</v>
      </c>
      <c r="M26" t="e">
        <f ca="1">INDEX(L$65:INDIRECT("L"&amp;$C$61),$C26)</f>
        <v>#NUM!</v>
      </c>
      <c r="N26" t="e">
        <f ca="1">INDEX(M$65:INDIRECT("M"&amp;$C$61),$C26)</f>
        <v>#NUM!</v>
      </c>
      <c r="O26" t="e">
        <f ca="1">INDEX(N$65:INDIRECT("N"&amp;$C$61),$C26)</f>
        <v>#NUM!</v>
      </c>
      <c r="P26" t="e">
        <f ca="1">INDEX(O$65:INDIRECT("O"&amp;$C$61),$C26)</f>
        <v>#NUM!</v>
      </c>
      <c r="Q26" s="104"/>
      <c r="R26" s="74" t="s">
        <v>73</v>
      </c>
      <c r="S26" s="69" t="s">
        <v>32</v>
      </c>
      <c r="T26" s="74" t="e">
        <f t="array" aca="1" ref="T26" ca="1">MATCH(IF(ISBLANK($AE$11),SMALL(IF($E$65:INDIRECT("E"&amp;$C$61)=$AE$10,INDIRECT(AJ26&amp;65):INDIRECT(AJ26&amp;$C$61)),$AH26),IF(ISBLANK($AE$10),SMALL(IF($D$65:INDIRECT("D"&amp;$C$61)=$AE$11,INDIRECT(AJ26&amp;65):INDIRECT(AJ26&amp;$C$61)),$AH26),SMALL(IF(($E$65:INDIRECT("E"&amp;$C$61)=$AE$10)*($D$65:INDIRECT("D"&amp;$C$61)=$AE$11),INDIRECT(AJ26&amp;65):INDIRECT(AJ26&amp;$C$61)),$AH26))),INDIRECT(AJ26&amp;65):INDIRECT(AJ26&amp;$C$61),0)</f>
        <v>#NUM!</v>
      </c>
      <c r="U26" s="69" t="e">
        <f ca="1">INDEX(D$65:INDIRECT("D"&amp;$C$61),$T26)</f>
        <v>#NUM!</v>
      </c>
      <c r="V26" s="69" t="e">
        <f ca="1">INDEX(INDIRECT(("'MemberID'!$C$6:C"&amp;MemberID!$C$1)),MATCH(U26,INDIRECT(("'MemberID'!$G$6:G"&amp;MemberID!$C$1)),0))</f>
        <v>#NUM!</v>
      </c>
      <c r="W26" s="69" t="e">
        <f ca="1">INDEX(E$65:INDIRECT("E"&amp;$C$61),$T26)</f>
        <v>#NUM!</v>
      </c>
      <c r="X26" t="e">
        <f ca="1">INDEX(F$65:INDIRECT("F"&amp;$C$61),$T26)</f>
        <v>#NUM!</v>
      </c>
      <c r="Y26" t="e">
        <f ca="1">INDEX(G$65:INDIRECT("G"&amp;$C$61),$T26)</f>
        <v>#NUM!</v>
      </c>
      <c r="Z26" t="e">
        <f ca="1">INDEX(H$65:INDIRECT("H"&amp;$C$61),$T26)</f>
        <v>#NUM!</v>
      </c>
      <c r="AA26" t="e">
        <f ca="1">INDEX(I$65:INDIRECT("I"&amp;$C$61),$T26)</f>
        <v>#NUM!</v>
      </c>
      <c r="AB26" t="e">
        <f ca="1">INDEX(J$65:INDIRECT("J"&amp;$C$61),$T26)</f>
        <v>#NUM!</v>
      </c>
      <c r="AC26" s="23" t="e">
        <f t="array" aca="1" ref="AC26" ca="1">IF(ISBLANK($AE$11),SMALL(IF($E$65:INDIRECT("E"&amp;$C$61)=$AE$10,K$65:INDIRECT(AC$13&amp;$C$61)),$AH26),IF(ISBLANK($AE$10),SMALL(IF($D$65:INDIRECT("D"&amp;$C$61)=$AE$11,K$65:INDIRECT(AC$13&amp;$C$61)),$AH26),SMALL(IF(($E$65:INDIRECT("E"&amp;$C$61)=$AE$10)*($D$65:INDIRECT("D"&amp;$C$61)=$AE$11),K$65:INDIRECT(AC$13&amp;$C$61)),$AH26)))</f>
        <v>#NUM!</v>
      </c>
      <c r="AD26" t="e">
        <f ca="1">INDEX(L$65:INDIRECT("L"&amp;$C$61),$T26)</f>
        <v>#NUM!</v>
      </c>
      <c r="AE26" t="e">
        <f ca="1">INDEX(M$65:INDIRECT("M"&amp;$C$61),$T26)</f>
        <v>#NUM!</v>
      </c>
      <c r="AF26" t="e">
        <f ca="1">INDEX(N$65:INDIRECT("N"&amp;$C$61),$T26)</f>
        <v>#NUM!</v>
      </c>
      <c r="AG26" t="e">
        <f ca="1">INDEX(O$65:INDIRECT("O"&amp;$C$61),$T26)</f>
        <v>#NUM!</v>
      </c>
      <c r="AH26" s="69">
        <v>2</v>
      </c>
      <c r="AI26" s="69" t="str">
        <f t="shared" si="1"/>
        <v>K</v>
      </c>
      <c r="AJ26" s="69" t="str">
        <f t="shared" si="1"/>
        <v>R</v>
      </c>
    </row>
    <row r="27" spans="1:36" x14ac:dyDescent="0.25">
      <c r="A27" s="74" t="s">
        <v>74</v>
      </c>
      <c r="B27" s="69" t="s">
        <v>32</v>
      </c>
      <c r="C27" s="74" t="e">
        <f ca="1">AA6</f>
        <v>#NUM!</v>
      </c>
      <c r="D27" s="69" t="e">
        <f ca="1">INDEX(D$65:INDIRECT("D"&amp;$C$61),$C27)</f>
        <v>#NUM!</v>
      </c>
      <c r="E27" s="69" t="e">
        <f ca="1">INDEX(INDIRECT(("'MemberID'!$C$6:C"&amp;MemberID!$C$1)),MATCH(D27,INDIRECT(("'MemberID'!$G$6:G"&amp;MemberID!$C$1)),0))</f>
        <v>#NUM!</v>
      </c>
      <c r="F27" s="69" t="e">
        <f ca="1">INDEX(E$65:INDIRECT("E"&amp;$C$61),$C27)</f>
        <v>#NUM!</v>
      </c>
      <c r="G27" t="e">
        <f ca="1">INDEX(F$65:INDIRECT("F"&amp;$C$61),$C27)</f>
        <v>#NUM!</v>
      </c>
      <c r="H27" t="e">
        <f ca="1">INDEX(G$65:INDIRECT("G"&amp;$C$61),$C27)</f>
        <v>#NUM!</v>
      </c>
      <c r="I27" t="e">
        <f ca="1">INDEX(H$65:INDIRECT("H"&amp;$C$61),$C27)</f>
        <v>#NUM!</v>
      </c>
      <c r="J27" t="e">
        <f ca="1">INDEX(I$65:INDIRECT("I"&amp;$C$61),$C27)</f>
        <v>#NUM!</v>
      </c>
      <c r="K27" s="7" t="e">
        <f ca="1">INDEX(J$65:INDIRECT("J"&amp;$C$61),$C27)</f>
        <v>#NUM!</v>
      </c>
      <c r="L27" s="23" t="e">
        <f ca="1">INDEX(K$65:INDIRECT("K"&amp;$C$61),$C27)</f>
        <v>#NUM!</v>
      </c>
      <c r="M27" t="e">
        <f ca="1">INDEX(L$65:INDIRECT("L"&amp;$C$61),$C27)</f>
        <v>#NUM!</v>
      </c>
      <c r="N27" t="e">
        <f ca="1">INDEX(M$65:INDIRECT("M"&amp;$C$61),$C27)</f>
        <v>#NUM!</v>
      </c>
      <c r="O27" t="e">
        <f ca="1">INDEX(N$65:INDIRECT("N"&amp;$C$61),$C27)</f>
        <v>#NUM!</v>
      </c>
      <c r="P27" t="e">
        <f ca="1">INDEX(O$65:INDIRECT("O"&amp;$C$61),$C27)</f>
        <v>#NUM!</v>
      </c>
      <c r="Q27" s="104"/>
      <c r="R27" s="74" t="s">
        <v>74</v>
      </c>
      <c r="S27" s="69" t="s">
        <v>32</v>
      </c>
      <c r="T27" s="74" t="e">
        <f t="array" aca="1" ref="T27" ca="1">MATCH(IF(ISBLANK($AE$11),SMALL(IF($E$65:INDIRECT("E"&amp;$C$61)=$AE$10,INDIRECT(AJ27&amp;65):INDIRECT(AJ27&amp;$C$61)),$AH27),IF(ISBLANK($AE$10),SMALL(IF($D$65:INDIRECT("D"&amp;$C$61)=$AE$11,INDIRECT(AJ27&amp;65):INDIRECT(AJ27&amp;$C$61)),$AH27),SMALL(IF(($E$65:INDIRECT("E"&amp;$C$61)=$AE$10)*($D$65:INDIRECT("D"&amp;$C$61)=$AE$11),INDIRECT(AJ27&amp;65):INDIRECT(AJ27&amp;$C$61)),$AH27))),INDIRECT(AJ27&amp;65):INDIRECT(AJ27&amp;$C$61),0)</f>
        <v>#NUM!</v>
      </c>
      <c r="U27" s="69" t="e">
        <f ca="1">INDEX(D$65:INDIRECT("D"&amp;$C$61),$T27)</f>
        <v>#NUM!</v>
      </c>
      <c r="V27" s="69" t="e">
        <f ca="1">INDEX(INDIRECT(("'MemberID'!$C$6:C"&amp;MemberID!$C$1)),MATCH(U27,INDIRECT(("'MemberID'!$G$6:G"&amp;MemberID!$C$1)),0))</f>
        <v>#NUM!</v>
      </c>
      <c r="W27" s="69" t="e">
        <f ca="1">INDEX(E$65:INDIRECT("E"&amp;$C$61),$T27)</f>
        <v>#NUM!</v>
      </c>
      <c r="X27" t="e">
        <f ca="1">INDEX(F$65:INDIRECT("F"&amp;$C$61),$T27)</f>
        <v>#NUM!</v>
      </c>
      <c r="Y27" t="e">
        <f ca="1">INDEX(G$65:INDIRECT("G"&amp;$C$61),$T27)</f>
        <v>#NUM!</v>
      </c>
      <c r="Z27" t="e">
        <f ca="1">INDEX(H$65:INDIRECT("H"&amp;$C$61),$T27)</f>
        <v>#NUM!</v>
      </c>
      <c r="AA27" t="e">
        <f ca="1">INDEX(I$65:INDIRECT("I"&amp;$C$61),$T27)</f>
        <v>#NUM!</v>
      </c>
      <c r="AB27" t="e">
        <f ca="1">INDEX(J$65:INDIRECT("J"&amp;$C$61),$T27)</f>
        <v>#NUM!</v>
      </c>
      <c r="AC27" s="23" t="e">
        <f t="array" aca="1" ref="AC27" ca="1">IF(ISBLANK($AE$11),SMALL(IF($E$65:INDIRECT("E"&amp;$C$61)=$AE$10,K$65:INDIRECT(AC$13&amp;$C$61)),$AH27),IF(ISBLANK($AE$10),SMALL(IF($D$65:INDIRECT("D"&amp;$C$61)=$AE$11,K$65:INDIRECT(AC$13&amp;$C$61)),$AH27),SMALL(IF(($E$65:INDIRECT("E"&amp;$C$61)=$AE$10)*($D$65:INDIRECT("D"&amp;$C$61)=$AE$11),K$65:INDIRECT(AC$13&amp;$C$61)),$AH27)))</f>
        <v>#NUM!</v>
      </c>
      <c r="AD27" t="e">
        <f ca="1">INDEX(L$65:INDIRECT("L"&amp;$C$61),$T27)</f>
        <v>#NUM!</v>
      </c>
      <c r="AE27" t="e">
        <f ca="1">INDEX(M$65:INDIRECT("M"&amp;$C$61),$T27)</f>
        <v>#NUM!</v>
      </c>
      <c r="AF27" t="e">
        <f ca="1">INDEX(N$65:INDIRECT("N"&amp;$C$61),$T27)</f>
        <v>#NUM!</v>
      </c>
      <c r="AG27" t="e">
        <f ca="1">INDEX(O$65:INDIRECT("O"&amp;$C$61),$T27)</f>
        <v>#NUM!</v>
      </c>
      <c r="AH27" s="69">
        <v>3</v>
      </c>
      <c r="AI27" s="69" t="str">
        <f t="shared" si="1"/>
        <v>K</v>
      </c>
      <c r="AJ27" s="69" t="str">
        <f t="shared" si="1"/>
        <v>R</v>
      </c>
    </row>
    <row r="28" spans="1:36" x14ac:dyDescent="0.25">
      <c r="A28" s="5"/>
      <c r="B28" s="69"/>
      <c r="C28" s="69"/>
      <c r="D28" s="69"/>
      <c r="E28" s="69"/>
      <c r="F28" s="69"/>
      <c r="J28" s="7"/>
      <c r="K28" s="7"/>
      <c r="L28" s="7"/>
      <c r="M28" s="7"/>
      <c r="N28" s="7"/>
      <c r="O28" s="7"/>
      <c r="P28" s="7"/>
      <c r="Q28" s="104"/>
      <c r="R28" s="5"/>
      <c r="S28" s="69"/>
      <c r="T28" s="69"/>
      <c r="V28" s="69"/>
      <c r="W28" s="69"/>
      <c r="AH28" s="69"/>
      <c r="AI28" s="69"/>
      <c r="AJ28" s="69"/>
    </row>
    <row r="29" spans="1:36" x14ac:dyDescent="0.25">
      <c r="A29" s="73" t="s">
        <v>69</v>
      </c>
      <c r="B29" s="69" t="s">
        <v>33</v>
      </c>
      <c r="C29" s="73" t="e">
        <f ca="1">L3</f>
        <v>#N/A</v>
      </c>
      <c r="D29" s="69" t="e">
        <f ca="1">INDEX(D$65:INDIRECT("D"&amp;$C$61),$C29)</f>
        <v>#N/A</v>
      </c>
      <c r="E29" s="69" t="e">
        <f ca="1">INDEX(INDIRECT(("'MemberID'!$C$6:C"&amp;MemberID!$C$1)),MATCH(D29,INDIRECT(("'MemberID'!$G$6:G"&amp;MemberID!$C$1)),0))</f>
        <v>#N/A</v>
      </c>
      <c r="F29" s="69" t="e">
        <f ca="1">INDEX(E$65:INDIRECT("E"&amp;$C$61),$C29)</f>
        <v>#N/A</v>
      </c>
      <c r="G29" t="e">
        <f ca="1">INDEX(F$65:INDIRECT("F"&amp;$C$61),$C29)</f>
        <v>#N/A</v>
      </c>
      <c r="H29" t="e">
        <f ca="1">INDEX(G$65:INDIRECT("G"&amp;$C$61),$C29)</f>
        <v>#N/A</v>
      </c>
      <c r="I29" t="e">
        <f ca="1">INDEX(H$65:INDIRECT("H"&amp;$C$61),$C29)</f>
        <v>#N/A</v>
      </c>
      <c r="J29" t="e">
        <f ca="1">INDEX(I$65:INDIRECT("I"&amp;$C$61),$C29)</f>
        <v>#N/A</v>
      </c>
      <c r="K29" s="7" t="e">
        <f ca="1">INDEX(J$65:INDIRECT("J"&amp;$C$61),$C29)</f>
        <v>#N/A</v>
      </c>
      <c r="L29" t="e">
        <f ca="1">INDEX(K$65:INDIRECT("K"&amp;$C$61),$C29)</f>
        <v>#N/A</v>
      </c>
      <c r="M29" s="23" t="e">
        <f ca="1">INDEX(L$65:INDIRECT("L"&amp;$C$61),$C29)</f>
        <v>#N/A</v>
      </c>
      <c r="N29" t="e">
        <f ca="1">INDEX(M$65:INDIRECT("M"&amp;$C$61),$C29)</f>
        <v>#N/A</v>
      </c>
      <c r="O29" t="e">
        <f ca="1">INDEX(N$65:INDIRECT("N"&amp;$C$61),$C29)</f>
        <v>#N/A</v>
      </c>
      <c r="P29" t="e">
        <f ca="1">INDEX(O$65:INDIRECT("O"&amp;$C$61),$C29)</f>
        <v>#N/A</v>
      </c>
      <c r="Q29" s="104"/>
      <c r="R29" s="73" t="s">
        <v>69</v>
      </c>
      <c r="S29" s="69" t="s">
        <v>33</v>
      </c>
      <c r="T29" s="73" t="e">
        <f t="array" aca="1" ref="T29" ca="1">MATCH(IF(ISBLANK($AE$11),LARGE(IF($E$65:INDIRECT("E"&amp;$C$61)=$AE$10,INDIRECT(AJ29&amp;65):INDIRECT(AJ29&amp;$C$61)),$AH29),IF(ISBLANK($AE$10),LARGE(IF($D$65:INDIRECT("D"&amp;$C$61)=$AE$11,INDIRECT(AJ29&amp;65):INDIRECT(AJ29&amp;$C$61)),$AH29),LARGE(IF(($E$65:INDIRECT("E"&amp;$C$61)=$AE$10)*($D$65:INDIRECT("D"&amp;$C$61)=$AE$11),INDIRECT(AJ29&amp;65):INDIRECT(AJ29&amp;$C$61)),$AH29))),INDIRECT(AJ29&amp;65):INDIRECT(AJ29&amp;$C$61),0)</f>
        <v>#NUM!</v>
      </c>
      <c r="U29" s="69" t="e">
        <f ca="1">INDEX(D$65:INDIRECT("D"&amp;$C$61),$T29)</f>
        <v>#NUM!</v>
      </c>
      <c r="V29" s="69" t="e">
        <f ca="1">INDEX(INDIRECT(("'MemberID'!$C$6:C"&amp;MemberID!$C$1)),MATCH(U29,INDIRECT(("'MemberID'!$G$6:G"&amp;MemberID!$C$1)),0))</f>
        <v>#NUM!</v>
      </c>
      <c r="W29" s="69" t="e">
        <f ca="1">INDEX(E$65:INDIRECT("E"&amp;$C$61),$T29)</f>
        <v>#NUM!</v>
      </c>
      <c r="X29" t="e">
        <f ca="1">INDEX(F$65:INDIRECT("F"&amp;$C$61),$T29)</f>
        <v>#NUM!</v>
      </c>
      <c r="Y29" t="e">
        <f ca="1">INDEX(G$65:INDIRECT("G"&amp;$C$61),$T29)</f>
        <v>#NUM!</v>
      </c>
      <c r="Z29" t="e">
        <f ca="1">INDEX(H$65:INDIRECT("H"&amp;$C$61),$T29)</f>
        <v>#NUM!</v>
      </c>
      <c r="AA29" t="e">
        <f ca="1">INDEX(I$65:INDIRECT("I"&amp;$C$61),$T29)</f>
        <v>#NUM!</v>
      </c>
      <c r="AB29" t="e">
        <f ca="1">INDEX(J$65:INDIRECT("J"&amp;$C$61),$T29)</f>
        <v>#NUM!</v>
      </c>
      <c r="AC29" t="e">
        <f ca="1">INDEX(K$65:INDIRECT("K"&amp;$C$61),$T29)</f>
        <v>#NUM!</v>
      </c>
      <c r="AD29" s="23" t="e">
        <f t="array" aca="1" ref="AD29" ca="1">IF(ISBLANK($AE$11),LARGE(IF($E$65:INDIRECT("E"&amp;$C$61)=$AE$10,L$65:INDIRECT(AD$13&amp;$C$61)),$AH29),IF(ISBLANK($AE$10),LARGE(IF($D$65:INDIRECT("D"&amp;$C$61)=$AE$11,L$65:INDIRECT(AD$13&amp;$C$61)),$AH29),LARGE(IF(($E$65:INDIRECT("E"&amp;$C$61)=$AE$10)*($D$65:INDIRECT("D"&amp;$C$61)=$AE$11),L$65:INDIRECT(AD$13&amp;$C$61)),$AH29)))</f>
        <v>#NUM!</v>
      </c>
      <c r="AE29" t="e">
        <f ca="1">INDEX(M$65:INDIRECT("M"&amp;$C$61),$T29)</f>
        <v>#NUM!</v>
      </c>
      <c r="AF29" t="e">
        <f ca="1">INDEX(N$65:INDIRECT("N"&amp;$C$61),$T29)</f>
        <v>#NUM!</v>
      </c>
      <c r="AG29" t="e">
        <f ca="1">INDEX(O$65:INDIRECT("O"&amp;$C$61),$T29)</f>
        <v>#NUM!</v>
      </c>
      <c r="AH29" s="69">
        <v>1</v>
      </c>
      <c r="AI29" s="69" t="s">
        <v>152</v>
      </c>
      <c r="AJ29" s="69" t="s">
        <v>158</v>
      </c>
    </row>
    <row r="30" spans="1:36" x14ac:dyDescent="0.25">
      <c r="A30" s="73" t="s">
        <v>70</v>
      </c>
      <c r="B30" s="69" t="s">
        <v>33</v>
      </c>
      <c r="C30" s="73" t="e">
        <f ca="1">T3</f>
        <v>#NUM!</v>
      </c>
      <c r="D30" s="69" t="e">
        <f ca="1">INDEX(D$65:INDIRECT("D"&amp;$C$61),$C30)</f>
        <v>#NUM!</v>
      </c>
      <c r="E30" s="69" t="e">
        <f ca="1">INDEX(INDIRECT(("'MemberID'!$C$6:C"&amp;MemberID!$C$1)),MATCH(D30,INDIRECT(("'MemberID'!$G$6:G"&amp;MemberID!$C$1)),0))</f>
        <v>#NUM!</v>
      </c>
      <c r="F30" s="69" t="e">
        <f ca="1">INDEX(E$65:INDIRECT("E"&amp;$C$61),$C30)</f>
        <v>#NUM!</v>
      </c>
      <c r="G30" t="e">
        <f ca="1">INDEX(F$65:INDIRECT("F"&amp;$C$61),$C30)</f>
        <v>#NUM!</v>
      </c>
      <c r="H30" t="e">
        <f ca="1">INDEX(G$65:INDIRECT("G"&amp;$C$61),$C30)</f>
        <v>#NUM!</v>
      </c>
      <c r="I30" t="e">
        <f ca="1">INDEX(H$65:INDIRECT("H"&amp;$C$61),$C30)</f>
        <v>#NUM!</v>
      </c>
      <c r="J30" t="e">
        <f ca="1">INDEX(I$65:INDIRECT("I"&amp;$C$61),$C30)</f>
        <v>#NUM!</v>
      </c>
      <c r="K30" s="7" t="e">
        <f ca="1">INDEX(J$65:INDIRECT("J"&amp;$C$61),$C30)</f>
        <v>#NUM!</v>
      </c>
      <c r="L30" t="e">
        <f ca="1">INDEX(K$65:INDIRECT("K"&amp;$C$61),$C30)</f>
        <v>#NUM!</v>
      </c>
      <c r="M30" s="23" t="e">
        <f ca="1">INDEX(L$65:INDIRECT("L"&amp;$C$61),$C30)</f>
        <v>#NUM!</v>
      </c>
      <c r="N30" t="e">
        <f ca="1">INDEX(M$65:INDIRECT("M"&amp;$C$61),$C30)</f>
        <v>#NUM!</v>
      </c>
      <c r="O30" t="e">
        <f ca="1">INDEX(N$65:INDIRECT("N"&amp;$C$61),$C30)</f>
        <v>#NUM!</v>
      </c>
      <c r="P30" t="e">
        <f ca="1">INDEX(O$65:INDIRECT("O"&amp;$C$61),$C30)</f>
        <v>#NUM!</v>
      </c>
      <c r="Q30" s="104"/>
      <c r="R30" s="73" t="s">
        <v>70</v>
      </c>
      <c r="S30" s="69" t="s">
        <v>33</v>
      </c>
      <c r="T30" s="73" t="e">
        <f t="array" aca="1" ref="T30" ca="1">MATCH(IF(ISBLANK($AE$11),LARGE(IF($E$65:INDIRECT("E"&amp;$C$61)=$AE$10,INDIRECT(AJ30&amp;65):INDIRECT(AJ30&amp;$C$61)),$AH30),IF(ISBLANK($AE$10),LARGE(IF($D$65:INDIRECT("D"&amp;$C$61)=$AE$11,INDIRECT(AJ30&amp;65):INDIRECT(AJ30&amp;$C$61)),$AH30),LARGE(IF(($E$65:INDIRECT("E"&amp;$C$61)=$AE$10)*($D$65:INDIRECT("D"&amp;$C$61)=$AE$11),INDIRECT(AJ30&amp;65):INDIRECT(AJ30&amp;$C$61)),$AH30))),INDIRECT(AJ30&amp;65):INDIRECT(AJ30&amp;$C$61),0)</f>
        <v>#NUM!</v>
      </c>
      <c r="U30" s="69" t="e">
        <f ca="1">INDEX(D$65:INDIRECT("D"&amp;$C$61),$T30)</f>
        <v>#NUM!</v>
      </c>
      <c r="V30" s="69" t="e">
        <f ca="1">INDEX(INDIRECT(("'MemberID'!$C$6:C"&amp;MemberID!$C$1)),MATCH(U30,INDIRECT(("'MemberID'!$G$6:G"&amp;MemberID!$C$1)),0))</f>
        <v>#NUM!</v>
      </c>
      <c r="W30" s="69" t="e">
        <f ca="1">INDEX(E$65:INDIRECT("E"&amp;$C$61),$T30)</f>
        <v>#NUM!</v>
      </c>
      <c r="X30" t="e">
        <f ca="1">INDEX(F$65:INDIRECT("F"&amp;$C$61),$T30)</f>
        <v>#NUM!</v>
      </c>
      <c r="Y30" t="e">
        <f ca="1">INDEX(G$65:INDIRECT("G"&amp;$C$61),$T30)</f>
        <v>#NUM!</v>
      </c>
      <c r="Z30" t="e">
        <f ca="1">INDEX(H$65:INDIRECT("H"&amp;$C$61),$T30)</f>
        <v>#NUM!</v>
      </c>
      <c r="AA30" t="e">
        <f ca="1">INDEX(I$65:INDIRECT("I"&amp;$C$61),$T30)</f>
        <v>#NUM!</v>
      </c>
      <c r="AB30" t="e">
        <f ca="1">INDEX(J$65:INDIRECT("J"&amp;$C$61),$T30)</f>
        <v>#NUM!</v>
      </c>
      <c r="AC30" t="e">
        <f ca="1">INDEX(K$65:INDIRECT("K"&amp;$C$61),$T30)</f>
        <v>#NUM!</v>
      </c>
      <c r="AD30" s="23" t="e">
        <f t="array" aca="1" ref="AD30" ca="1">IF(ISBLANK($AE$11),LARGE(IF($E$65:INDIRECT("E"&amp;$C$61)=$AE$10,L$65:INDIRECT(AD$13&amp;$C$61)),$AH30),IF(ISBLANK($AE$10),LARGE(IF($D$65:INDIRECT("D"&amp;$C$61)=$AE$11,L$65:INDIRECT(AD$13&amp;$C$61)),$AH30),LARGE(IF(($E$65:INDIRECT("E"&amp;$C$61)=$AE$10)*($D$65:INDIRECT("D"&amp;$C$61)=$AE$11),L$65:INDIRECT(AD$13&amp;$C$61)),$AH30)))</f>
        <v>#NUM!</v>
      </c>
      <c r="AE30" t="e">
        <f ca="1">INDEX(M$65:INDIRECT("M"&amp;$C$61),$T30)</f>
        <v>#NUM!</v>
      </c>
      <c r="AF30" t="e">
        <f ca="1">INDEX(N$65:INDIRECT("N"&amp;$C$61),$T30)</f>
        <v>#NUM!</v>
      </c>
      <c r="AG30" t="e">
        <f ca="1">INDEX(O$65:INDIRECT("O"&amp;$C$61),$T30)</f>
        <v>#NUM!</v>
      </c>
      <c r="AH30" s="69">
        <v>2</v>
      </c>
      <c r="AI30" s="69" t="str">
        <f>AI29</f>
        <v>L</v>
      </c>
      <c r="AJ30" s="69" t="str">
        <f>AJ29</f>
        <v>S</v>
      </c>
    </row>
    <row r="31" spans="1:36" x14ac:dyDescent="0.25">
      <c r="A31" s="73" t="s">
        <v>71</v>
      </c>
      <c r="B31" s="69" t="s">
        <v>33</v>
      </c>
      <c r="C31" s="73" t="e">
        <f ca="1">AB3</f>
        <v>#NUM!</v>
      </c>
      <c r="D31" s="69" t="e">
        <f ca="1">INDEX(D$65:INDIRECT("D"&amp;$C$61),$C31)</f>
        <v>#NUM!</v>
      </c>
      <c r="E31" s="69" t="e">
        <f ca="1">INDEX(INDIRECT(("'MemberID'!$C$6:C"&amp;MemberID!$C$1)),MATCH(D31,INDIRECT(("'MemberID'!$G$6:G"&amp;MemberID!$C$1)),0))</f>
        <v>#NUM!</v>
      </c>
      <c r="F31" s="69" t="e">
        <f ca="1">INDEX(E$65:INDIRECT("E"&amp;$C$61),$C31)</f>
        <v>#NUM!</v>
      </c>
      <c r="G31" t="e">
        <f ca="1">INDEX(F$65:INDIRECT("F"&amp;$C$61),$C31)</f>
        <v>#NUM!</v>
      </c>
      <c r="H31" t="e">
        <f ca="1">INDEX(G$65:INDIRECT("G"&amp;$C$61),$C31)</f>
        <v>#NUM!</v>
      </c>
      <c r="I31" t="e">
        <f ca="1">INDEX(H$65:INDIRECT("H"&amp;$C$61),$C31)</f>
        <v>#NUM!</v>
      </c>
      <c r="J31" t="e">
        <f ca="1">INDEX(I$65:INDIRECT("I"&amp;$C$61),$C31)</f>
        <v>#NUM!</v>
      </c>
      <c r="K31" s="7" t="e">
        <f ca="1">INDEX(J$65:INDIRECT("J"&amp;$C$61),$C31)</f>
        <v>#NUM!</v>
      </c>
      <c r="L31" t="e">
        <f ca="1">INDEX(K$65:INDIRECT("K"&amp;$C$61),$C31)</f>
        <v>#NUM!</v>
      </c>
      <c r="M31" s="23" t="e">
        <f ca="1">INDEX(L$65:INDIRECT("L"&amp;$C$61),$C31)</f>
        <v>#NUM!</v>
      </c>
      <c r="N31" t="e">
        <f ca="1">INDEX(M$65:INDIRECT("M"&amp;$C$61),$C31)</f>
        <v>#NUM!</v>
      </c>
      <c r="O31" t="e">
        <f ca="1">INDEX(N$65:INDIRECT("N"&amp;$C$61),$C31)</f>
        <v>#NUM!</v>
      </c>
      <c r="P31" t="e">
        <f ca="1">INDEX(O$65:INDIRECT("O"&amp;$C$61),$C31)</f>
        <v>#NUM!</v>
      </c>
      <c r="Q31" s="104"/>
      <c r="R31" s="73" t="s">
        <v>71</v>
      </c>
      <c r="S31" s="69" t="s">
        <v>33</v>
      </c>
      <c r="T31" s="73" t="e">
        <f t="array" aca="1" ref="T31" ca="1">MATCH(IF(ISBLANK($AE$11),LARGE(IF($E$65:INDIRECT("E"&amp;$C$61)=$AE$10,INDIRECT(AJ31&amp;65):INDIRECT(AJ31&amp;$C$61)),$AH31),IF(ISBLANK($AE$10),LARGE(IF($D$65:INDIRECT("D"&amp;$C$61)=$AE$11,INDIRECT(AJ31&amp;65):INDIRECT(AJ31&amp;$C$61)),$AH31),LARGE(IF(($E$65:INDIRECT("E"&amp;$C$61)=$AE$10)*($D$65:INDIRECT("D"&amp;$C$61)=$AE$11),INDIRECT(AJ31&amp;65):INDIRECT(AJ31&amp;$C$61)),$AH31))),INDIRECT(AJ31&amp;65):INDIRECT(AJ31&amp;$C$61),0)</f>
        <v>#NUM!</v>
      </c>
      <c r="U31" s="69" t="e">
        <f ca="1">INDEX(D$65:INDIRECT("D"&amp;$C$61),$T31)</f>
        <v>#NUM!</v>
      </c>
      <c r="V31" s="69" t="e">
        <f ca="1">INDEX(INDIRECT(("'MemberID'!$C$6:C"&amp;MemberID!$C$1)),MATCH(U31,INDIRECT(("'MemberID'!$G$6:G"&amp;MemberID!$C$1)),0))</f>
        <v>#NUM!</v>
      </c>
      <c r="W31" s="69" t="e">
        <f ca="1">INDEX(E$65:INDIRECT("E"&amp;$C$61),$T31)</f>
        <v>#NUM!</v>
      </c>
      <c r="X31" t="e">
        <f ca="1">INDEX(F$65:INDIRECT("F"&amp;$C$61),$T31)</f>
        <v>#NUM!</v>
      </c>
      <c r="Y31" t="e">
        <f ca="1">INDEX(G$65:INDIRECT("G"&amp;$C$61),$T31)</f>
        <v>#NUM!</v>
      </c>
      <c r="Z31" t="e">
        <f ca="1">INDEX(H$65:INDIRECT("H"&amp;$C$61),$T31)</f>
        <v>#NUM!</v>
      </c>
      <c r="AA31" t="e">
        <f ca="1">INDEX(I$65:INDIRECT("I"&amp;$C$61),$T31)</f>
        <v>#NUM!</v>
      </c>
      <c r="AB31" t="e">
        <f ca="1">INDEX(J$65:INDIRECT("J"&amp;$C$61),$T31)</f>
        <v>#NUM!</v>
      </c>
      <c r="AC31" t="e">
        <f ca="1">INDEX(K$65:INDIRECT("K"&amp;$C$61),$T31)</f>
        <v>#NUM!</v>
      </c>
      <c r="AD31" s="23" t="e">
        <f t="array" aca="1" ref="AD31" ca="1">IF(ISBLANK($AE$11),LARGE(IF($E$65:INDIRECT("E"&amp;$C$61)=$AE$10,L$65:INDIRECT(AD$13&amp;$C$61)),$AH31),IF(ISBLANK($AE$10),LARGE(IF($D$65:INDIRECT("D"&amp;$C$61)=$AE$11,L$65:INDIRECT(AD$13&amp;$C$61)),$AH31),LARGE(IF(($E$65:INDIRECT("E"&amp;$C$61)=$AE$10)*($D$65:INDIRECT("D"&amp;$C$61)=$AE$11),L$65:INDIRECT(AD$13&amp;$C$61)),$AH31)))</f>
        <v>#NUM!</v>
      </c>
      <c r="AE31" t="e">
        <f ca="1">INDEX(M$65:INDIRECT("M"&amp;$C$61),$T31)</f>
        <v>#NUM!</v>
      </c>
      <c r="AF31" t="e">
        <f ca="1">INDEX(N$65:INDIRECT("N"&amp;$C$61),$T31)</f>
        <v>#NUM!</v>
      </c>
      <c r="AG31" t="e">
        <f ca="1">INDEX(O$65:INDIRECT("O"&amp;$C$61),$T31)</f>
        <v>#NUM!</v>
      </c>
      <c r="AH31" s="69">
        <v>3</v>
      </c>
      <c r="AI31" s="69" t="str">
        <f t="shared" ref="AI31:AJ34" si="2">AI30</f>
        <v>L</v>
      </c>
      <c r="AJ31" s="69" t="str">
        <f t="shared" si="2"/>
        <v>S</v>
      </c>
    </row>
    <row r="32" spans="1:36" x14ac:dyDescent="0.25">
      <c r="A32" s="74" t="s">
        <v>72</v>
      </c>
      <c r="B32" s="69" t="s">
        <v>33</v>
      </c>
      <c r="C32" s="74" t="e">
        <f ca="1">L6</f>
        <v>#N/A</v>
      </c>
      <c r="D32" s="69" t="e">
        <f ca="1">INDEX(D$65:INDIRECT("D"&amp;$C$61),$C32)</f>
        <v>#N/A</v>
      </c>
      <c r="E32" s="69" t="e">
        <f ca="1">INDEX(INDIRECT(("'MemberID'!$C$6:C"&amp;MemberID!$C$1)),MATCH(D32,INDIRECT(("'MemberID'!$G$6:G"&amp;MemberID!$C$1)),0))</f>
        <v>#N/A</v>
      </c>
      <c r="F32" s="69" t="e">
        <f ca="1">INDEX(E$65:INDIRECT("E"&amp;$C$61),$C32)</f>
        <v>#N/A</v>
      </c>
      <c r="G32" t="e">
        <f ca="1">INDEX(F$65:INDIRECT("F"&amp;$C$61),$C32)</f>
        <v>#N/A</v>
      </c>
      <c r="H32" t="e">
        <f ca="1">INDEX(G$65:INDIRECT("G"&amp;$C$61),$C32)</f>
        <v>#N/A</v>
      </c>
      <c r="I32" t="e">
        <f ca="1">INDEX(H$65:INDIRECT("H"&amp;$C$61),$C32)</f>
        <v>#N/A</v>
      </c>
      <c r="J32" t="e">
        <f ca="1">INDEX(I$65:INDIRECT("I"&amp;$C$61),$C32)</f>
        <v>#N/A</v>
      </c>
      <c r="K32" s="7" t="e">
        <f ca="1">INDEX(J$65:INDIRECT("J"&amp;$C$61),$C32)</f>
        <v>#N/A</v>
      </c>
      <c r="L32" t="e">
        <f ca="1">INDEX(K$65:INDIRECT("K"&amp;$C$61),$C32)</f>
        <v>#N/A</v>
      </c>
      <c r="M32" s="23" t="e">
        <f ca="1">INDEX(L$65:INDIRECT("L"&amp;$C$61),$C32)</f>
        <v>#N/A</v>
      </c>
      <c r="N32" t="e">
        <f ca="1">INDEX(M$65:INDIRECT("M"&amp;$C$61),$C32)</f>
        <v>#N/A</v>
      </c>
      <c r="O32" t="e">
        <f ca="1">INDEX(N$65:INDIRECT("N"&amp;$C$61),$C32)</f>
        <v>#N/A</v>
      </c>
      <c r="P32" t="e">
        <f ca="1">INDEX(O$65:INDIRECT("O"&amp;$C$61),$C32)</f>
        <v>#N/A</v>
      </c>
      <c r="Q32" s="104"/>
      <c r="R32" s="74" t="s">
        <v>72</v>
      </c>
      <c r="S32" s="69" t="s">
        <v>33</v>
      </c>
      <c r="T32" s="74" t="e">
        <f t="array" aca="1" ref="T32" ca="1">MATCH(IF(ISBLANK($AE$11),SMALL(IF($E$65:INDIRECT("E"&amp;$C$61)=$AE$10,INDIRECT(AJ32&amp;65):INDIRECT(AJ32&amp;$C$61)),$AH32),IF(ISBLANK($AE$10),SMALL(IF($D$65:INDIRECT("D"&amp;$C$61)=$AE$11,INDIRECT(AJ32&amp;65):INDIRECT(AJ32&amp;$C$61)),$AH32),SMALL(IF(($E$65:INDIRECT("E"&amp;$C$61)=$AE$10)*($D$65:INDIRECT("D"&amp;$C$61)=$AE$11),INDIRECT(AJ32&amp;65):INDIRECT(AJ32&amp;$C$61)),$AH32))),INDIRECT(AJ32&amp;65):INDIRECT(AJ32&amp;$C$61),0)</f>
        <v>#NUM!</v>
      </c>
      <c r="U32" s="69" t="e">
        <f ca="1">INDEX(D$65:INDIRECT("D"&amp;$C$61),$T32)</f>
        <v>#NUM!</v>
      </c>
      <c r="V32" s="69" t="e">
        <f ca="1">INDEX(INDIRECT(("'MemberID'!$C$6:C"&amp;MemberID!$C$1)),MATCH(U32,INDIRECT(("'MemberID'!$G$6:G"&amp;MemberID!$C$1)),0))</f>
        <v>#NUM!</v>
      </c>
      <c r="W32" s="69" t="e">
        <f ca="1">INDEX(E$65:INDIRECT("E"&amp;$C$61),$T32)</f>
        <v>#NUM!</v>
      </c>
      <c r="X32" t="e">
        <f ca="1">INDEX(F$65:INDIRECT("F"&amp;$C$61),$T32)</f>
        <v>#NUM!</v>
      </c>
      <c r="Y32" t="e">
        <f ca="1">INDEX(G$65:INDIRECT("G"&amp;$C$61),$T32)</f>
        <v>#NUM!</v>
      </c>
      <c r="Z32" t="e">
        <f ca="1">INDEX(H$65:INDIRECT("H"&amp;$C$61),$T32)</f>
        <v>#NUM!</v>
      </c>
      <c r="AA32" t="e">
        <f ca="1">INDEX(I$65:INDIRECT("I"&amp;$C$61),$T32)</f>
        <v>#NUM!</v>
      </c>
      <c r="AB32" t="e">
        <f ca="1">INDEX(J$65:INDIRECT("J"&amp;$C$61),$T32)</f>
        <v>#NUM!</v>
      </c>
      <c r="AC32" t="e">
        <f ca="1">INDEX(K$65:INDIRECT("K"&amp;$C$61),$T32)</f>
        <v>#NUM!</v>
      </c>
      <c r="AD32" s="23" t="e">
        <f t="array" aca="1" ref="AD32" ca="1">IF(ISBLANK($AE$11),SMALL(IF($E$65:INDIRECT("E"&amp;$C$61)=$AE$10,L$65:INDIRECT(AD$13&amp;$C$61)),$AH32),IF(ISBLANK($AE$10),SMALL(IF($D$65:INDIRECT("D"&amp;$C$61)=$AE$11,L$65:INDIRECT(AD$13&amp;$C$61)),$AH32),SMALL(IF(($E$65:INDIRECT("E"&amp;$C$61)=$AE$10)*($D$65:INDIRECT("D"&amp;$C$61)=$AE$11),L$65:INDIRECT(AD$13&amp;$C$61)),$AH32)))</f>
        <v>#NUM!</v>
      </c>
      <c r="AE32" t="e">
        <f ca="1">INDEX(M$65:INDIRECT("M"&amp;$C$61),$T32)</f>
        <v>#NUM!</v>
      </c>
      <c r="AF32" t="e">
        <f ca="1">INDEX(N$65:INDIRECT("N"&amp;$C$61),$T32)</f>
        <v>#NUM!</v>
      </c>
      <c r="AG32" t="e">
        <f ca="1">INDEX(O$65:INDIRECT("O"&amp;$C$61),$T32)</f>
        <v>#NUM!</v>
      </c>
      <c r="AH32" s="69">
        <v>1</v>
      </c>
      <c r="AI32" s="69" t="str">
        <f t="shared" si="2"/>
        <v>L</v>
      </c>
      <c r="AJ32" s="69" t="str">
        <f t="shared" si="2"/>
        <v>S</v>
      </c>
    </row>
    <row r="33" spans="1:52" x14ac:dyDescent="0.25">
      <c r="A33" s="74" t="s">
        <v>73</v>
      </c>
      <c r="B33" s="69" t="s">
        <v>33</v>
      </c>
      <c r="C33" s="74" t="e">
        <f ca="1">T6</f>
        <v>#NUM!</v>
      </c>
      <c r="D33" s="69" t="e">
        <f ca="1">INDEX(D$65:INDIRECT("D"&amp;$C$61),$C33)</f>
        <v>#NUM!</v>
      </c>
      <c r="E33" s="69" t="e">
        <f ca="1">INDEX(INDIRECT(("'MemberID'!$C$6:C"&amp;MemberID!$C$1)),MATCH(D33,INDIRECT(("'MemberID'!$G$6:G"&amp;MemberID!$C$1)),0))</f>
        <v>#NUM!</v>
      </c>
      <c r="F33" s="69" t="e">
        <f ca="1">INDEX(E$65:INDIRECT("E"&amp;$C$61),$C33)</f>
        <v>#NUM!</v>
      </c>
      <c r="G33" t="e">
        <f ca="1">INDEX(F$65:INDIRECT("F"&amp;$C$61),$C33)</f>
        <v>#NUM!</v>
      </c>
      <c r="H33" t="e">
        <f ca="1">INDEX(G$65:INDIRECT("G"&amp;$C$61),$C33)</f>
        <v>#NUM!</v>
      </c>
      <c r="I33" t="e">
        <f ca="1">INDEX(H$65:INDIRECT("H"&amp;$C$61),$C33)</f>
        <v>#NUM!</v>
      </c>
      <c r="J33" t="e">
        <f ca="1">INDEX(I$65:INDIRECT("I"&amp;$C$61),$C33)</f>
        <v>#NUM!</v>
      </c>
      <c r="K33" s="7" t="e">
        <f ca="1">INDEX(J$65:INDIRECT("J"&amp;$C$61),$C33)</f>
        <v>#NUM!</v>
      </c>
      <c r="L33" t="e">
        <f ca="1">INDEX(K$65:INDIRECT("K"&amp;$C$61),$C33)</f>
        <v>#NUM!</v>
      </c>
      <c r="M33" s="23" t="e">
        <f ca="1">INDEX(L$65:INDIRECT("L"&amp;$C$61),$C33)</f>
        <v>#NUM!</v>
      </c>
      <c r="N33" t="e">
        <f ca="1">INDEX(M$65:INDIRECT("M"&amp;$C$61),$C33)</f>
        <v>#NUM!</v>
      </c>
      <c r="O33" t="e">
        <f ca="1">INDEX(N$65:INDIRECT("N"&amp;$C$61),$C33)</f>
        <v>#NUM!</v>
      </c>
      <c r="P33" t="e">
        <f ca="1">INDEX(O$65:INDIRECT("O"&amp;$C$61),$C33)</f>
        <v>#NUM!</v>
      </c>
      <c r="Q33" s="104"/>
      <c r="R33" s="74" t="s">
        <v>73</v>
      </c>
      <c r="S33" s="69" t="s">
        <v>33</v>
      </c>
      <c r="T33" s="74" t="e">
        <f t="array" aca="1" ref="T33" ca="1">MATCH(IF(ISBLANK($AE$11),SMALL(IF($E$65:INDIRECT("E"&amp;$C$61)=$AE$10,INDIRECT(AJ33&amp;65):INDIRECT(AJ33&amp;$C$61)),$AH33),IF(ISBLANK($AE$10),SMALL(IF($D$65:INDIRECT("D"&amp;$C$61)=$AE$11,INDIRECT(AJ33&amp;65):INDIRECT(AJ33&amp;$C$61)),$AH33),SMALL(IF(($E$65:INDIRECT("E"&amp;$C$61)=$AE$10)*($D$65:INDIRECT("D"&amp;$C$61)=$AE$11),INDIRECT(AJ33&amp;65):INDIRECT(AJ33&amp;$C$61)),$AH33))),INDIRECT(AJ33&amp;65):INDIRECT(AJ33&amp;$C$61),0)</f>
        <v>#NUM!</v>
      </c>
      <c r="U33" s="69" t="e">
        <f ca="1">INDEX(D$65:INDIRECT("D"&amp;$C$61),$T33)</f>
        <v>#NUM!</v>
      </c>
      <c r="V33" s="69" t="e">
        <f ca="1">INDEX(INDIRECT(("'MemberID'!$C$6:C"&amp;MemberID!$C$1)),MATCH(U33,INDIRECT(("'MemberID'!$G$6:G"&amp;MemberID!$C$1)),0))</f>
        <v>#NUM!</v>
      </c>
      <c r="W33" s="69" t="e">
        <f ca="1">INDEX(E$65:INDIRECT("E"&amp;$C$61),$T33)</f>
        <v>#NUM!</v>
      </c>
      <c r="X33" t="e">
        <f ca="1">INDEX(F$65:INDIRECT("F"&amp;$C$61),$T33)</f>
        <v>#NUM!</v>
      </c>
      <c r="Y33" t="e">
        <f ca="1">INDEX(G$65:INDIRECT("G"&amp;$C$61),$T33)</f>
        <v>#NUM!</v>
      </c>
      <c r="Z33" t="e">
        <f ca="1">INDEX(H$65:INDIRECT("H"&amp;$C$61),$T33)</f>
        <v>#NUM!</v>
      </c>
      <c r="AA33" t="e">
        <f ca="1">INDEX(I$65:INDIRECT("I"&amp;$C$61),$T33)</f>
        <v>#NUM!</v>
      </c>
      <c r="AB33" t="e">
        <f ca="1">INDEX(J$65:INDIRECT("J"&amp;$C$61),$T33)</f>
        <v>#NUM!</v>
      </c>
      <c r="AC33" t="e">
        <f ca="1">INDEX(K$65:INDIRECT("K"&amp;$C$61),$T33)</f>
        <v>#NUM!</v>
      </c>
      <c r="AD33" s="23" t="e">
        <f t="array" aca="1" ref="AD33" ca="1">IF(ISBLANK($AE$11),SMALL(IF($E$65:INDIRECT("E"&amp;$C$61)=$AE$10,L$65:INDIRECT(AD$13&amp;$C$61)),$AH33),IF(ISBLANK($AE$10),SMALL(IF($D$65:INDIRECT("D"&amp;$C$61)=$AE$11,L$65:INDIRECT(AD$13&amp;$C$61)),$AH33),SMALL(IF(($E$65:INDIRECT("E"&amp;$C$61)=$AE$10)*($D$65:INDIRECT("D"&amp;$C$61)=$AE$11),L$65:INDIRECT(AD$13&amp;$C$61)),$AH33)))</f>
        <v>#NUM!</v>
      </c>
      <c r="AE33" t="e">
        <f ca="1">INDEX(M$65:INDIRECT("M"&amp;$C$61),$T33)</f>
        <v>#NUM!</v>
      </c>
      <c r="AF33" t="e">
        <f ca="1">INDEX(N$65:INDIRECT("N"&amp;$C$61),$T33)</f>
        <v>#NUM!</v>
      </c>
      <c r="AG33" t="e">
        <f ca="1">INDEX(O$65:INDIRECT("O"&amp;$C$61),$T33)</f>
        <v>#NUM!</v>
      </c>
      <c r="AH33" s="69">
        <v>2</v>
      </c>
      <c r="AI33" s="69" t="str">
        <f t="shared" si="2"/>
        <v>L</v>
      </c>
      <c r="AJ33" s="69" t="str">
        <f t="shared" si="2"/>
        <v>S</v>
      </c>
    </row>
    <row r="34" spans="1:52" x14ac:dyDescent="0.25">
      <c r="A34" s="74" t="s">
        <v>74</v>
      </c>
      <c r="B34" s="69" t="s">
        <v>33</v>
      </c>
      <c r="C34" s="74" t="e">
        <f ca="1">AB6</f>
        <v>#NUM!</v>
      </c>
      <c r="D34" s="69" t="e">
        <f ca="1">INDEX(D$65:INDIRECT("D"&amp;$C$61),$C34)</f>
        <v>#NUM!</v>
      </c>
      <c r="E34" s="69" t="e">
        <f ca="1">INDEX(INDIRECT(("'MemberID'!$C$6:C"&amp;MemberID!$C$1)),MATCH(D34,INDIRECT(("'MemberID'!$G$6:G"&amp;MemberID!$C$1)),0))</f>
        <v>#NUM!</v>
      </c>
      <c r="F34" s="69" t="e">
        <f ca="1">INDEX(E$65:INDIRECT("E"&amp;$C$61),$C34)</f>
        <v>#NUM!</v>
      </c>
      <c r="G34" t="e">
        <f ca="1">INDEX(F$65:INDIRECT("F"&amp;$C$61),$C34)</f>
        <v>#NUM!</v>
      </c>
      <c r="H34" t="e">
        <f ca="1">INDEX(G$65:INDIRECT("G"&amp;$C$61),$C34)</f>
        <v>#NUM!</v>
      </c>
      <c r="I34" t="e">
        <f ca="1">INDEX(H$65:INDIRECT("H"&amp;$C$61),$C34)</f>
        <v>#NUM!</v>
      </c>
      <c r="J34" t="e">
        <f ca="1">INDEX(I$65:INDIRECT("I"&amp;$C$61),$C34)</f>
        <v>#NUM!</v>
      </c>
      <c r="K34" s="7" t="e">
        <f ca="1">INDEX(J$65:INDIRECT("J"&amp;$C$61),$C34)</f>
        <v>#NUM!</v>
      </c>
      <c r="L34" t="e">
        <f ca="1">INDEX(K$65:INDIRECT("K"&amp;$C$61),$C34)</f>
        <v>#NUM!</v>
      </c>
      <c r="M34" s="23" t="e">
        <f ca="1">INDEX(L$65:INDIRECT("L"&amp;$C$61),$C34)</f>
        <v>#NUM!</v>
      </c>
      <c r="N34" t="e">
        <f ca="1">INDEX(M$65:INDIRECT("M"&amp;$C$61),$C34)</f>
        <v>#NUM!</v>
      </c>
      <c r="O34" t="e">
        <f ca="1">INDEX(N$65:INDIRECT("N"&amp;$C$61),$C34)</f>
        <v>#NUM!</v>
      </c>
      <c r="P34" t="e">
        <f ca="1">INDEX(O$65:INDIRECT("O"&amp;$C$61),$C34)</f>
        <v>#NUM!</v>
      </c>
      <c r="Q34" s="104"/>
      <c r="R34" s="74" t="s">
        <v>74</v>
      </c>
      <c r="S34" s="69" t="s">
        <v>33</v>
      </c>
      <c r="T34" s="74" t="e">
        <f t="array" aca="1" ref="T34" ca="1">MATCH(IF(ISBLANK($AE$11),SMALL(IF($E$65:INDIRECT("E"&amp;$C$61)=$AE$10,INDIRECT(AJ34&amp;65):INDIRECT(AJ34&amp;$C$61)),$AH34),IF(ISBLANK($AE$10),SMALL(IF($D$65:INDIRECT("D"&amp;$C$61)=$AE$11,INDIRECT(AJ34&amp;65):INDIRECT(AJ34&amp;$C$61)),$AH34),SMALL(IF(($E$65:INDIRECT("E"&amp;$C$61)=$AE$10)*($D$65:INDIRECT("D"&amp;$C$61)=$AE$11),INDIRECT(AJ34&amp;65):INDIRECT(AJ34&amp;$C$61)),$AH34))),INDIRECT(AJ34&amp;65):INDIRECT(AJ34&amp;$C$61),0)</f>
        <v>#NUM!</v>
      </c>
      <c r="U34" s="69" t="e">
        <f ca="1">INDEX(D$65:INDIRECT("D"&amp;$C$61),$T34)</f>
        <v>#NUM!</v>
      </c>
      <c r="V34" s="69" t="e">
        <f ca="1">INDEX(INDIRECT(("'MemberID'!$C$6:C"&amp;MemberID!$C$1)),MATCH(U34,INDIRECT(("'MemberID'!$G$6:G"&amp;MemberID!$C$1)),0))</f>
        <v>#NUM!</v>
      </c>
      <c r="W34" s="69" t="e">
        <f ca="1">INDEX(E$65:INDIRECT("E"&amp;$C$61),$T34)</f>
        <v>#NUM!</v>
      </c>
      <c r="X34" t="e">
        <f ca="1">INDEX(F$65:INDIRECT("F"&amp;$C$61),$T34)</f>
        <v>#NUM!</v>
      </c>
      <c r="Y34" t="e">
        <f ca="1">INDEX(G$65:INDIRECT("G"&amp;$C$61),$T34)</f>
        <v>#NUM!</v>
      </c>
      <c r="Z34" t="e">
        <f ca="1">INDEX(H$65:INDIRECT("H"&amp;$C$61),$T34)</f>
        <v>#NUM!</v>
      </c>
      <c r="AA34" t="e">
        <f ca="1">INDEX(I$65:INDIRECT("I"&amp;$C$61),$T34)</f>
        <v>#NUM!</v>
      </c>
      <c r="AB34" t="e">
        <f ca="1">INDEX(J$65:INDIRECT("J"&amp;$C$61),$T34)</f>
        <v>#NUM!</v>
      </c>
      <c r="AC34" t="e">
        <f ca="1">INDEX(K$65:INDIRECT("K"&amp;$C$61),$T34)</f>
        <v>#NUM!</v>
      </c>
      <c r="AD34" s="23" t="e">
        <f t="array" aca="1" ref="AD34" ca="1">IF(ISBLANK($AE$11),SMALL(IF($E$65:INDIRECT("E"&amp;$C$61)=$AE$10,L$65:INDIRECT(AD$13&amp;$C$61)),$AH34),IF(ISBLANK($AE$10),SMALL(IF($D$65:INDIRECT("D"&amp;$C$61)=$AE$11,L$65:INDIRECT(AD$13&amp;$C$61)),$AH34),SMALL(IF(($E$65:INDIRECT("E"&amp;$C$61)=$AE$10)*($D$65:INDIRECT("D"&amp;$C$61)=$AE$11),L$65:INDIRECT(AD$13&amp;$C$61)),$AH34)))</f>
        <v>#NUM!</v>
      </c>
      <c r="AE34" t="e">
        <f ca="1">INDEX(M$65:INDIRECT("M"&amp;$C$61),$T34)</f>
        <v>#NUM!</v>
      </c>
      <c r="AF34" t="e">
        <f ca="1">INDEX(N$65:INDIRECT("N"&amp;$C$61),$T34)</f>
        <v>#NUM!</v>
      </c>
      <c r="AG34" t="e">
        <f ca="1">INDEX(O$65:INDIRECT("O"&amp;$C$61),$T34)</f>
        <v>#NUM!</v>
      </c>
      <c r="AH34" s="69">
        <v>3</v>
      </c>
      <c r="AI34" s="69" t="str">
        <f t="shared" si="2"/>
        <v>L</v>
      </c>
      <c r="AJ34" s="69" t="str">
        <f t="shared" si="2"/>
        <v>S</v>
      </c>
    </row>
    <row r="35" spans="1:52" x14ac:dyDescent="0.25">
      <c r="A35" s="5"/>
      <c r="B35" s="69"/>
      <c r="C35" s="69"/>
      <c r="D35" s="69"/>
      <c r="E35" s="69"/>
      <c r="F35" s="69"/>
      <c r="K35" s="7"/>
      <c r="Q35" s="104"/>
      <c r="R35" s="5"/>
      <c r="S35" s="69"/>
      <c r="T35" s="69"/>
      <c r="V35" s="69"/>
      <c r="W35" s="69"/>
      <c r="AH35" s="69"/>
      <c r="AI35" s="69"/>
      <c r="AJ35" s="69"/>
    </row>
    <row r="36" spans="1:52" x14ac:dyDescent="0.25">
      <c r="A36" s="73" t="s">
        <v>69</v>
      </c>
      <c r="B36" s="69" t="s">
        <v>34</v>
      </c>
      <c r="C36" s="73" t="e">
        <f ca="1">M3</f>
        <v>#N/A</v>
      </c>
      <c r="D36" s="69" t="e">
        <f ca="1">INDEX(D$65:INDIRECT("D"&amp;$C$61),$C36)</f>
        <v>#N/A</v>
      </c>
      <c r="E36" s="69" t="e">
        <f ca="1">INDEX(INDIRECT(("'MemberID'!$C$6:C"&amp;MemberID!$C$1)),MATCH(D36,INDIRECT(("'MemberID'!$G$6:G"&amp;MemberID!$C$1)),0))</f>
        <v>#N/A</v>
      </c>
      <c r="F36" s="69" t="e">
        <f ca="1">INDEX(E$65:INDIRECT("E"&amp;$C$61),$C36)</f>
        <v>#N/A</v>
      </c>
      <c r="G36" t="e">
        <f ca="1">INDEX(F$65:INDIRECT("F"&amp;$C$61),$C36)</f>
        <v>#N/A</v>
      </c>
      <c r="H36" t="e">
        <f ca="1">INDEX(G$65:INDIRECT("G"&amp;$C$61),$C36)</f>
        <v>#N/A</v>
      </c>
      <c r="I36" t="e">
        <f ca="1">INDEX(H$65:INDIRECT("H"&amp;$C$61),$C36)</f>
        <v>#N/A</v>
      </c>
      <c r="J36" t="e">
        <f ca="1">INDEX(I$65:INDIRECT("I"&amp;$C$61),$C36)</f>
        <v>#N/A</v>
      </c>
      <c r="K36" s="7" t="e">
        <f ca="1">INDEX(J$65:INDIRECT("J"&amp;$C$61),$C36)</f>
        <v>#N/A</v>
      </c>
      <c r="L36" t="e">
        <f ca="1">INDEX(K$65:INDIRECT("K"&amp;$C$61),$C36)</f>
        <v>#N/A</v>
      </c>
      <c r="M36" t="e">
        <f ca="1">INDEX(L$65:INDIRECT("L"&amp;$C$61),$C36)</f>
        <v>#N/A</v>
      </c>
      <c r="N36" s="23" t="e">
        <f ca="1">INDEX(M$65:INDIRECT("M"&amp;$C$61),$C36)</f>
        <v>#N/A</v>
      </c>
      <c r="O36" t="e">
        <f ca="1">INDEX(N$65:INDIRECT("N"&amp;$C$61),$C36)</f>
        <v>#N/A</v>
      </c>
      <c r="P36" t="e">
        <f ca="1">INDEX(O$65:INDIRECT("O"&amp;$C$61),$C36)</f>
        <v>#N/A</v>
      </c>
      <c r="Q36" s="104"/>
      <c r="R36" s="73" t="s">
        <v>69</v>
      </c>
      <c r="S36" s="69" t="s">
        <v>34</v>
      </c>
      <c r="T36" s="73" t="e">
        <f t="array" aca="1" ref="T36" ca="1">MATCH(IF(ISBLANK($AE$11),LARGE(IF($E$65:INDIRECT("E"&amp;$C$61)=$AE$10,INDIRECT(AJ36&amp;65):INDIRECT(AJ36&amp;$C$61)),$AH36),IF(ISBLANK($AE$10),LARGE(IF($D$65:INDIRECT("D"&amp;$C$61)=$AE$11,INDIRECT(AJ36&amp;65):INDIRECT(AJ36&amp;$C$61)),$AH36),LARGE(IF(($E$65:INDIRECT("E"&amp;$C$61)=$AE$10)*($D$65:INDIRECT("D"&amp;$C$61)=$AE$11),INDIRECT(AJ36&amp;65):INDIRECT(AJ36&amp;$C$61)),$AH36))),INDIRECT(AJ36&amp;65):INDIRECT(AJ36&amp;$C$61),0)</f>
        <v>#NUM!</v>
      </c>
      <c r="U36" s="69" t="e">
        <f ca="1">INDEX(D$65:INDIRECT("D"&amp;$C$61),$T36)</f>
        <v>#NUM!</v>
      </c>
      <c r="V36" s="69" t="e">
        <f ca="1">INDEX(INDIRECT(("'MemberID'!$C$6:C"&amp;MemberID!$C$1)),MATCH(U36,INDIRECT(("'MemberID'!$G$6:G"&amp;MemberID!$C$1)),0))</f>
        <v>#NUM!</v>
      </c>
      <c r="W36" s="69" t="e">
        <f ca="1">INDEX(E$65:INDIRECT("E"&amp;$C$61),$T36)</f>
        <v>#NUM!</v>
      </c>
      <c r="X36" t="e">
        <f ca="1">INDEX(F$65:INDIRECT("F"&amp;$C$61),$T36)</f>
        <v>#NUM!</v>
      </c>
      <c r="Y36" t="e">
        <f ca="1">INDEX(G$65:INDIRECT("G"&amp;$C$61),$T36)</f>
        <v>#NUM!</v>
      </c>
      <c r="Z36" t="e">
        <f ca="1">INDEX(H$65:INDIRECT("H"&amp;$C$61),$T36)</f>
        <v>#NUM!</v>
      </c>
      <c r="AA36" t="e">
        <f ca="1">INDEX(I$65:INDIRECT("I"&amp;$C$61),$T36)</f>
        <v>#NUM!</v>
      </c>
      <c r="AB36" t="e">
        <f ca="1">INDEX(J$65:INDIRECT("J"&amp;$C$61),$T36)</f>
        <v>#NUM!</v>
      </c>
      <c r="AC36" t="e">
        <f ca="1">INDEX(K$65:INDIRECT("K"&amp;$C$61),$T36)</f>
        <v>#NUM!</v>
      </c>
      <c r="AD36" t="e">
        <f ca="1">INDEX(L$65:INDIRECT("L"&amp;$C$61),$T36)</f>
        <v>#NUM!</v>
      </c>
      <c r="AE36" s="23" t="e">
        <f t="array" aca="1" ref="AE36" ca="1">IF(ISBLANK($AE$11),LARGE(IF($E$65:INDIRECT("E"&amp;$C$61)=$AE$10,M$65:INDIRECT(AE$13&amp;$C$61)),$AH36),IF(ISBLANK($AE$10),LARGE(IF($D$65:INDIRECT("D"&amp;$C$61)=$AE$11,M$65:INDIRECT(AE$13&amp;$C$61)),$AH36),LARGE(IF(($E$65:INDIRECT("E"&amp;$C$61)=$AE$10)*($D$65:INDIRECT("D"&amp;$C$61)=$AE$11),M$65:INDIRECT(AE$13&amp;$C$61)),$AH36)))</f>
        <v>#NUM!</v>
      </c>
      <c r="AF36" t="e">
        <f ca="1">INDEX(N$65:INDIRECT("N"&amp;$C$61),$T36)</f>
        <v>#NUM!</v>
      </c>
      <c r="AG36" t="e">
        <f ca="1">INDEX(O$65:INDIRECT("O"&amp;$C$61),$T36)</f>
        <v>#NUM!</v>
      </c>
      <c r="AH36" s="69">
        <v>1</v>
      </c>
      <c r="AI36" s="69" t="s">
        <v>198</v>
      </c>
      <c r="AJ36" s="69" t="s">
        <v>195</v>
      </c>
    </row>
    <row r="37" spans="1:52" x14ac:dyDescent="0.25">
      <c r="A37" s="73" t="s">
        <v>70</v>
      </c>
      <c r="B37" s="69" t="s">
        <v>34</v>
      </c>
      <c r="C37" s="73" t="e">
        <f ca="1">U3</f>
        <v>#NUM!</v>
      </c>
      <c r="D37" s="69" t="e">
        <f ca="1">INDEX(D$65:INDIRECT("D"&amp;$C$61),$C37)</f>
        <v>#NUM!</v>
      </c>
      <c r="E37" s="69" t="e">
        <f ca="1">INDEX(INDIRECT(("'MemberID'!$C$6:C"&amp;MemberID!$C$1)),MATCH(D37,INDIRECT(("'MemberID'!$G$6:G"&amp;MemberID!$C$1)),0))</f>
        <v>#NUM!</v>
      </c>
      <c r="F37" s="69" t="e">
        <f ca="1">INDEX(E$65:INDIRECT("E"&amp;$C$61),$C37)</f>
        <v>#NUM!</v>
      </c>
      <c r="G37" t="e">
        <f ca="1">INDEX(F$65:INDIRECT("F"&amp;$C$61),$C37)</f>
        <v>#NUM!</v>
      </c>
      <c r="H37" t="e">
        <f ca="1">INDEX(G$65:INDIRECT("G"&amp;$C$61),$C37)</f>
        <v>#NUM!</v>
      </c>
      <c r="I37" t="e">
        <f ca="1">INDEX(H$65:INDIRECT("H"&amp;$C$61),$C37)</f>
        <v>#NUM!</v>
      </c>
      <c r="J37" t="e">
        <f ca="1">INDEX(I$65:INDIRECT("I"&amp;$C$61),$C37)</f>
        <v>#NUM!</v>
      </c>
      <c r="K37" s="7" t="e">
        <f ca="1">INDEX(J$65:INDIRECT("J"&amp;$C$61),$C37)</f>
        <v>#NUM!</v>
      </c>
      <c r="L37" t="e">
        <f ca="1">INDEX(K$65:INDIRECT("K"&amp;$C$61),$C37)</f>
        <v>#NUM!</v>
      </c>
      <c r="M37" t="e">
        <f ca="1">INDEX(L$65:INDIRECT("L"&amp;$C$61),$C37)</f>
        <v>#NUM!</v>
      </c>
      <c r="N37" s="23" t="e">
        <f ca="1">INDEX(M$65:INDIRECT("M"&amp;$C$61),$C37)</f>
        <v>#NUM!</v>
      </c>
      <c r="O37" t="e">
        <f ca="1">INDEX(N$65:INDIRECT("N"&amp;$C$61),$C37)</f>
        <v>#NUM!</v>
      </c>
      <c r="P37" t="e">
        <f ca="1">INDEX(O$65:INDIRECT("O"&amp;$C$61),$C37)</f>
        <v>#NUM!</v>
      </c>
      <c r="Q37" s="104"/>
      <c r="R37" s="73" t="s">
        <v>70</v>
      </c>
      <c r="S37" s="69" t="s">
        <v>34</v>
      </c>
      <c r="T37" s="73" t="e">
        <f t="array" aca="1" ref="T37" ca="1">MATCH(IF(ISBLANK($AE$11),LARGE(IF($E$65:INDIRECT("E"&amp;$C$61)=$AE$10,INDIRECT(AJ37&amp;65):INDIRECT(AJ37&amp;$C$61)),$AH37),IF(ISBLANK($AE$10),LARGE(IF($D$65:INDIRECT("D"&amp;$C$61)=$AE$11,INDIRECT(AJ37&amp;65):INDIRECT(AJ37&amp;$C$61)),$AH37),LARGE(IF(($E$65:INDIRECT("E"&amp;$C$61)=$AE$10)*($D$65:INDIRECT("D"&amp;$C$61)=$AE$11),INDIRECT(AJ37&amp;65):INDIRECT(AJ37&amp;$C$61)),$AH37))),INDIRECT(AJ37&amp;65):INDIRECT(AJ37&amp;$C$61),0)</f>
        <v>#NUM!</v>
      </c>
      <c r="U37" s="69" t="e">
        <f ca="1">INDEX(D$65:INDIRECT("D"&amp;$C$61),$T37)</f>
        <v>#NUM!</v>
      </c>
      <c r="V37" s="69" t="e">
        <f ca="1">INDEX(INDIRECT(("'MemberID'!$C$6:C"&amp;MemberID!$C$1)),MATCH(U37,INDIRECT(("'MemberID'!$G$6:G"&amp;MemberID!$C$1)),0))</f>
        <v>#NUM!</v>
      </c>
      <c r="W37" s="69" t="e">
        <f ca="1">INDEX(E$65:INDIRECT("E"&amp;$C$61),$T37)</f>
        <v>#NUM!</v>
      </c>
      <c r="X37" t="e">
        <f ca="1">INDEX(F$65:INDIRECT("F"&amp;$C$61),$T37)</f>
        <v>#NUM!</v>
      </c>
      <c r="Y37" t="e">
        <f ca="1">INDEX(G$65:INDIRECT("G"&amp;$C$61),$T37)</f>
        <v>#NUM!</v>
      </c>
      <c r="Z37" t="e">
        <f ca="1">INDEX(H$65:INDIRECT("H"&amp;$C$61),$T37)</f>
        <v>#NUM!</v>
      </c>
      <c r="AA37" t="e">
        <f ca="1">INDEX(I$65:INDIRECT("I"&amp;$C$61),$T37)</f>
        <v>#NUM!</v>
      </c>
      <c r="AB37" t="e">
        <f ca="1">INDEX(J$65:INDIRECT("J"&amp;$C$61),$T37)</f>
        <v>#NUM!</v>
      </c>
      <c r="AC37" t="e">
        <f ca="1">INDEX(K$65:INDIRECT("K"&amp;$C$61),$T37)</f>
        <v>#NUM!</v>
      </c>
      <c r="AD37" t="e">
        <f ca="1">INDEX(L$65:INDIRECT("L"&amp;$C$61),$T37)</f>
        <v>#NUM!</v>
      </c>
      <c r="AE37" s="23" t="e">
        <f t="array" aca="1" ref="AE37" ca="1">IF(ISBLANK($AE$11),LARGE(IF($E$65:INDIRECT("E"&amp;$C$61)=$AE$10,M$65:INDIRECT(AE$13&amp;$C$61)),$AH37),IF(ISBLANK($AE$10),LARGE(IF($D$65:INDIRECT("D"&amp;$C$61)=$AE$11,M$65:INDIRECT(AE$13&amp;$C$61)),$AH37),LARGE(IF(($E$65:INDIRECT("E"&amp;$C$61)=$AE$10)*($D$65:INDIRECT("D"&amp;$C$61)=$AE$11),M$65:INDIRECT(AE$13&amp;$C$61)),$AH37)))</f>
        <v>#NUM!</v>
      </c>
      <c r="AF37" t="e">
        <f ca="1">INDEX(N$65:INDIRECT("N"&amp;$C$61),$T37)</f>
        <v>#NUM!</v>
      </c>
      <c r="AG37" t="e">
        <f ca="1">INDEX(O$65:INDIRECT("O"&amp;$C$61),$T37)</f>
        <v>#NUM!</v>
      </c>
      <c r="AH37" s="69">
        <v>2</v>
      </c>
      <c r="AI37" s="69" t="str">
        <f>AI36</f>
        <v>M</v>
      </c>
      <c r="AJ37" s="69" t="str">
        <f>AJ36</f>
        <v>T</v>
      </c>
    </row>
    <row r="38" spans="1:52" x14ac:dyDescent="0.25">
      <c r="A38" s="73" t="s">
        <v>71</v>
      </c>
      <c r="B38" s="69" t="s">
        <v>34</v>
      </c>
      <c r="C38" s="73" t="e">
        <f ca="1">AC3</f>
        <v>#NUM!</v>
      </c>
      <c r="D38" s="69" t="e">
        <f ca="1">INDEX(D$65:INDIRECT("D"&amp;$C$61),$C38)</f>
        <v>#NUM!</v>
      </c>
      <c r="E38" s="69" t="e">
        <f ca="1">INDEX(INDIRECT(("'MemberID'!$C$6:C"&amp;MemberID!$C$1)),MATCH(D38,INDIRECT(("'MemberID'!$G$6:G"&amp;MemberID!$C$1)),0))</f>
        <v>#NUM!</v>
      </c>
      <c r="F38" s="69" t="e">
        <f ca="1">INDEX(E$65:INDIRECT("E"&amp;$C$61),$C38)</f>
        <v>#NUM!</v>
      </c>
      <c r="G38" t="e">
        <f ca="1">INDEX(F$65:INDIRECT("F"&amp;$C$61),$C38)</f>
        <v>#NUM!</v>
      </c>
      <c r="H38" t="e">
        <f ca="1">INDEX(G$65:INDIRECT("G"&amp;$C$61),$C38)</f>
        <v>#NUM!</v>
      </c>
      <c r="I38" t="e">
        <f ca="1">INDEX(H$65:INDIRECT("H"&amp;$C$61),$C38)</f>
        <v>#NUM!</v>
      </c>
      <c r="J38" t="e">
        <f ca="1">INDEX(I$65:INDIRECT("I"&amp;$C$61),$C38)</f>
        <v>#NUM!</v>
      </c>
      <c r="K38" s="7" t="e">
        <f ca="1">INDEX(J$65:INDIRECT("J"&amp;$C$61),$C38)</f>
        <v>#NUM!</v>
      </c>
      <c r="L38" t="e">
        <f ca="1">INDEX(K$65:INDIRECT("K"&amp;$C$61),$C38)</f>
        <v>#NUM!</v>
      </c>
      <c r="M38" t="e">
        <f ca="1">INDEX(L$65:INDIRECT("L"&amp;$C$61),$C38)</f>
        <v>#NUM!</v>
      </c>
      <c r="N38" s="23" t="e">
        <f ca="1">INDEX(M$65:INDIRECT("M"&amp;$C$61),$C38)</f>
        <v>#NUM!</v>
      </c>
      <c r="O38" t="e">
        <f ca="1">INDEX(N$65:INDIRECT("N"&amp;$C$61),$C38)</f>
        <v>#NUM!</v>
      </c>
      <c r="P38" t="e">
        <f ca="1">INDEX(O$65:INDIRECT("O"&amp;$C$61),$C38)</f>
        <v>#NUM!</v>
      </c>
      <c r="Q38" s="104"/>
      <c r="R38" s="73" t="s">
        <v>71</v>
      </c>
      <c r="S38" s="69" t="s">
        <v>34</v>
      </c>
      <c r="T38" s="73" t="e">
        <f t="array" aca="1" ref="T38" ca="1">MATCH(IF(ISBLANK($AE$11),LARGE(IF($E$65:INDIRECT("E"&amp;$C$61)=$AE$10,INDIRECT(AJ38&amp;65):INDIRECT(AJ38&amp;$C$61)),$AH38),IF(ISBLANK($AE$10),LARGE(IF($D$65:INDIRECT("D"&amp;$C$61)=$AE$11,INDIRECT(AJ38&amp;65):INDIRECT(AJ38&amp;$C$61)),$AH38),LARGE(IF(($E$65:INDIRECT("E"&amp;$C$61)=$AE$10)*($D$65:INDIRECT("D"&amp;$C$61)=$AE$11),INDIRECT(AJ38&amp;65):INDIRECT(AJ38&amp;$C$61)),$AH38))),INDIRECT(AJ38&amp;65):INDIRECT(AJ38&amp;$C$61),0)</f>
        <v>#NUM!</v>
      </c>
      <c r="U38" s="69" t="e">
        <f ca="1">INDEX(D$65:INDIRECT("D"&amp;$C$61),$T38)</f>
        <v>#NUM!</v>
      </c>
      <c r="V38" s="69" t="e">
        <f ca="1">INDEX(INDIRECT(("'MemberID'!$C$6:C"&amp;MemberID!$C$1)),MATCH(U38,INDIRECT(("'MemberID'!$G$6:G"&amp;MemberID!$C$1)),0))</f>
        <v>#NUM!</v>
      </c>
      <c r="W38" s="69" t="e">
        <f ca="1">INDEX(E$65:INDIRECT("E"&amp;$C$61),$T38)</f>
        <v>#NUM!</v>
      </c>
      <c r="X38" t="e">
        <f ca="1">INDEX(F$65:INDIRECT("F"&amp;$C$61),$T38)</f>
        <v>#NUM!</v>
      </c>
      <c r="Y38" t="e">
        <f ca="1">INDEX(G$65:INDIRECT("G"&amp;$C$61),$T38)</f>
        <v>#NUM!</v>
      </c>
      <c r="Z38" t="e">
        <f ca="1">INDEX(H$65:INDIRECT("H"&amp;$C$61),$T38)</f>
        <v>#NUM!</v>
      </c>
      <c r="AA38" t="e">
        <f ca="1">INDEX(I$65:INDIRECT("I"&amp;$C$61),$T38)</f>
        <v>#NUM!</v>
      </c>
      <c r="AB38" t="e">
        <f ca="1">INDEX(J$65:INDIRECT("J"&amp;$C$61),$T38)</f>
        <v>#NUM!</v>
      </c>
      <c r="AC38" t="e">
        <f ca="1">INDEX(K$65:INDIRECT("K"&amp;$C$61),$T38)</f>
        <v>#NUM!</v>
      </c>
      <c r="AD38" t="e">
        <f ca="1">INDEX(L$65:INDIRECT("L"&amp;$C$61),$T38)</f>
        <v>#NUM!</v>
      </c>
      <c r="AE38" s="23" t="e">
        <f t="array" aca="1" ref="AE38" ca="1">IF(ISBLANK($AE$11),LARGE(IF($E$65:INDIRECT("E"&amp;$C$61)=$AE$10,M$65:INDIRECT(AE$13&amp;$C$61)),$AH38),IF(ISBLANK($AE$10),LARGE(IF($D$65:INDIRECT("D"&amp;$C$61)=$AE$11,M$65:INDIRECT(AE$13&amp;$C$61)),$AH38),LARGE(IF(($E$65:INDIRECT("E"&amp;$C$61)=$AE$10)*($D$65:INDIRECT("D"&amp;$C$61)=$AE$11),M$65:INDIRECT(AE$13&amp;$C$61)),$AH38)))</f>
        <v>#NUM!</v>
      </c>
      <c r="AF38" t="e">
        <f ca="1">INDEX(N$65:INDIRECT("N"&amp;$C$61),$T38)</f>
        <v>#NUM!</v>
      </c>
      <c r="AG38" t="e">
        <f ca="1">INDEX(O$65:INDIRECT("O"&amp;$C$61),$T38)</f>
        <v>#NUM!</v>
      </c>
      <c r="AH38" s="69">
        <v>3</v>
      </c>
      <c r="AI38" s="69" t="str">
        <f t="shared" ref="AI38:AJ41" si="3">AI37</f>
        <v>M</v>
      </c>
      <c r="AJ38" s="69" t="str">
        <f t="shared" si="3"/>
        <v>T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74" t="s">
        <v>72</v>
      </c>
      <c r="B39" s="69" t="s">
        <v>34</v>
      </c>
      <c r="C39" s="74" t="e">
        <f ca="1">M6</f>
        <v>#N/A</v>
      </c>
      <c r="D39" s="69" t="e">
        <f ca="1">INDEX(D$65:INDIRECT("D"&amp;$C$61),$C39)</f>
        <v>#N/A</v>
      </c>
      <c r="E39" s="69" t="e">
        <f ca="1">INDEX(INDIRECT(("'MemberID'!$C$6:C"&amp;MemberID!$C$1)),MATCH(D39,INDIRECT(("'MemberID'!$G$6:G"&amp;MemberID!$C$1)),0))</f>
        <v>#N/A</v>
      </c>
      <c r="F39" s="69" t="e">
        <f ca="1">INDEX(E$65:INDIRECT("E"&amp;$C$61),$C39)</f>
        <v>#N/A</v>
      </c>
      <c r="G39" t="e">
        <f ca="1">INDEX(F$65:INDIRECT("F"&amp;$C$61),$C39)</f>
        <v>#N/A</v>
      </c>
      <c r="H39" t="e">
        <f ca="1">INDEX(G$65:INDIRECT("G"&amp;$C$61),$C39)</f>
        <v>#N/A</v>
      </c>
      <c r="I39" t="e">
        <f ca="1">INDEX(H$65:INDIRECT("H"&amp;$C$61),$C39)</f>
        <v>#N/A</v>
      </c>
      <c r="J39" t="e">
        <f ca="1">INDEX(I$65:INDIRECT("I"&amp;$C$61),$C39)</f>
        <v>#N/A</v>
      </c>
      <c r="K39" s="7" t="e">
        <f ca="1">INDEX(J$65:INDIRECT("J"&amp;$C$61),$C39)</f>
        <v>#N/A</v>
      </c>
      <c r="L39" t="e">
        <f ca="1">INDEX(K$65:INDIRECT("K"&amp;$C$61),$C39)</f>
        <v>#N/A</v>
      </c>
      <c r="M39" t="e">
        <f ca="1">INDEX(L$65:INDIRECT("L"&amp;$C$61),$C39)</f>
        <v>#N/A</v>
      </c>
      <c r="N39" s="23" t="e">
        <f ca="1">INDEX(M$65:INDIRECT("M"&amp;$C$61),$C39)</f>
        <v>#N/A</v>
      </c>
      <c r="O39" t="e">
        <f ca="1">INDEX(N$65:INDIRECT("N"&amp;$C$61),$C39)</f>
        <v>#N/A</v>
      </c>
      <c r="P39" t="e">
        <f ca="1">INDEX(O$65:INDIRECT("O"&amp;$C$61),$C39)</f>
        <v>#N/A</v>
      </c>
      <c r="Q39" s="104"/>
      <c r="R39" s="74" t="s">
        <v>72</v>
      </c>
      <c r="S39" s="69" t="s">
        <v>34</v>
      </c>
      <c r="T39" s="74" t="e">
        <f t="array" aca="1" ref="T39" ca="1">MATCH(IF(ISBLANK($AE$11),SMALL(IF($E$65:INDIRECT("E"&amp;$C$61)=$AE$10,INDIRECT(AJ39&amp;65):INDIRECT(AJ39&amp;$C$61)),$AH39),IF(ISBLANK($AE$10),SMALL(IF($D$65:INDIRECT("D"&amp;$C$61)=$AE$11,INDIRECT(AJ39&amp;65):INDIRECT(AJ39&amp;$C$61)),$AH39),SMALL(IF(($E$65:INDIRECT("E"&amp;$C$61)=$AE$10)*($D$65:INDIRECT("D"&amp;$C$61)=$AE$11),INDIRECT(AJ39&amp;65):INDIRECT(AJ39&amp;$C$61)),$AH39))),INDIRECT(AJ39&amp;65):INDIRECT(AJ39&amp;$C$61),0)</f>
        <v>#NUM!</v>
      </c>
      <c r="U39" s="69" t="e">
        <f ca="1">INDEX(D$65:INDIRECT("D"&amp;$C$61),$T39)</f>
        <v>#NUM!</v>
      </c>
      <c r="V39" s="69" t="e">
        <f ca="1">INDEX(INDIRECT(("'MemberID'!$C$6:C"&amp;MemberID!$C$1)),MATCH(U39,INDIRECT(("'MemberID'!$G$6:G"&amp;MemberID!$C$1)),0))</f>
        <v>#NUM!</v>
      </c>
      <c r="W39" s="69" t="e">
        <f ca="1">INDEX(E$65:INDIRECT("E"&amp;$C$61),$T39)</f>
        <v>#NUM!</v>
      </c>
      <c r="X39" t="e">
        <f ca="1">INDEX(F$65:INDIRECT("F"&amp;$C$61),$T39)</f>
        <v>#NUM!</v>
      </c>
      <c r="Y39" t="e">
        <f ca="1">INDEX(G$65:INDIRECT("G"&amp;$C$61),$T39)</f>
        <v>#NUM!</v>
      </c>
      <c r="Z39" t="e">
        <f ca="1">INDEX(H$65:INDIRECT("H"&amp;$C$61),$T39)</f>
        <v>#NUM!</v>
      </c>
      <c r="AA39" t="e">
        <f ca="1">INDEX(I$65:INDIRECT("I"&amp;$C$61),$T39)</f>
        <v>#NUM!</v>
      </c>
      <c r="AB39" t="e">
        <f ca="1">INDEX(J$65:INDIRECT("J"&amp;$C$61),$T39)</f>
        <v>#NUM!</v>
      </c>
      <c r="AC39" t="e">
        <f ca="1">INDEX(K$65:INDIRECT("K"&amp;$C$61),$T39)</f>
        <v>#NUM!</v>
      </c>
      <c r="AD39" t="e">
        <f ca="1">INDEX(L$65:INDIRECT("L"&amp;$C$61),$T39)</f>
        <v>#NUM!</v>
      </c>
      <c r="AE39" s="23" t="e">
        <f t="array" aca="1" ref="AE39" ca="1">IF(ISBLANK($AE$11),SMALL(IF($E$65:INDIRECT("E"&amp;$C$61)=$AE$10,M$65:INDIRECT(AE$13&amp;$C$61)),$AH39),IF(ISBLANK($AE$10),SMALL(IF($D$65:INDIRECT("D"&amp;$C$61)=$AE$11,M$65:INDIRECT(AE$13&amp;$C$61)),$AH39),SMALL(IF(($E$65:INDIRECT("E"&amp;$C$61)=$AE$10)*($D$65:INDIRECT("D"&amp;$C$61)=$AE$11),M$65:INDIRECT(AE$13&amp;$C$61)),$AH39)))</f>
        <v>#NUM!</v>
      </c>
      <c r="AF39" t="e">
        <f ca="1">INDEX(N$65:INDIRECT("N"&amp;$C$61),$T39)</f>
        <v>#NUM!</v>
      </c>
      <c r="AG39" t="e">
        <f ca="1">INDEX(O$65:INDIRECT("O"&amp;$C$61),$T39)</f>
        <v>#NUM!</v>
      </c>
      <c r="AH39" s="69">
        <v>1</v>
      </c>
      <c r="AI39" s="69" t="str">
        <f t="shared" si="3"/>
        <v>M</v>
      </c>
      <c r="AJ39" s="69" t="str">
        <f t="shared" si="3"/>
        <v>T</v>
      </c>
    </row>
    <row r="40" spans="1:52" x14ac:dyDescent="0.25">
      <c r="A40" s="74" t="s">
        <v>73</v>
      </c>
      <c r="B40" s="69" t="s">
        <v>34</v>
      </c>
      <c r="C40" s="74" t="e">
        <f ca="1">U6</f>
        <v>#NUM!</v>
      </c>
      <c r="D40" s="69" t="e">
        <f ca="1">INDEX(D$65:INDIRECT("D"&amp;$C$61),$C40)</f>
        <v>#NUM!</v>
      </c>
      <c r="E40" s="69" t="e">
        <f ca="1">INDEX(INDIRECT(("'MemberID'!$C$6:C"&amp;MemberID!$C$1)),MATCH(D40,INDIRECT(("'MemberID'!$G$6:G"&amp;MemberID!$C$1)),0))</f>
        <v>#NUM!</v>
      </c>
      <c r="F40" s="69" t="e">
        <f ca="1">INDEX(E$65:INDIRECT("E"&amp;$C$61),$C40)</f>
        <v>#NUM!</v>
      </c>
      <c r="G40" t="e">
        <f ca="1">INDEX(F$65:INDIRECT("F"&amp;$C$61),$C40)</f>
        <v>#NUM!</v>
      </c>
      <c r="H40" t="e">
        <f ca="1">INDEX(G$65:INDIRECT("G"&amp;$C$61),$C40)</f>
        <v>#NUM!</v>
      </c>
      <c r="I40" t="e">
        <f ca="1">INDEX(H$65:INDIRECT("H"&amp;$C$61),$C40)</f>
        <v>#NUM!</v>
      </c>
      <c r="J40" t="e">
        <f ca="1">INDEX(I$65:INDIRECT("I"&amp;$C$61),$C40)</f>
        <v>#NUM!</v>
      </c>
      <c r="K40" s="7" t="e">
        <f ca="1">INDEX(J$65:INDIRECT("J"&amp;$C$61),$C40)</f>
        <v>#NUM!</v>
      </c>
      <c r="L40" t="e">
        <f ca="1">INDEX(K$65:INDIRECT("K"&amp;$C$61),$C40)</f>
        <v>#NUM!</v>
      </c>
      <c r="M40" t="e">
        <f ca="1">INDEX(L$65:INDIRECT("L"&amp;$C$61),$C40)</f>
        <v>#NUM!</v>
      </c>
      <c r="N40" s="23" t="e">
        <f ca="1">INDEX(M$65:INDIRECT("M"&amp;$C$61),$C40)</f>
        <v>#NUM!</v>
      </c>
      <c r="O40" t="e">
        <f ca="1">INDEX(N$65:INDIRECT("N"&amp;$C$61),$C40)</f>
        <v>#NUM!</v>
      </c>
      <c r="P40" t="e">
        <f ca="1">INDEX(O$65:INDIRECT("O"&amp;$C$61),$C40)</f>
        <v>#NUM!</v>
      </c>
      <c r="Q40" s="104"/>
      <c r="R40" s="74" t="s">
        <v>73</v>
      </c>
      <c r="S40" s="69" t="s">
        <v>34</v>
      </c>
      <c r="T40" s="74" t="e">
        <f t="array" aca="1" ref="T40" ca="1">MATCH(IF(ISBLANK($AE$11),SMALL(IF($E$65:INDIRECT("E"&amp;$C$61)=$AE$10,INDIRECT(AJ40&amp;65):INDIRECT(AJ40&amp;$C$61)),$AH40),IF(ISBLANK($AE$10),SMALL(IF($D$65:INDIRECT("D"&amp;$C$61)=$AE$11,INDIRECT(AJ40&amp;65):INDIRECT(AJ40&amp;$C$61)),$AH40),SMALL(IF(($E$65:INDIRECT("E"&amp;$C$61)=$AE$10)*($D$65:INDIRECT("D"&amp;$C$61)=$AE$11),INDIRECT(AJ40&amp;65):INDIRECT(AJ40&amp;$C$61)),$AH40))),INDIRECT(AJ40&amp;65):INDIRECT(AJ40&amp;$C$61),0)</f>
        <v>#NUM!</v>
      </c>
      <c r="U40" s="69" t="e">
        <f ca="1">INDEX(D$65:INDIRECT("D"&amp;$C$61),$T40)</f>
        <v>#NUM!</v>
      </c>
      <c r="V40" s="69" t="e">
        <f ca="1">INDEX(INDIRECT(("'MemberID'!$C$6:C"&amp;MemberID!$C$1)),MATCH(U40,INDIRECT(("'MemberID'!$G$6:G"&amp;MemberID!$C$1)),0))</f>
        <v>#NUM!</v>
      </c>
      <c r="W40" s="69" t="e">
        <f ca="1">INDEX(E$65:INDIRECT("E"&amp;$C$61),$T40)</f>
        <v>#NUM!</v>
      </c>
      <c r="X40" t="e">
        <f ca="1">INDEX(F$65:INDIRECT("F"&amp;$C$61),$T40)</f>
        <v>#NUM!</v>
      </c>
      <c r="Y40" t="e">
        <f ca="1">INDEX(G$65:INDIRECT("G"&amp;$C$61),$T40)</f>
        <v>#NUM!</v>
      </c>
      <c r="Z40" t="e">
        <f ca="1">INDEX(H$65:INDIRECT("H"&amp;$C$61),$T40)</f>
        <v>#NUM!</v>
      </c>
      <c r="AA40" t="e">
        <f ca="1">INDEX(I$65:INDIRECT("I"&amp;$C$61),$T40)</f>
        <v>#NUM!</v>
      </c>
      <c r="AB40" t="e">
        <f ca="1">INDEX(J$65:INDIRECT("J"&amp;$C$61),$T40)</f>
        <v>#NUM!</v>
      </c>
      <c r="AC40" t="e">
        <f ca="1">INDEX(K$65:INDIRECT("K"&amp;$C$61),$T40)</f>
        <v>#NUM!</v>
      </c>
      <c r="AD40" t="e">
        <f ca="1">INDEX(L$65:INDIRECT("L"&amp;$C$61),$T40)</f>
        <v>#NUM!</v>
      </c>
      <c r="AE40" s="23" t="e">
        <f t="array" aca="1" ref="AE40" ca="1">IF(ISBLANK($AE$11),SMALL(IF($E$65:INDIRECT("E"&amp;$C$61)=$AE$10,M$65:INDIRECT(AE$13&amp;$C$61)),$AH40),IF(ISBLANK($AE$10),SMALL(IF($D$65:INDIRECT("D"&amp;$C$61)=$AE$11,M$65:INDIRECT(AE$13&amp;$C$61)),$AH40),SMALL(IF(($E$65:INDIRECT("E"&amp;$C$61)=$AE$10)*($D$65:INDIRECT("D"&amp;$C$61)=$AE$11),M$65:INDIRECT(AE$13&amp;$C$61)),$AH40)))</f>
        <v>#NUM!</v>
      </c>
      <c r="AF40" t="e">
        <f ca="1">INDEX(N$65:INDIRECT("N"&amp;$C$61),$T40)</f>
        <v>#NUM!</v>
      </c>
      <c r="AG40" t="e">
        <f ca="1">INDEX(O$65:INDIRECT("O"&amp;$C$61),$T40)</f>
        <v>#NUM!</v>
      </c>
      <c r="AH40" s="69">
        <v>2</v>
      </c>
      <c r="AI40" s="69" t="str">
        <f t="shared" si="3"/>
        <v>M</v>
      </c>
      <c r="AJ40" s="69" t="str">
        <f t="shared" si="3"/>
        <v>T</v>
      </c>
      <c r="AL40" s="86"/>
    </row>
    <row r="41" spans="1:52" x14ac:dyDescent="0.25">
      <c r="A41" s="74" t="s">
        <v>74</v>
      </c>
      <c r="B41" s="69" t="s">
        <v>34</v>
      </c>
      <c r="C41" s="74" t="e">
        <f ca="1">AC6</f>
        <v>#NUM!</v>
      </c>
      <c r="D41" s="69" t="e">
        <f ca="1">INDEX(D$65:INDIRECT("D"&amp;$C$61),$C41)</f>
        <v>#NUM!</v>
      </c>
      <c r="E41" s="69" t="e">
        <f ca="1">INDEX(INDIRECT(("'MemberID'!$C$6:C"&amp;MemberID!$C$1)),MATCH(D41,INDIRECT(("'MemberID'!$G$6:G"&amp;MemberID!$C$1)),0))</f>
        <v>#NUM!</v>
      </c>
      <c r="F41" s="69" t="e">
        <f ca="1">INDEX(E$65:INDIRECT("E"&amp;$C$61),$C41)</f>
        <v>#NUM!</v>
      </c>
      <c r="G41" t="e">
        <f ca="1">INDEX(F$65:INDIRECT("F"&amp;$C$61),$C41)</f>
        <v>#NUM!</v>
      </c>
      <c r="H41" t="e">
        <f ca="1">INDEX(G$65:INDIRECT("G"&amp;$C$61),$C41)</f>
        <v>#NUM!</v>
      </c>
      <c r="I41" t="e">
        <f ca="1">INDEX(H$65:INDIRECT("H"&amp;$C$61),$C41)</f>
        <v>#NUM!</v>
      </c>
      <c r="J41" t="e">
        <f ca="1">INDEX(I$65:INDIRECT("I"&amp;$C$61),$C41)</f>
        <v>#NUM!</v>
      </c>
      <c r="K41" s="7" t="e">
        <f ca="1">INDEX(J$65:INDIRECT("J"&amp;$C$61),$C41)</f>
        <v>#NUM!</v>
      </c>
      <c r="L41" t="e">
        <f ca="1">INDEX(K$65:INDIRECT("K"&amp;$C$61),$C41)</f>
        <v>#NUM!</v>
      </c>
      <c r="M41" t="e">
        <f ca="1">INDEX(L$65:INDIRECT("L"&amp;$C$61),$C41)</f>
        <v>#NUM!</v>
      </c>
      <c r="N41" s="23" t="e">
        <f ca="1">INDEX(M$65:INDIRECT("M"&amp;$C$61),$C41)</f>
        <v>#NUM!</v>
      </c>
      <c r="O41" t="e">
        <f ca="1">INDEX(N$65:INDIRECT("N"&amp;$C$61),$C41)</f>
        <v>#NUM!</v>
      </c>
      <c r="P41" t="e">
        <f ca="1">INDEX(O$65:INDIRECT("O"&amp;$C$61),$C41)</f>
        <v>#NUM!</v>
      </c>
      <c r="Q41" s="104"/>
      <c r="R41" s="74" t="s">
        <v>74</v>
      </c>
      <c r="S41" s="69" t="s">
        <v>34</v>
      </c>
      <c r="T41" s="74" t="e">
        <f t="array" aca="1" ref="T41" ca="1">MATCH(IF(ISBLANK($AE$11),SMALL(IF($E$65:INDIRECT("E"&amp;$C$61)=$AE$10,INDIRECT(AJ41&amp;65):INDIRECT(AJ41&amp;$C$61)),$AH41),IF(ISBLANK($AE$10),SMALL(IF($D$65:INDIRECT("D"&amp;$C$61)=$AE$11,INDIRECT(AJ41&amp;65):INDIRECT(AJ41&amp;$C$61)),$AH41),SMALL(IF(($E$65:INDIRECT("E"&amp;$C$61)=$AE$10)*($D$65:INDIRECT("D"&amp;$C$61)=$AE$11),INDIRECT(AJ41&amp;65):INDIRECT(AJ41&amp;$C$61)),$AH41))),INDIRECT(AJ41&amp;65):INDIRECT(AJ41&amp;$C$61),0)</f>
        <v>#NUM!</v>
      </c>
      <c r="U41" s="69" t="e">
        <f ca="1">INDEX(D$65:INDIRECT("D"&amp;$C$61),$T41)</f>
        <v>#NUM!</v>
      </c>
      <c r="V41" s="69" t="e">
        <f ca="1">INDEX(INDIRECT(("'MemberID'!$C$6:C"&amp;MemberID!$C$1)),MATCH(U41,INDIRECT(("'MemberID'!$G$6:G"&amp;MemberID!$C$1)),0))</f>
        <v>#NUM!</v>
      </c>
      <c r="W41" s="69" t="e">
        <f ca="1">INDEX(E$65:INDIRECT("E"&amp;$C$61),$T41)</f>
        <v>#NUM!</v>
      </c>
      <c r="X41" t="e">
        <f ca="1">INDEX(F$65:INDIRECT("F"&amp;$C$61),$T41)</f>
        <v>#NUM!</v>
      </c>
      <c r="Y41" t="e">
        <f ca="1">INDEX(G$65:INDIRECT("G"&amp;$C$61),$T41)</f>
        <v>#NUM!</v>
      </c>
      <c r="Z41" t="e">
        <f ca="1">INDEX(H$65:INDIRECT("H"&amp;$C$61),$T41)</f>
        <v>#NUM!</v>
      </c>
      <c r="AA41" t="e">
        <f ca="1">INDEX(I$65:INDIRECT("I"&amp;$C$61),$T41)</f>
        <v>#NUM!</v>
      </c>
      <c r="AB41" t="e">
        <f ca="1">INDEX(J$65:INDIRECT("J"&amp;$C$61),$T41)</f>
        <v>#NUM!</v>
      </c>
      <c r="AC41" t="e">
        <f ca="1">INDEX(K$65:INDIRECT("K"&amp;$C$61),$T41)</f>
        <v>#NUM!</v>
      </c>
      <c r="AD41" t="e">
        <f ca="1">INDEX(L$65:INDIRECT("L"&amp;$C$61),$T41)</f>
        <v>#NUM!</v>
      </c>
      <c r="AE41" s="23" t="e">
        <f t="array" aca="1" ref="AE41" ca="1">IF(ISBLANK($AE$11),SMALL(IF($E$65:INDIRECT("E"&amp;$C$61)=$AE$10,M$65:INDIRECT(AE$13&amp;$C$61)),$AH41),IF(ISBLANK($AE$10),SMALL(IF($D$65:INDIRECT("D"&amp;$C$61)=$AE$11,M$65:INDIRECT(AE$13&amp;$C$61)),$AH41),SMALL(IF(($E$65:INDIRECT("E"&amp;$C$61)=$AE$10)*($D$65:INDIRECT("D"&amp;$C$61)=$AE$11),M$65:INDIRECT(AE$13&amp;$C$61)),$AH41)))</f>
        <v>#NUM!</v>
      </c>
      <c r="AF41" t="e">
        <f ca="1">INDEX(N$65:INDIRECT("N"&amp;$C$61),$T41)</f>
        <v>#NUM!</v>
      </c>
      <c r="AG41" t="e">
        <f ca="1">INDEX(O$65:INDIRECT("O"&amp;$C$61),$T41)</f>
        <v>#NUM!</v>
      </c>
      <c r="AH41" s="69">
        <v>3</v>
      </c>
      <c r="AI41" s="69" t="str">
        <f t="shared" si="3"/>
        <v>M</v>
      </c>
      <c r="AJ41" s="69" t="str">
        <f t="shared" si="3"/>
        <v>T</v>
      </c>
    </row>
    <row r="42" spans="1:52" x14ac:dyDescent="0.25">
      <c r="A42" s="5"/>
      <c r="B42" s="69"/>
      <c r="C42" s="69"/>
      <c r="D42" s="69"/>
      <c r="E42" s="69"/>
      <c r="F42" s="69"/>
      <c r="K42" s="7"/>
      <c r="Q42" s="104"/>
      <c r="R42" s="5"/>
      <c r="S42" s="69"/>
      <c r="T42" s="69"/>
      <c r="V42" s="69"/>
      <c r="W42" s="69"/>
      <c r="AH42" s="69"/>
      <c r="AI42" s="69"/>
      <c r="AJ42" s="69"/>
    </row>
    <row r="43" spans="1:52" x14ac:dyDescent="0.25">
      <c r="A43" s="73" t="s">
        <v>69</v>
      </c>
      <c r="B43" s="69" t="s">
        <v>35</v>
      </c>
      <c r="C43" s="73" t="e">
        <f ca="1">N3</f>
        <v>#N/A</v>
      </c>
      <c r="D43" s="69" t="e">
        <f ca="1">INDEX(D$65:INDIRECT("D"&amp;$C$61),$C43)</f>
        <v>#N/A</v>
      </c>
      <c r="E43" s="69" t="e">
        <f ca="1">INDEX(INDIRECT(("'MemberID'!$C$6:C"&amp;MemberID!$C$1)),MATCH(D43,INDIRECT(("'MemberID'!$G$6:G"&amp;MemberID!$C$1)),0))</f>
        <v>#N/A</v>
      </c>
      <c r="F43" s="69" t="e">
        <f ca="1">INDEX(E$65:INDIRECT("E"&amp;$C$61),$C43)</f>
        <v>#N/A</v>
      </c>
      <c r="G43" t="e">
        <f ca="1">INDEX(F$65:INDIRECT("F"&amp;$C$61),$C43)</f>
        <v>#N/A</v>
      </c>
      <c r="H43" t="e">
        <f ca="1">INDEX(G$65:INDIRECT("G"&amp;$C$61),$C43)</f>
        <v>#N/A</v>
      </c>
      <c r="I43" t="e">
        <f ca="1">INDEX(H$65:INDIRECT("H"&amp;$C$61),$C43)</f>
        <v>#N/A</v>
      </c>
      <c r="J43" t="e">
        <f ca="1">INDEX(I$65:INDIRECT("I"&amp;$C$61),$C43)</f>
        <v>#N/A</v>
      </c>
      <c r="K43" s="7" t="e">
        <f ca="1">INDEX(J$65:INDIRECT("J"&amp;$C$61),$C43)</f>
        <v>#N/A</v>
      </c>
      <c r="L43" t="e">
        <f ca="1">INDEX(K$65:INDIRECT("K"&amp;$C$61),$C43)</f>
        <v>#N/A</v>
      </c>
      <c r="M43" t="e">
        <f ca="1">INDEX(L$65:INDIRECT("L"&amp;$C$61),$C43)</f>
        <v>#N/A</v>
      </c>
      <c r="N43" t="e">
        <f ca="1">INDEX(M$65:INDIRECT("M"&amp;$C$61),$C43)</f>
        <v>#N/A</v>
      </c>
      <c r="O43" s="23" t="e">
        <f ca="1">INDEX(N$65:INDIRECT("N"&amp;$C$61),$C43)</f>
        <v>#N/A</v>
      </c>
      <c r="P43" t="e">
        <f ca="1">INDEX(O$65:INDIRECT("O"&amp;$C$61),$C43)</f>
        <v>#N/A</v>
      </c>
      <c r="Q43" s="104"/>
      <c r="R43" s="73" t="s">
        <v>69</v>
      </c>
      <c r="S43" s="69" t="s">
        <v>35</v>
      </c>
      <c r="T43" s="73" t="e">
        <f t="array" aca="1" ref="T43" ca="1">MATCH(IF(ISBLANK($AE$11),LARGE(IF($E$65:INDIRECT("E"&amp;$C$61)=$AE$10,INDIRECT(AJ43&amp;65):INDIRECT(AJ43&amp;$C$61)),$AH43),IF(ISBLANK($AE$10),LARGE(IF($D$65:INDIRECT("D"&amp;$C$61)=$AE$11,INDIRECT(AJ43&amp;65):INDIRECT(AJ43&amp;$C$61)),$AH43),LARGE(IF(($E$65:INDIRECT("E"&amp;$C$61)=$AE$10)*($D$65:INDIRECT("D"&amp;$C$61)=$AE$11),INDIRECT(AJ43&amp;65):INDIRECT(AJ43&amp;$C$61)),$AH43))),INDIRECT(AJ43&amp;65):INDIRECT(AJ43&amp;$C$61),0)</f>
        <v>#NUM!</v>
      </c>
      <c r="U43" s="69" t="e">
        <f ca="1">INDEX(D$65:INDIRECT("D"&amp;$C$61),$T43)</f>
        <v>#NUM!</v>
      </c>
      <c r="V43" s="69" t="e">
        <f ca="1">INDEX(INDIRECT(("'MemberID'!$C$6:C"&amp;MemberID!$C$1)),MATCH(U43,INDIRECT(("'MemberID'!$G$6:G"&amp;MemberID!$C$1)),0))</f>
        <v>#NUM!</v>
      </c>
      <c r="W43" s="69" t="e">
        <f ca="1">INDEX(E$65:INDIRECT("E"&amp;$C$61),$T43)</f>
        <v>#NUM!</v>
      </c>
      <c r="X43" t="e">
        <f ca="1">INDEX(F$65:INDIRECT("F"&amp;$C$61),$T43)</f>
        <v>#NUM!</v>
      </c>
      <c r="Y43" t="e">
        <f ca="1">INDEX(G$65:INDIRECT("G"&amp;$C$61),$T43)</f>
        <v>#NUM!</v>
      </c>
      <c r="Z43" t="e">
        <f ca="1">INDEX(H$65:INDIRECT("H"&amp;$C$61),$T43)</f>
        <v>#NUM!</v>
      </c>
      <c r="AA43" t="e">
        <f ca="1">INDEX(I$65:INDIRECT("I"&amp;$C$61),$T43)</f>
        <v>#NUM!</v>
      </c>
      <c r="AB43" t="e">
        <f ca="1">INDEX(J$65:INDIRECT("J"&amp;$C$61),$T43)</f>
        <v>#NUM!</v>
      </c>
      <c r="AC43" t="e">
        <f ca="1">INDEX(K$65:INDIRECT("K"&amp;$C$61),$T43)</f>
        <v>#NUM!</v>
      </c>
      <c r="AD43" t="e">
        <f ca="1">INDEX(L$65:INDIRECT("L"&amp;$C$61),$T43)</f>
        <v>#NUM!</v>
      </c>
      <c r="AE43" t="e">
        <f ca="1">INDEX(M$65:INDIRECT("M"&amp;$C$61),$T43)</f>
        <v>#NUM!</v>
      </c>
      <c r="AF43" s="23" t="e">
        <f t="array" aca="1" ref="AF43" ca="1">IF(ISBLANK($AE$11),LARGE(IF($E$65:INDIRECT("E"&amp;$C$61)=$AE$10,N$65:INDIRECT(AF$13&amp;$C$61)),$AH43),IF(ISBLANK($AE$10),LARGE(IF($D$65:INDIRECT("D"&amp;$C$61)=$AE$11,N$65:INDIRECT(AF$13&amp;$C$61)),$AH43),LARGE(IF(($E$65:INDIRECT("E"&amp;$C$61)=$AE$10)*($D$65:INDIRECT("D"&amp;$C$61)=$AE$11),N$65:INDIRECT(AF$13&amp;$C$61)),$AH43)))</f>
        <v>#NUM!</v>
      </c>
      <c r="AG43" t="e">
        <f ca="1">INDEX(O$65:INDIRECT("O"&amp;$C$61),$T43)</f>
        <v>#NUM!</v>
      </c>
      <c r="AH43" s="69">
        <v>1</v>
      </c>
      <c r="AI43" s="69" t="s">
        <v>154</v>
      </c>
      <c r="AJ43" s="69" t="s">
        <v>196</v>
      </c>
    </row>
    <row r="44" spans="1:52" x14ac:dyDescent="0.25">
      <c r="A44" s="73" t="s">
        <v>70</v>
      </c>
      <c r="B44" s="69" t="s">
        <v>35</v>
      </c>
      <c r="C44" s="73" t="e">
        <f ca="1">V3</f>
        <v>#NUM!</v>
      </c>
      <c r="D44" s="69" t="e">
        <f ca="1">INDEX(D$65:INDIRECT("D"&amp;$C$61),$C44)</f>
        <v>#NUM!</v>
      </c>
      <c r="E44" s="69" t="e">
        <f ca="1">INDEX(INDIRECT(("'MemberID'!$C$6:C"&amp;MemberID!$C$1)),MATCH(D44,INDIRECT(("'MemberID'!$G$6:G"&amp;MemberID!$C$1)),0))</f>
        <v>#NUM!</v>
      </c>
      <c r="F44" s="69" t="e">
        <f ca="1">INDEX(E$65:INDIRECT("E"&amp;$C$61),$C44)</f>
        <v>#NUM!</v>
      </c>
      <c r="G44" t="e">
        <f ca="1">INDEX(F$65:INDIRECT("F"&amp;$C$61),$C44)</f>
        <v>#NUM!</v>
      </c>
      <c r="H44" t="e">
        <f ca="1">INDEX(G$65:INDIRECT("G"&amp;$C$61),$C44)</f>
        <v>#NUM!</v>
      </c>
      <c r="I44" t="e">
        <f ca="1">INDEX(H$65:INDIRECT("H"&amp;$C$61),$C44)</f>
        <v>#NUM!</v>
      </c>
      <c r="J44" t="e">
        <f ca="1">INDEX(I$65:INDIRECT("I"&amp;$C$61),$C44)</f>
        <v>#NUM!</v>
      </c>
      <c r="K44" s="7" t="e">
        <f ca="1">INDEX(J$65:INDIRECT("J"&amp;$C$61),$C44)</f>
        <v>#NUM!</v>
      </c>
      <c r="L44" t="e">
        <f ca="1">INDEX(K$65:INDIRECT("K"&amp;$C$61),$C44)</f>
        <v>#NUM!</v>
      </c>
      <c r="M44" t="e">
        <f ca="1">INDEX(L$65:INDIRECT("L"&amp;$C$61),$C44)</f>
        <v>#NUM!</v>
      </c>
      <c r="N44" t="e">
        <f ca="1">INDEX(M$65:INDIRECT("M"&amp;$C$61),$C44)</f>
        <v>#NUM!</v>
      </c>
      <c r="O44" s="23" t="e">
        <f ca="1">INDEX(N$65:INDIRECT("N"&amp;$C$61),$C44)</f>
        <v>#NUM!</v>
      </c>
      <c r="P44" t="e">
        <f ca="1">INDEX(O$65:INDIRECT("O"&amp;$C$61),$C44)</f>
        <v>#NUM!</v>
      </c>
      <c r="Q44" s="104"/>
      <c r="R44" s="73" t="s">
        <v>70</v>
      </c>
      <c r="S44" s="69" t="s">
        <v>35</v>
      </c>
      <c r="T44" s="73" t="e">
        <f t="array" aca="1" ref="T44" ca="1">MATCH(IF(ISBLANK($AE$11),LARGE(IF($E$65:INDIRECT("E"&amp;$C$61)=$AE$10,INDIRECT(AJ44&amp;65):INDIRECT(AJ44&amp;$C$61)),$AH44),IF(ISBLANK($AE$10),LARGE(IF($D$65:INDIRECT("D"&amp;$C$61)=$AE$11,INDIRECT(AJ44&amp;65):INDIRECT(AJ44&amp;$C$61)),$AH44),LARGE(IF(($E$65:INDIRECT("E"&amp;$C$61)=$AE$10)*($D$65:INDIRECT("D"&amp;$C$61)=$AE$11),INDIRECT(AJ44&amp;65):INDIRECT(AJ44&amp;$C$61)),$AH44))),INDIRECT(AJ44&amp;65):INDIRECT(AJ44&amp;$C$61),0)</f>
        <v>#NUM!</v>
      </c>
      <c r="U44" s="69" t="e">
        <f ca="1">INDEX(D$65:INDIRECT("D"&amp;$C$61),$T44)</f>
        <v>#NUM!</v>
      </c>
      <c r="V44" s="69" t="e">
        <f ca="1">INDEX(INDIRECT(("'MemberID'!$C$6:C"&amp;MemberID!$C$1)),MATCH(U44,INDIRECT(("'MemberID'!$G$6:G"&amp;MemberID!$C$1)),0))</f>
        <v>#NUM!</v>
      </c>
      <c r="W44" s="69" t="e">
        <f ca="1">INDEX(E$65:INDIRECT("E"&amp;$C$61),$T44)</f>
        <v>#NUM!</v>
      </c>
      <c r="X44" t="e">
        <f ca="1">INDEX(F$65:INDIRECT("F"&amp;$C$61),$T44)</f>
        <v>#NUM!</v>
      </c>
      <c r="Y44" t="e">
        <f ca="1">INDEX(G$65:INDIRECT("G"&amp;$C$61),$T44)</f>
        <v>#NUM!</v>
      </c>
      <c r="Z44" t="e">
        <f ca="1">INDEX(H$65:INDIRECT("H"&amp;$C$61),$T44)</f>
        <v>#NUM!</v>
      </c>
      <c r="AA44" t="e">
        <f ca="1">INDEX(I$65:INDIRECT("I"&amp;$C$61),$T44)</f>
        <v>#NUM!</v>
      </c>
      <c r="AB44" t="e">
        <f ca="1">INDEX(J$65:INDIRECT("J"&amp;$C$61),$T44)</f>
        <v>#NUM!</v>
      </c>
      <c r="AC44" t="e">
        <f ca="1">INDEX(K$65:INDIRECT("K"&amp;$C$61),$T44)</f>
        <v>#NUM!</v>
      </c>
      <c r="AD44" t="e">
        <f ca="1">INDEX(L$65:INDIRECT("L"&amp;$C$61),$T44)</f>
        <v>#NUM!</v>
      </c>
      <c r="AE44" t="e">
        <f ca="1">INDEX(M$65:INDIRECT("M"&amp;$C$61),$T44)</f>
        <v>#NUM!</v>
      </c>
      <c r="AF44" s="23" t="e">
        <f t="array" aca="1" ref="AF44" ca="1">IF(ISBLANK($AE$11),LARGE(IF($E$65:INDIRECT("E"&amp;$C$61)=$AE$10,N$65:INDIRECT(AF$13&amp;$C$61)),$AH44),IF(ISBLANK($AE$10),LARGE(IF($D$65:INDIRECT("D"&amp;$C$61)=$AE$11,N$65:INDIRECT(AF$13&amp;$C$61)),$AH44),LARGE(IF(($E$65:INDIRECT("E"&amp;$C$61)=$AE$10)*($D$65:INDIRECT("D"&amp;$C$61)=$AE$11),N$65:INDIRECT(AF$13&amp;$C$61)),$AH44)))</f>
        <v>#NUM!</v>
      </c>
      <c r="AG44" t="e">
        <f ca="1">INDEX(O$65:INDIRECT("O"&amp;$C$61),$T44)</f>
        <v>#NUM!</v>
      </c>
      <c r="AH44" s="69">
        <v>2</v>
      </c>
      <c r="AI44" s="69" t="str">
        <f>AI43</f>
        <v>N</v>
      </c>
      <c r="AJ44" s="69" t="str">
        <f>AJ43</f>
        <v>U</v>
      </c>
    </row>
    <row r="45" spans="1:52" x14ac:dyDescent="0.25">
      <c r="A45" s="73" t="s">
        <v>71</v>
      </c>
      <c r="B45" s="69" t="s">
        <v>35</v>
      </c>
      <c r="C45" s="73" t="e">
        <f ca="1">AD3</f>
        <v>#NUM!</v>
      </c>
      <c r="D45" s="69" t="e">
        <f ca="1">INDEX(D$65:INDIRECT("D"&amp;$C$61),$C45)</f>
        <v>#NUM!</v>
      </c>
      <c r="E45" s="69" t="e">
        <f ca="1">INDEX(INDIRECT(("'MemberID'!$C$6:C"&amp;MemberID!$C$1)),MATCH(D45,INDIRECT(("'MemberID'!$G$6:G"&amp;MemberID!$C$1)),0))</f>
        <v>#NUM!</v>
      </c>
      <c r="F45" s="69" t="e">
        <f ca="1">INDEX(E$65:INDIRECT("E"&amp;$C$61),$C45)</f>
        <v>#NUM!</v>
      </c>
      <c r="G45" t="e">
        <f ca="1">INDEX(F$65:INDIRECT("F"&amp;$C$61),$C45)</f>
        <v>#NUM!</v>
      </c>
      <c r="H45" t="e">
        <f ca="1">INDEX(G$65:INDIRECT("G"&amp;$C$61),$C45)</f>
        <v>#NUM!</v>
      </c>
      <c r="I45" t="e">
        <f ca="1">INDEX(H$65:INDIRECT("H"&amp;$C$61),$C45)</f>
        <v>#NUM!</v>
      </c>
      <c r="J45" t="e">
        <f ca="1">INDEX(I$65:INDIRECT("I"&amp;$C$61),$C45)</f>
        <v>#NUM!</v>
      </c>
      <c r="K45" s="7" t="e">
        <f ca="1">INDEX(J$65:INDIRECT("J"&amp;$C$61),$C45)</f>
        <v>#NUM!</v>
      </c>
      <c r="L45" t="e">
        <f ca="1">INDEX(K$65:INDIRECT("K"&amp;$C$61),$C45)</f>
        <v>#NUM!</v>
      </c>
      <c r="M45" t="e">
        <f ca="1">INDEX(L$65:INDIRECT("L"&amp;$C$61),$C45)</f>
        <v>#NUM!</v>
      </c>
      <c r="N45" t="e">
        <f ca="1">INDEX(M$65:INDIRECT("M"&amp;$C$61),$C45)</f>
        <v>#NUM!</v>
      </c>
      <c r="O45" s="23" t="e">
        <f ca="1">INDEX(N$65:INDIRECT("N"&amp;$C$61),$C45)</f>
        <v>#NUM!</v>
      </c>
      <c r="P45" t="e">
        <f ca="1">INDEX(O$65:INDIRECT("O"&amp;$C$61),$C45)</f>
        <v>#NUM!</v>
      </c>
      <c r="Q45" s="104"/>
      <c r="R45" s="73" t="s">
        <v>71</v>
      </c>
      <c r="S45" s="69" t="s">
        <v>35</v>
      </c>
      <c r="T45" s="73" t="e">
        <f t="array" aca="1" ref="T45" ca="1">MATCH(IF(ISBLANK($AE$11),LARGE(IF($E$65:INDIRECT("E"&amp;$C$61)=$AE$10,INDIRECT(AJ45&amp;65):INDIRECT(AJ45&amp;$C$61)),$AH45),IF(ISBLANK($AE$10),LARGE(IF($D$65:INDIRECT("D"&amp;$C$61)=$AE$11,INDIRECT(AJ45&amp;65):INDIRECT(AJ45&amp;$C$61)),$AH45),LARGE(IF(($E$65:INDIRECT("E"&amp;$C$61)=$AE$10)*($D$65:INDIRECT("D"&amp;$C$61)=$AE$11),INDIRECT(AJ45&amp;65):INDIRECT(AJ45&amp;$C$61)),$AH45))),INDIRECT(AJ45&amp;65):INDIRECT(AJ45&amp;$C$61),0)</f>
        <v>#NUM!</v>
      </c>
      <c r="U45" s="69" t="e">
        <f ca="1">INDEX(D$65:INDIRECT("D"&amp;$C$61),$T45)</f>
        <v>#NUM!</v>
      </c>
      <c r="V45" s="69" t="e">
        <f ca="1">INDEX(INDIRECT(("'MemberID'!$C$6:C"&amp;MemberID!$C$1)),MATCH(U45,INDIRECT(("'MemberID'!$G$6:G"&amp;MemberID!$C$1)),0))</f>
        <v>#NUM!</v>
      </c>
      <c r="W45" s="69" t="e">
        <f ca="1">INDEX(E$65:INDIRECT("E"&amp;$C$61),$T45)</f>
        <v>#NUM!</v>
      </c>
      <c r="X45" t="e">
        <f ca="1">INDEX(F$65:INDIRECT("F"&amp;$C$61),$T45)</f>
        <v>#NUM!</v>
      </c>
      <c r="Y45" t="e">
        <f ca="1">INDEX(G$65:INDIRECT("G"&amp;$C$61),$T45)</f>
        <v>#NUM!</v>
      </c>
      <c r="Z45" t="e">
        <f ca="1">INDEX(H$65:INDIRECT("H"&amp;$C$61),$T45)</f>
        <v>#NUM!</v>
      </c>
      <c r="AA45" t="e">
        <f ca="1">INDEX(I$65:INDIRECT("I"&amp;$C$61),$T45)</f>
        <v>#NUM!</v>
      </c>
      <c r="AB45" t="e">
        <f ca="1">INDEX(J$65:INDIRECT("J"&amp;$C$61),$T45)</f>
        <v>#NUM!</v>
      </c>
      <c r="AC45" t="e">
        <f ca="1">INDEX(K$65:INDIRECT("K"&amp;$C$61),$T45)</f>
        <v>#NUM!</v>
      </c>
      <c r="AD45" t="e">
        <f ca="1">INDEX(L$65:INDIRECT("L"&amp;$C$61),$T45)</f>
        <v>#NUM!</v>
      </c>
      <c r="AE45" t="e">
        <f ca="1">INDEX(M$65:INDIRECT("M"&amp;$C$61),$T45)</f>
        <v>#NUM!</v>
      </c>
      <c r="AF45" s="23" t="e">
        <f t="array" aca="1" ref="AF45" ca="1">IF(ISBLANK($AE$11),LARGE(IF($E$65:INDIRECT("E"&amp;$C$61)=$AE$10,N$65:INDIRECT(AF$13&amp;$C$61)),$AH45),IF(ISBLANK($AE$10),LARGE(IF($D$65:INDIRECT("D"&amp;$C$61)=$AE$11,N$65:INDIRECT(AF$13&amp;$C$61)),$AH45),LARGE(IF(($E$65:INDIRECT("E"&amp;$C$61)=$AE$10)*($D$65:INDIRECT("D"&amp;$C$61)=$AE$11),N$65:INDIRECT(AF$13&amp;$C$61)),$AH45)))</f>
        <v>#NUM!</v>
      </c>
      <c r="AG45" t="e">
        <f ca="1">INDEX(O$65:INDIRECT("O"&amp;$C$61),$T45)</f>
        <v>#NUM!</v>
      </c>
      <c r="AH45" s="69">
        <v>3</v>
      </c>
      <c r="AI45" s="69" t="str">
        <f t="shared" ref="AI45:AJ48" si="4">AI44</f>
        <v>N</v>
      </c>
      <c r="AJ45" s="69" t="str">
        <f t="shared" si="4"/>
        <v>U</v>
      </c>
    </row>
    <row r="46" spans="1:52" x14ac:dyDescent="0.25">
      <c r="A46" s="74" t="s">
        <v>72</v>
      </c>
      <c r="B46" s="69" t="s">
        <v>35</v>
      </c>
      <c r="C46" s="74" t="e">
        <f ca="1">N6</f>
        <v>#N/A</v>
      </c>
      <c r="D46" s="69" t="e">
        <f ca="1">INDEX(D$65:INDIRECT("D"&amp;$C$61),$C46)</f>
        <v>#N/A</v>
      </c>
      <c r="E46" s="69" t="e">
        <f ca="1">INDEX(INDIRECT(("'MemberID'!$C$6:C"&amp;MemberID!$C$1)),MATCH(D46,INDIRECT(("'MemberID'!$G$6:G"&amp;MemberID!$C$1)),0))</f>
        <v>#N/A</v>
      </c>
      <c r="F46" s="69" t="e">
        <f ca="1">INDEX(E$65:INDIRECT("E"&amp;$C$61),$C46)</f>
        <v>#N/A</v>
      </c>
      <c r="G46" t="e">
        <f ca="1">INDEX(F$65:INDIRECT("F"&amp;$C$61),$C46)</f>
        <v>#N/A</v>
      </c>
      <c r="H46" t="e">
        <f ca="1">INDEX(G$65:INDIRECT("G"&amp;$C$61),$C46)</f>
        <v>#N/A</v>
      </c>
      <c r="I46" t="e">
        <f ca="1">INDEX(H$65:INDIRECT("H"&amp;$C$61),$C46)</f>
        <v>#N/A</v>
      </c>
      <c r="J46" t="e">
        <f ca="1">INDEX(I$65:INDIRECT("I"&amp;$C$61),$C46)</f>
        <v>#N/A</v>
      </c>
      <c r="K46" s="7" t="e">
        <f ca="1">INDEX(J$65:INDIRECT("J"&amp;$C$61),$C46)</f>
        <v>#N/A</v>
      </c>
      <c r="L46" t="e">
        <f ca="1">INDEX(K$65:INDIRECT("K"&amp;$C$61),$C46)</f>
        <v>#N/A</v>
      </c>
      <c r="M46" t="e">
        <f ca="1">INDEX(L$65:INDIRECT("L"&amp;$C$61),$C46)</f>
        <v>#N/A</v>
      </c>
      <c r="N46" t="e">
        <f ca="1">INDEX(M$65:INDIRECT("M"&amp;$C$61),$C46)</f>
        <v>#N/A</v>
      </c>
      <c r="O46" s="23" t="e">
        <f ca="1">INDEX(N$65:INDIRECT("N"&amp;$C$61),$C46)</f>
        <v>#N/A</v>
      </c>
      <c r="P46" t="e">
        <f ca="1">INDEX(O$65:INDIRECT("O"&amp;$C$61),$C46)</f>
        <v>#N/A</v>
      </c>
      <c r="Q46" s="104"/>
      <c r="R46" s="74" t="s">
        <v>72</v>
      </c>
      <c r="S46" s="69" t="s">
        <v>35</v>
      </c>
      <c r="T46" s="74" t="e">
        <f t="array" aca="1" ref="T46" ca="1">MATCH(IF(ISBLANK($AE$11),SMALL(IF($E$65:INDIRECT("E"&amp;$C$61)=$AE$10,INDIRECT(AJ46&amp;65):INDIRECT(AJ46&amp;$C$61)),$AH46),IF(ISBLANK($AE$10),SMALL(IF($D$65:INDIRECT("D"&amp;$C$61)=$AE$11,INDIRECT(AJ46&amp;65):INDIRECT(AJ46&amp;$C$61)),$AH46),SMALL(IF(($E$65:INDIRECT("E"&amp;$C$61)=$AE$10)*($D$65:INDIRECT("D"&amp;$C$61)=$AE$11),INDIRECT(AJ46&amp;65):INDIRECT(AJ46&amp;$C$61)),$AH46))),INDIRECT(AJ46&amp;65):INDIRECT(AJ46&amp;$C$61),0)</f>
        <v>#NUM!</v>
      </c>
      <c r="U46" s="69" t="e">
        <f ca="1">INDEX(D$65:INDIRECT("D"&amp;$C$61),$T46)</f>
        <v>#NUM!</v>
      </c>
      <c r="V46" s="69" t="e">
        <f ca="1">INDEX(INDIRECT(("'MemberID'!$C$6:C"&amp;MemberID!$C$1)),MATCH(U46,INDIRECT(("'MemberID'!$G$6:G"&amp;MemberID!$C$1)),0))</f>
        <v>#NUM!</v>
      </c>
      <c r="W46" s="69" t="e">
        <f ca="1">INDEX(E$65:INDIRECT("E"&amp;$C$61),$T46)</f>
        <v>#NUM!</v>
      </c>
      <c r="X46" t="e">
        <f ca="1">INDEX(F$65:INDIRECT("F"&amp;$C$61),$T46)</f>
        <v>#NUM!</v>
      </c>
      <c r="Y46" t="e">
        <f ca="1">INDEX(G$65:INDIRECT("G"&amp;$C$61),$T46)</f>
        <v>#NUM!</v>
      </c>
      <c r="Z46" t="e">
        <f ca="1">INDEX(H$65:INDIRECT("H"&amp;$C$61),$T46)</f>
        <v>#NUM!</v>
      </c>
      <c r="AA46" t="e">
        <f ca="1">INDEX(I$65:INDIRECT("I"&amp;$C$61),$T46)</f>
        <v>#NUM!</v>
      </c>
      <c r="AB46" t="e">
        <f ca="1">INDEX(J$65:INDIRECT("J"&amp;$C$61),$T46)</f>
        <v>#NUM!</v>
      </c>
      <c r="AC46" t="e">
        <f ca="1">INDEX(K$65:INDIRECT("K"&amp;$C$61),$T46)</f>
        <v>#NUM!</v>
      </c>
      <c r="AD46" t="e">
        <f ca="1">INDEX(L$65:INDIRECT("L"&amp;$C$61),$T46)</f>
        <v>#NUM!</v>
      </c>
      <c r="AE46" t="e">
        <f ca="1">INDEX(M$65:INDIRECT("M"&amp;$C$61),$T46)</f>
        <v>#NUM!</v>
      </c>
      <c r="AF46" s="23" t="e">
        <f t="array" aca="1" ref="AF46" ca="1">IF(ISBLANK($AE$11),SMALL(IF($E$65:INDIRECT("E"&amp;$C$61)=$AE$10,N$65:INDIRECT(AF$13&amp;$C$61)),$AH46),IF(ISBLANK($AE$10),SMALL(IF($D$65:INDIRECT("D"&amp;$C$61)=$AE$11,N$65:INDIRECT(AF$13&amp;$C$61)),$AH46),SMALL(IF(($E$65:INDIRECT("E"&amp;$C$61)=$AE$10)*($D$65:INDIRECT("D"&amp;$C$61)=$AE$11),N$65:INDIRECT(AF$13&amp;$C$61)),$AH46)))</f>
        <v>#NUM!</v>
      </c>
      <c r="AG46" t="e">
        <f ca="1">INDEX(O$65:INDIRECT("O"&amp;$C$61),$T46)</f>
        <v>#NUM!</v>
      </c>
      <c r="AH46" s="69">
        <v>1</v>
      </c>
      <c r="AI46" s="69" t="str">
        <f t="shared" si="4"/>
        <v>N</v>
      </c>
      <c r="AJ46" s="69" t="str">
        <f t="shared" si="4"/>
        <v>U</v>
      </c>
    </row>
    <row r="47" spans="1:52" x14ac:dyDescent="0.25">
      <c r="A47" s="74" t="s">
        <v>73</v>
      </c>
      <c r="B47" s="69" t="s">
        <v>35</v>
      </c>
      <c r="C47" s="74" t="e">
        <f ca="1">V6</f>
        <v>#NUM!</v>
      </c>
      <c r="D47" s="69" t="e">
        <f ca="1">INDEX(D$65:INDIRECT("D"&amp;$C$61),$C47)</f>
        <v>#NUM!</v>
      </c>
      <c r="E47" s="69" t="e">
        <f ca="1">INDEX(INDIRECT(("'MemberID'!$C$6:C"&amp;MemberID!$C$1)),MATCH(D47,INDIRECT(("'MemberID'!$G$6:G"&amp;MemberID!$C$1)),0))</f>
        <v>#NUM!</v>
      </c>
      <c r="F47" s="69" t="e">
        <f ca="1">INDEX(E$65:INDIRECT("E"&amp;$C$61),$C47)</f>
        <v>#NUM!</v>
      </c>
      <c r="G47" t="e">
        <f ca="1">INDEX(F$65:INDIRECT("F"&amp;$C$61),$C47)</f>
        <v>#NUM!</v>
      </c>
      <c r="H47" t="e">
        <f ca="1">INDEX(G$65:INDIRECT("G"&amp;$C$61),$C47)</f>
        <v>#NUM!</v>
      </c>
      <c r="I47" t="e">
        <f ca="1">INDEX(H$65:INDIRECT("H"&amp;$C$61),$C47)</f>
        <v>#NUM!</v>
      </c>
      <c r="J47" t="e">
        <f ca="1">INDEX(I$65:INDIRECT("I"&amp;$C$61),$C47)</f>
        <v>#NUM!</v>
      </c>
      <c r="K47" s="7" t="e">
        <f ca="1">INDEX(J$65:INDIRECT("J"&amp;$C$61),$C47)</f>
        <v>#NUM!</v>
      </c>
      <c r="L47" t="e">
        <f ca="1">INDEX(K$65:INDIRECT("K"&amp;$C$61),$C47)</f>
        <v>#NUM!</v>
      </c>
      <c r="M47" t="e">
        <f ca="1">INDEX(L$65:INDIRECT("L"&amp;$C$61),$C47)</f>
        <v>#NUM!</v>
      </c>
      <c r="N47" t="e">
        <f ca="1">INDEX(M$65:INDIRECT("M"&amp;$C$61),$C47)</f>
        <v>#NUM!</v>
      </c>
      <c r="O47" s="23" t="e">
        <f ca="1">INDEX(N$65:INDIRECT("N"&amp;$C$61),$C47)</f>
        <v>#NUM!</v>
      </c>
      <c r="P47" t="e">
        <f ca="1">INDEX(O$65:INDIRECT("O"&amp;$C$61),$C47)</f>
        <v>#NUM!</v>
      </c>
      <c r="Q47" s="104"/>
      <c r="R47" s="74" t="s">
        <v>73</v>
      </c>
      <c r="S47" s="69" t="s">
        <v>35</v>
      </c>
      <c r="T47" s="74" t="e">
        <f t="array" aca="1" ref="T47" ca="1">MATCH(IF(ISBLANK($AE$11),SMALL(IF($E$65:INDIRECT("E"&amp;$C$61)=$AE$10,INDIRECT(AJ47&amp;65):INDIRECT(AJ47&amp;$C$61)),$AH47),IF(ISBLANK($AE$10),SMALL(IF($D$65:INDIRECT("D"&amp;$C$61)=$AE$11,INDIRECT(AJ47&amp;65):INDIRECT(AJ47&amp;$C$61)),$AH47),SMALL(IF(($E$65:INDIRECT("E"&amp;$C$61)=$AE$10)*($D$65:INDIRECT("D"&amp;$C$61)=$AE$11),INDIRECT(AJ47&amp;65):INDIRECT(AJ47&amp;$C$61)),$AH47))),INDIRECT(AJ47&amp;65):INDIRECT(AJ47&amp;$C$61),0)</f>
        <v>#NUM!</v>
      </c>
      <c r="U47" s="69" t="e">
        <f ca="1">INDEX(D$65:INDIRECT("D"&amp;$C$61),$T47)</f>
        <v>#NUM!</v>
      </c>
      <c r="V47" s="69" t="e">
        <f ca="1">INDEX(INDIRECT(("'MemberID'!$C$6:C"&amp;MemberID!$C$1)),MATCH(U47,INDIRECT(("'MemberID'!$G$6:G"&amp;MemberID!$C$1)),0))</f>
        <v>#NUM!</v>
      </c>
      <c r="W47" s="69" t="e">
        <f ca="1">INDEX(E$65:INDIRECT("E"&amp;$C$61),$T47)</f>
        <v>#NUM!</v>
      </c>
      <c r="X47" t="e">
        <f ca="1">INDEX(F$65:INDIRECT("F"&amp;$C$61),$T47)</f>
        <v>#NUM!</v>
      </c>
      <c r="Y47" t="e">
        <f ca="1">INDEX(G$65:INDIRECT("G"&amp;$C$61),$T47)</f>
        <v>#NUM!</v>
      </c>
      <c r="Z47" t="e">
        <f ca="1">INDEX(H$65:INDIRECT("H"&amp;$C$61),$T47)</f>
        <v>#NUM!</v>
      </c>
      <c r="AA47" t="e">
        <f ca="1">INDEX(I$65:INDIRECT("I"&amp;$C$61),$T47)</f>
        <v>#NUM!</v>
      </c>
      <c r="AB47" t="e">
        <f ca="1">INDEX(J$65:INDIRECT("J"&amp;$C$61),$T47)</f>
        <v>#NUM!</v>
      </c>
      <c r="AC47" t="e">
        <f ca="1">INDEX(K$65:INDIRECT("K"&amp;$C$61),$T47)</f>
        <v>#NUM!</v>
      </c>
      <c r="AD47" t="e">
        <f ca="1">INDEX(L$65:INDIRECT("L"&amp;$C$61),$T47)</f>
        <v>#NUM!</v>
      </c>
      <c r="AE47" t="e">
        <f ca="1">INDEX(M$65:INDIRECT("M"&amp;$C$61),$T47)</f>
        <v>#NUM!</v>
      </c>
      <c r="AF47" s="23" t="e">
        <f t="array" aca="1" ref="AF47" ca="1">IF(ISBLANK($AE$11),SMALL(IF($E$65:INDIRECT("E"&amp;$C$61)=$AE$10,N$65:INDIRECT(AF$13&amp;$C$61)),$AH47),IF(ISBLANK($AE$10),SMALL(IF($D$65:INDIRECT("D"&amp;$C$61)=$AE$11,N$65:INDIRECT(AF$13&amp;$C$61)),$AH47),SMALL(IF(($E$65:INDIRECT("E"&amp;$C$61)=$AE$10)*($D$65:INDIRECT("D"&amp;$C$61)=$AE$11),N$65:INDIRECT(AF$13&amp;$C$61)),$AH47)))</f>
        <v>#NUM!</v>
      </c>
      <c r="AG47" t="e">
        <f ca="1">INDEX(O$65:INDIRECT("O"&amp;$C$61),$T47)</f>
        <v>#NUM!</v>
      </c>
      <c r="AH47" s="69">
        <v>2</v>
      </c>
      <c r="AI47" s="69" t="str">
        <f t="shared" si="4"/>
        <v>N</v>
      </c>
      <c r="AJ47" s="69" t="str">
        <f t="shared" si="4"/>
        <v>U</v>
      </c>
    </row>
    <row r="48" spans="1:52" x14ac:dyDescent="0.25">
      <c r="A48" s="74" t="s">
        <v>74</v>
      </c>
      <c r="B48" s="69" t="s">
        <v>35</v>
      </c>
      <c r="C48" s="74" t="e">
        <f ca="1">AD6</f>
        <v>#NUM!</v>
      </c>
      <c r="D48" s="69" t="e">
        <f ca="1">INDEX(D$65:INDIRECT("D"&amp;$C$61),$C48)</f>
        <v>#NUM!</v>
      </c>
      <c r="E48" s="69" t="e">
        <f ca="1">INDEX(INDIRECT(("'MemberID'!$C$6:C"&amp;MemberID!$C$1)),MATCH(D48,INDIRECT(("'MemberID'!$G$6:G"&amp;MemberID!$C$1)),0))</f>
        <v>#NUM!</v>
      </c>
      <c r="F48" s="69" t="e">
        <f ca="1">INDEX(E$65:INDIRECT("E"&amp;$C$61),$C48)</f>
        <v>#NUM!</v>
      </c>
      <c r="G48" t="e">
        <f ca="1">INDEX(F$65:INDIRECT("F"&amp;$C$61),$C48)</f>
        <v>#NUM!</v>
      </c>
      <c r="H48" t="e">
        <f ca="1">INDEX(G$65:INDIRECT("G"&amp;$C$61),$C48)</f>
        <v>#NUM!</v>
      </c>
      <c r="I48" t="e">
        <f ca="1">INDEX(H$65:INDIRECT("H"&amp;$C$61),$C48)</f>
        <v>#NUM!</v>
      </c>
      <c r="J48" t="e">
        <f ca="1">INDEX(I$65:INDIRECT("I"&amp;$C$61),$C48)</f>
        <v>#NUM!</v>
      </c>
      <c r="K48" s="7" t="e">
        <f ca="1">INDEX(J$65:INDIRECT("J"&amp;$C$61),$C48)</f>
        <v>#NUM!</v>
      </c>
      <c r="L48" t="e">
        <f ca="1">INDEX(K$65:INDIRECT("K"&amp;$C$61),$C48)</f>
        <v>#NUM!</v>
      </c>
      <c r="M48" t="e">
        <f ca="1">INDEX(L$65:INDIRECT("L"&amp;$C$61),$C48)</f>
        <v>#NUM!</v>
      </c>
      <c r="N48" t="e">
        <f ca="1">INDEX(M$65:INDIRECT("M"&amp;$C$61),$C48)</f>
        <v>#NUM!</v>
      </c>
      <c r="O48" s="23" t="e">
        <f ca="1">INDEX(N$65:INDIRECT("N"&amp;$C$61),$C48)</f>
        <v>#NUM!</v>
      </c>
      <c r="P48" t="e">
        <f ca="1">INDEX(O$65:INDIRECT("O"&amp;$C$61),$C48)</f>
        <v>#NUM!</v>
      </c>
      <c r="Q48" s="104"/>
      <c r="R48" s="74" t="s">
        <v>74</v>
      </c>
      <c r="S48" s="69" t="s">
        <v>35</v>
      </c>
      <c r="T48" s="74" t="e">
        <f t="array" aca="1" ref="T48" ca="1">MATCH(IF(ISBLANK($AE$11),SMALL(IF($E$65:INDIRECT("E"&amp;$C$61)=$AE$10,INDIRECT(AJ48&amp;65):INDIRECT(AJ48&amp;$C$61)),$AH48),IF(ISBLANK($AE$10),SMALL(IF($D$65:INDIRECT("D"&amp;$C$61)=$AE$11,INDIRECT(AJ48&amp;65):INDIRECT(AJ48&amp;$C$61)),$AH48),SMALL(IF(($E$65:INDIRECT("E"&amp;$C$61)=$AE$10)*($D$65:INDIRECT("D"&amp;$C$61)=$AE$11),INDIRECT(AJ48&amp;65):INDIRECT(AJ48&amp;$C$61)),$AH48))),INDIRECT(AJ48&amp;65):INDIRECT(AJ48&amp;$C$61),0)</f>
        <v>#NUM!</v>
      </c>
      <c r="U48" s="69" t="e">
        <f ca="1">INDEX(D$65:INDIRECT("D"&amp;$C$61),$T48)</f>
        <v>#NUM!</v>
      </c>
      <c r="V48" s="69" t="e">
        <f ca="1">INDEX(INDIRECT(("'MemberID'!$C$6:C"&amp;MemberID!$C$1)),MATCH(U48,INDIRECT(("'MemberID'!$G$6:G"&amp;MemberID!$C$1)),0))</f>
        <v>#NUM!</v>
      </c>
      <c r="W48" s="69" t="e">
        <f ca="1">INDEX(E$65:INDIRECT("E"&amp;$C$61),$T48)</f>
        <v>#NUM!</v>
      </c>
      <c r="X48" t="e">
        <f ca="1">INDEX(F$65:INDIRECT("F"&amp;$C$61),$T48)</f>
        <v>#NUM!</v>
      </c>
      <c r="Y48" t="e">
        <f ca="1">INDEX(G$65:INDIRECT("G"&amp;$C$61),$T48)</f>
        <v>#NUM!</v>
      </c>
      <c r="Z48" t="e">
        <f ca="1">INDEX(H$65:INDIRECT("H"&amp;$C$61),$T48)</f>
        <v>#NUM!</v>
      </c>
      <c r="AA48" t="e">
        <f ca="1">INDEX(I$65:INDIRECT("I"&amp;$C$61),$T48)</f>
        <v>#NUM!</v>
      </c>
      <c r="AB48" t="e">
        <f ca="1">INDEX(J$65:INDIRECT("J"&amp;$C$61),$T48)</f>
        <v>#NUM!</v>
      </c>
      <c r="AC48" t="e">
        <f ca="1">INDEX(K$65:INDIRECT("K"&amp;$C$61),$T48)</f>
        <v>#NUM!</v>
      </c>
      <c r="AD48" t="e">
        <f ca="1">INDEX(L$65:INDIRECT("L"&amp;$C$61),$T48)</f>
        <v>#NUM!</v>
      </c>
      <c r="AE48" t="e">
        <f ca="1">INDEX(M$65:INDIRECT("M"&amp;$C$61),$T48)</f>
        <v>#NUM!</v>
      </c>
      <c r="AF48" s="23" t="e">
        <f t="array" aca="1" ref="AF48" ca="1">IF(ISBLANK($AE$11),SMALL(IF($E$65:INDIRECT("E"&amp;$C$61)=$AE$10,N$65:INDIRECT(AF$13&amp;$C$61)),$AH48),IF(ISBLANK($AE$10),SMALL(IF($D$65:INDIRECT("D"&amp;$C$61)=$AE$11,N$65:INDIRECT(AF$13&amp;$C$61)),$AH48),SMALL(IF(($E$65:INDIRECT("E"&amp;$C$61)=$AE$10)*($D$65:INDIRECT("D"&amp;$C$61)=$AE$11),N$65:INDIRECT(AF$13&amp;$C$61)),$AH48)))</f>
        <v>#NUM!</v>
      </c>
      <c r="AG48" t="e">
        <f ca="1">INDEX(O$65:INDIRECT("O"&amp;$C$61),$T48)</f>
        <v>#NUM!</v>
      </c>
      <c r="AH48" s="69">
        <v>3</v>
      </c>
      <c r="AI48" s="69" t="str">
        <f t="shared" si="4"/>
        <v>N</v>
      </c>
      <c r="AJ48" s="69" t="str">
        <f t="shared" si="4"/>
        <v>U</v>
      </c>
    </row>
    <row r="49" spans="1:49" x14ac:dyDescent="0.25">
      <c r="B49" s="69"/>
      <c r="C49" s="69"/>
      <c r="D49" s="69"/>
      <c r="E49" s="69"/>
      <c r="F49" s="69"/>
      <c r="K49" s="7"/>
      <c r="Q49" s="104"/>
      <c r="S49" s="69"/>
      <c r="T49" s="69"/>
      <c r="V49" s="69"/>
      <c r="W49" s="69"/>
      <c r="AH49" s="69"/>
      <c r="AI49" s="69"/>
      <c r="AJ49" s="69"/>
    </row>
    <row r="50" spans="1:49" x14ac:dyDescent="0.25">
      <c r="A50" s="73" t="s">
        <v>69</v>
      </c>
      <c r="B50" s="69" t="s">
        <v>36</v>
      </c>
      <c r="C50" s="73" t="e">
        <f ca="1">O3</f>
        <v>#N/A</v>
      </c>
      <c r="D50" s="69" t="e">
        <f ca="1">INDEX(D$65:INDIRECT("D"&amp;$C$61),$C50)</f>
        <v>#N/A</v>
      </c>
      <c r="E50" s="69" t="e">
        <f ca="1">INDEX(INDIRECT(("'MemberID'!$C$6:C"&amp;MemberID!$C$1)),MATCH(D50,INDIRECT(("'MemberID'!$G$6:G"&amp;MemberID!$C$1)),0))</f>
        <v>#N/A</v>
      </c>
      <c r="F50" s="69" t="e">
        <f ca="1">INDEX(E$65:INDIRECT("E"&amp;$C$61),$C50)</f>
        <v>#N/A</v>
      </c>
      <c r="G50" t="e">
        <f ca="1">INDEX(F$65:INDIRECT("F"&amp;$C$61),$C50)</f>
        <v>#N/A</v>
      </c>
      <c r="H50" t="e">
        <f ca="1">INDEX(G$65:INDIRECT("G"&amp;$C$61),$C50)</f>
        <v>#N/A</v>
      </c>
      <c r="I50" t="e">
        <f ca="1">INDEX(H$65:INDIRECT("H"&amp;$C$61),$C50)</f>
        <v>#N/A</v>
      </c>
      <c r="J50" t="e">
        <f ca="1">INDEX(I$65:INDIRECT("I"&amp;$C$61),$C50)</f>
        <v>#N/A</v>
      </c>
      <c r="K50" s="7" t="e">
        <f ca="1">INDEX(J$65:INDIRECT("J"&amp;$C$61),$C50)</f>
        <v>#N/A</v>
      </c>
      <c r="L50" t="e">
        <f ca="1">INDEX(K$65:INDIRECT("K"&amp;$C$61),$C50)</f>
        <v>#N/A</v>
      </c>
      <c r="M50" t="e">
        <f ca="1">INDEX(L$65:INDIRECT("L"&amp;$C$61),$C50)</f>
        <v>#N/A</v>
      </c>
      <c r="N50" t="e">
        <f ca="1">INDEX(M$65:INDIRECT("M"&amp;$C$61),$C50)</f>
        <v>#N/A</v>
      </c>
      <c r="O50" t="e">
        <f ca="1">INDEX(N$65:INDIRECT("N"&amp;$C$61),$C50)</f>
        <v>#N/A</v>
      </c>
      <c r="P50" s="23" t="e">
        <f ca="1">INDEX(O$65:INDIRECT("O"&amp;$C$61),$C50)</f>
        <v>#N/A</v>
      </c>
      <c r="Q50" s="104"/>
      <c r="R50" s="73" t="s">
        <v>69</v>
      </c>
      <c r="S50" s="69" t="s">
        <v>36</v>
      </c>
      <c r="T50" s="73" t="e">
        <f t="array" aca="1" ref="T50" ca="1">MATCH(IF(ISBLANK($AE$11),LARGE(IF($E$65:INDIRECT("E"&amp;$C$61)=$AE$10,INDIRECT(AJ50&amp;65):INDIRECT(AJ50&amp;$C$61)),$AH50),IF(ISBLANK($AE$10),LARGE(IF($D$65:INDIRECT("D"&amp;$C$61)=$AE$11,INDIRECT(AJ50&amp;65):INDIRECT(AJ50&amp;$C$61)),$AH50),LARGE(IF(($E$65:INDIRECT("E"&amp;$C$61)=$AE$10)*($D$65:INDIRECT("D"&amp;$C$61)=$AE$11),INDIRECT(AJ50&amp;65):INDIRECT(AJ50&amp;$C$61)),$AH50))),INDIRECT(AJ50&amp;65):INDIRECT(AJ50&amp;$C$61),0)</f>
        <v>#NUM!</v>
      </c>
      <c r="U50" s="69" t="e">
        <f ca="1">INDEX(D$65:INDIRECT("D"&amp;$C$61),$T50)</f>
        <v>#NUM!</v>
      </c>
      <c r="V50" s="69" t="e">
        <f ca="1">INDEX(INDIRECT(("'MemberID'!$C$6:C"&amp;MemberID!$C$1)),MATCH(U50,INDIRECT(("'MemberID'!$G$6:G"&amp;MemberID!$C$1)),0))</f>
        <v>#NUM!</v>
      </c>
      <c r="W50" s="69" t="e">
        <f ca="1">INDEX(E$65:INDIRECT("E"&amp;$C$61),$T50)</f>
        <v>#NUM!</v>
      </c>
      <c r="X50" t="e">
        <f ca="1">INDEX(F$65:INDIRECT("F"&amp;$C$61),$T50)</f>
        <v>#NUM!</v>
      </c>
      <c r="Y50" t="e">
        <f ca="1">INDEX(G$65:INDIRECT("G"&amp;$C$61),$T50)</f>
        <v>#NUM!</v>
      </c>
      <c r="Z50" t="e">
        <f ca="1">INDEX(H$65:INDIRECT("H"&amp;$C$61),$T50)</f>
        <v>#NUM!</v>
      </c>
      <c r="AA50" t="e">
        <f ca="1">INDEX(I$65:INDIRECT("I"&amp;$C$61),$T50)</f>
        <v>#NUM!</v>
      </c>
      <c r="AB50" t="e">
        <f ca="1">INDEX(J$65:INDIRECT("J"&amp;$C$61),$T50)</f>
        <v>#NUM!</v>
      </c>
      <c r="AC50" t="e">
        <f ca="1">INDEX(K$65:INDIRECT("K"&amp;$C$61),$T50)</f>
        <v>#NUM!</v>
      </c>
      <c r="AD50" t="e">
        <f ca="1">INDEX(L$65:INDIRECT("L"&amp;$C$61),$T50)</f>
        <v>#NUM!</v>
      </c>
      <c r="AE50" t="e">
        <f ca="1">INDEX(M$65:INDIRECT("M"&amp;$C$61),$T50)</f>
        <v>#NUM!</v>
      </c>
      <c r="AF50" t="e">
        <f ca="1">INDEX(N$65:INDIRECT("N"&amp;$C$61),$T50)</f>
        <v>#NUM!</v>
      </c>
      <c r="AG50" s="23" t="e">
        <f t="array" aca="1" ref="AG50" ca="1">IF(ISBLANK($AE$11),LARGE(IF($E$65:INDIRECT("E"&amp;$C$61)=$AE$10,O$65:INDIRECT(AG$13&amp;$C$61)),$AH50),IF(ISBLANK($AE$10),LARGE(IF($D$65:INDIRECT("D"&amp;$C$61)=$AE$11,O$65:INDIRECT(AG$13&amp;$C$61)),$AH50),LARGE(IF(($E$65:INDIRECT("E"&amp;$C$61)=$AE$10)*($D$65:INDIRECT("D"&amp;$C$61)=$AE$11),O$65:INDIRECT(AG$13&amp;$C$61)),$AH50)))</f>
        <v>#NUM!</v>
      </c>
      <c r="AH50" s="69">
        <v>1</v>
      </c>
      <c r="AI50" s="69" t="s">
        <v>155</v>
      </c>
      <c r="AJ50" s="69" t="s">
        <v>197</v>
      </c>
    </row>
    <row r="51" spans="1:49" x14ac:dyDescent="0.25">
      <c r="A51" s="73" t="s">
        <v>70</v>
      </c>
      <c r="B51" s="69" t="s">
        <v>36</v>
      </c>
      <c r="C51" s="73" t="e">
        <f ca="1">W3</f>
        <v>#NUM!</v>
      </c>
      <c r="D51" s="69" t="e">
        <f ca="1">INDEX(D$65:INDIRECT("D"&amp;$C$61),$C51)</f>
        <v>#NUM!</v>
      </c>
      <c r="E51" s="69" t="e">
        <f ca="1">INDEX(INDIRECT(("'MemberID'!$C$6:C"&amp;MemberID!$C$1)),MATCH(D51,INDIRECT(("'MemberID'!$G$6:G"&amp;MemberID!$C$1)),0))</f>
        <v>#NUM!</v>
      </c>
      <c r="F51" s="69" t="e">
        <f ca="1">INDEX(E$65:INDIRECT("E"&amp;$C$61),$C51)</f>
        <v>#NUM!</v>
      </c>
      <c r="G51" t="e">
        <f ca="1">INDEX(F$65:INDIRECT("F"&amp;$C$61),$C51)</f>
        <v>#NUM!</v>
      </c>
      <c r="H51" t="e">
        <f ca="1">INDEX(G$65:INDIRECT("G"&amp;$C$61),$C51)</f>
        <v>#NUM!</v>
      </c>
      <c r="I51" t="e">
        <f ca="1">INDEX(H$65:INDIRECT("H"&amp;$C$61),$C51)</f>
        <v>#NUM!</v>
      </c>
      <c r="J51" t="e">
        <f ca="1">INDEX(I$65:INDIRECT("I"&amp;$C$61),$C51)</f>
        <v>#NUM!</v>
      </c>
      <c r="K51" s="7" t="e">
        <f ca="1">INDEX(J$65:INDIRECT("J"&amp;$C$61),$C51)</f>
        <v>#NUM!</v>
      </c>
      <c r="L51" t="e">
        <f ca="1">INDEX(K$65:INDIRECT("K"&amp;$C$61),$C51)</f>
        <v>#NUM!</v>
      </c>
      <c r="M51" t="e">
        <f ca="1">INDEX(L$65:INDIRECT("L"&amp;$C$61),$C51)</f>
        <v>#NUM!</v>
      </c>
      <c r="N51" t="e">
        <f ca="1">INDEX(M$65:INDIRECT("M"&amp;$C$61),$C51)</f>
        <v>#NUM!</v>
      </c>
      <c r="O51" t="e">
        <f ca="1">INDEX(N$65:INDIRECT("N"&amp;$C$61),$C51)</f>
        <v>#NUM!</v>
      </c>
      <c r="P51" s="23" t="e">
        <f ca="1">INDEX(O$65:INDIRECT("O"&amp;$C$61),$C51)</f>
        <v>#NUM!</v>
      </c>
      <c r="Q51" s="104"/>
      <c r="R51" s="73" t="s">
        <v>70</v>
      </c>
      <c r="S51" s="69" t="s">
        <v>36</v>
      </c>
      <c r="T51" s="73" t="e">
        <f t="array" aca="1" ref="T51" ca="1">MATCH(IF(ISBLANK($AE$11),LARGE(IF($E$65:INDIRECT("E"&amp;$C$61)=$AE$10,INDIRECT(AJ51&amp;65):INDIRECT(AJ51&amp;$C$61)),$AH51),IF(ISBLANK($AE$10),LARGE(IF($D$65:INDIRECT("D"&amp;$C$61)=$AE$11,INDIRECT(AJ51&amp;65):INDIRECT(AJ51&amp;$C$61)),$AH51),LARGE(IF(($E$65:INDIRECT("E"&amp;$C$61)=$AE$10)*($D$65:INDIRECT("D"&amp;$C$61)=$AE$11),INDIRECT(AJ51&amp;65):INDIRECT(AJ51&amp;$C$61)),$AH51))),INDIRECT(AJ51&amp;65):INDIRECT(AJ51&amp;$C$61),0)</f>
        <v>#NUM!</v>
      </c>
      <c r="U51" s="69" t="e">
        <f ca="1">INDEX(D$65:INDIRECT("D"&amp;$C$61),$T51)</f>
        <v>#NUM!</v>
      </c>
      <c r="V51" s="69" t="e">
        <f ca="1">INDEX(INDIRECT(("'MemberID'!$C$6:C"&amp;MemberID!$C$1)),MATCH(U51,INDIRECT(("'MemberID'!$G$6:G"&amp;MemberID!$C$1)),0))</f>
        <v>#NUM!</v>
      </c>
      <c r="W51" s="69" t="e">
        <f ca="1">INDEX(E$65:INDIRECT("E"&amp;$C$61),$T51)</f>
        <v>#NUM!</v>
      </c>
      <c r="X51" t="e">
        <f ca="1">INDEX(F$65:INDIRECT("F"&amp;$C$61),$T51)</f>
        <v>#NUM!</v>
      </c>
      <c r="Y51" t="e">
        <f ca="1">INDEX(G$65:INDIRECT("G"&amp;$C$61),$T51)</f>
        <v>#NUM!</v>
      </c>
      <c r="Z51" t="e">
        <f ca="1">INDEX(H$65:INDIRECT("H"&amp;$C$61),$T51)</f>
        <v>#NUM!</v>
      </c>
      <c r="AA51" t="e">
        <f ca="1">INDEX(I$65:INDIRECT("I"&amp;$C$61),$T51)</f>
        <v>#NUM!</v>
      </c>
      <c r="AB51" t="e">
        <f ca="1">INDEX(J$65:INDIRECT("J"&amp;$C$61),$T51)</f>
        <v>#NUM!</v>
      </c>
      <c r="AC51" t="e">
        <f ca="1">INDEX(K$65:INDIRECT("K"&amp;$C$61),$T51)</f>
        <v>#NUM!</v>
      </c>
      <c r="AD51" t="e">
        <f ca="1">INDEX(L$65:INDIRECT("L"&amp;$C$61),$T51)</f>
        <v>#NUM!</v>
      </c>
      <c r="AE51" t="e">
        <f ca="1">INDEX(M$65:INDIRECT("M"&amp;$C$61),$T51)</f>
        <v>#NUM!</v>
      </c>
      <c r="AF51" t="e">
        <f ca="1">INDEX(N$65:INDIRECT("N"&amp;$C$61),$T51)</f>
        <v>#NUM!</v>
      </c>
      <c r="AG51" s="23" t="e">
        <f t="array" aca="1" ref="AG51" ca="1">IF(ISBLANK($AE$11),LARGE(IF($E$65:INDIRECT("E"&amp;$C$61)=$AE$10,O$65:INDIRECT(AG$13&amp;$C$61)),$AH51),IF(ISBLANK($AE$10),LARGE(IF($D$65:INDIRECT("D"&amp;$C$61)=$AE$11,O$65:INDIRECT(AG$13&amp;$C$61)),$AH51),LARGE(IF(($E$65:INDIRECT("E"&amp;$C$61)=$AE$10)*($D$65:INDIRECT("D"&amp;$C$61)=$AE$11),O$65:INDIRECT(AG$13&amp;$C$61)),$AH51)))</f>
        <v>#NUM!</v>
      </c>
      <c r="AH51" s="69">
        <v>2</v>
      </c>
      <c r="AI51" s="69" t="str">
        <f>AI50</f>
        <v>O</v>
      </c>
      <c r="AJ51" s="69" t="str">
        <f>AJ50</f>
        <v>V</v>
      </c>
    </row>
    <row r="52" spans="1:49" x14ac:dyDescent="0.25">
      <c r="A52" s="73" t="s">
        <v>71</v>
      </c>
      <c r="B52" s="69" t="s">
        <v>36</v>
      </c>
      <c r="C52" s="73" t="e">
        <f ca="1">AE3</f>
        <v>#NUM!</v>
      </c>
      <c r="D52" s="69" t="e">
        <f ca="1">INDEX(D$65:INDIRECT("D"&amp;$C$61),$C52)</f>
        <v>#NUM!</v>
      </c>
      <c r="E52" s="69" t="e">
        <f ca="1">INDEX(INDIRECT(("'MemberID'!$C$6:C"&amp;MemberID!$C$1)),MATCH(D52,INDIRECT(("'MemberID'!$G$6:G"&amp;MemberID!$C$1)),0))</f>
        <v>#NUM!</v>
      </c>
      <c r="F52" s="69" t="e">
        <f ca="1">INDEX(E$65:INDIRECT("E"&amp;$C$61),$C52)</f>
        <v>#NUM!</v>
      </c>
      <c r="G52" t="e">
        <f ca="1">INDEX(F$65:INDIRECT("F"&amp;$C$61),$C52)</f>
        <v>#NUM!</v>
      </c>
      <c r="H52" t="e">
        <f ca="1">INDEX(G$65:INDIRECT("G"&amp;$C$61),$C52)</f>
        <v>#NUM!</v>
      </c>
      <c r="I52" t="e">
        <f ca="1">INDEX(H$65:INDIRECT("H"&amp;$C$61),$C52)</f>
        <v>#NUM!</v>
      </c>
      <c r="J52" t="e">
        <f ca="1">INDEX(I$65:INDIRECT("I"&amp;$C$61),$C52)</f>
        <v>#NUM!</v>
      </c>
      <c r="K52" s="7" t="e">
        <f ca="1">INDEX(J$65:INDIRECT("J"&amp;$C$61),$C52)</f>
        <v>#NUM!</v>
      </c>
      <c r="L52" t="e">
        <f ca="1">INDEX(K$65:INDIRECT("K"&amp;$C$61),$C52)</f>
        <v>#NUM!</v>
      </c>
      <c r="M52" t="e">
        <f ca="1">INDEX(L$65:INDIRECT("L"&amp;$C$61),$C52)</f>
        <v>#NUM!</v>
      </c>
      <c r="N52" t="e">
        <f ca="1">INDEX(M$65:INDIRECT("M"&amp;$C$61),$C52)</f>
        <v>#NUM!</v>
      </c>
      <c r="O52" t="e">
        <f ca="1">INDEX(N$65:INDIRECT("N"&amp;$C$61),$C52)</f>
        <v>#NUM!</v>
      </c>
      <c r="P52" s="23" t="e">
        <f ca="1">INDEX(O$65:INDIRECT("O"&amp;$C$61),$C52)</f>
        <v>#NUM!</v>
      </c>
      <c r="Q52" s="104"/>
      <c r="R52" s="73" t="s">
        <v>71</v>
      </c>
      <c r="S52" s="69" t="s">
        <v>36</v>
      </c>
      <c r="T52" s="73" t="e">
        <f t="array" aca="1" ref="T52" ca="1">MATCH(IF(ISBLANK($AE$11),LARGE(IF($E$65:INDIRECT("E"&amp;$C$61)=$AE$10,INDIRECT(AJ52&amp;65):INDIRECT(AJ52&amp;$C$61)),$AH52),IF(ISBLANK($AE$10),LARGE(IF($D$65:INDIRECT("D"&amp;$C$61)=$AE$11,INDIRECT(AJ52&amp;65):INDIRECT(AJ52&amp;$C$61)),$AH52),LARGE(IF(($E$65:INDIRECT("E"&amp;$C$61)=$AE$10)*($D$65:INDIRECT("D"&amp;$C$61)=$AE$11),INDIRECT(AJ52&amp;65):INDIRECT(AJ52&amp;$C$61)),$AH52))),INDIRECT(AJ52&amp;65):INDIRECT(AJ52&amp;$C$61),0)</f>
        <v>#NUM!</v>
      </c>
      <c r="U52" s="69" t="e">
        <f ca="1">INDEX(D$65:INDIRECT("D"&amp;$C$61),$T52)</f>
        <v>#NUM!</v>
      </c>
      <c r="V52" s="69" t="e">
        <f ca="1">INDEX(INDIRECT(("'MemberID'!$C$6:C"&amp;MemberID!$C$1)),MATCH(U52,INDIRECT(("'MemberID'!$G$6:G"&amp;MemberID!$C$1)),0))</f>
        <v>#NUM!</v>
      </c>
      <c r="W52" s="69" t="e">
        <f ca="1">INDEX(E$65:INDIRECT("E"&amp;$C$61),$T52)</f>
        <v>#NUM!</v>
      </c>
      <c r="X52" t="e">
        <f ca="1">INDEX(F$65:INDIRECT("F"&amp;$C$61),$T52)</f>
        <v>#NUM!</v>
      </c>
      <c r="Y52" t="e">
        <f ca="1">INDEX(G$65:INDIRECT("G"&amp;$C$61),$T52)</f>
        <v>#NUM!</v>
      </c>
      <c r="Z52" t="e">
        <f ca="1">INDEX(H$65:INDIRECT("H"&amp;$C$61),$T52)</f>
        <v>#NUM!</v>
      </c>
      <c r="AA52" t="e">
        <f ca="1">INDEX(I$65:INDIRECT("I"&amp;$C$61),$T52)</f>
        <v>#NUM!</v>
      </c>
      <c r="AB52" t="e">
        <f ca="1">INDEX(J$65:INDIRECT("J"&amp;$C$61),$T52)</f>
        <v>#NUM!</v>
      </c>
      <c r="AC52" t="e">
        <f ca="1">INDEX(K$65:INDIRECT("K"&amp;$C$61),$T52)</f>
        <v>#NUM!</v>
      </c>
      <c r="AD52" t="e">
        <f ca="1">INDEX(L$65:INDIRECT("L"&amp;$C$61),$T52)</f>
        <v>#NUM!</v>
      </c>
      <c r="AE52" t="e">
        <f ca="1">INDEX(M$65:INDIRECT("M"&amp;$C$61),$T52)</f>
        <v>#NUM!</v>
      </c>
      <c r="AF52" t="e">
        <f ca="1">INDEX(N$65:INDIRECT("N"&amp;$C$61),$T52)</f>
        <v>#NUM!</v>
      </c>
      <c r="AG52" s="23" t="e">
        <f t="array" aca="1" ref="AG52" ca="1">IF(ISBLANK($AE$11),LARGE(IF($E$65:INDIRECT("E"&amp;$C$61)=$AE$10,O$65:INDIRECT(AG$13&amp;$C$61)),$AH52),IF(ISBLANK($AE$10),LARGE(IF($D$65:INDIRECT("D"&amp;$C$61)=$AE$11,O$65:INDIRECT(AG$13&amp;$C$61)),$AH52),LARGE(IF(($E$65:INDIRECT("E"&amp;$C$61)=$AE$10)*($D$65:INDIRECT("D"&amp;$C$61)=$AE$11),O$65:INDIRECT(AG$13&amp;$C$61)),$AH52)))</f>
        <v>#NUM!</v>
      </c>
      <c r="AH52" s="69">
        <v>3</v>
      </c>
      <c r="AI52" s="69" t="str">
        <f t="shared" ref="AI52:AJ55" si="5">AI51</f>
        <v>O</v>
      </c>
      <c r="AJ52" s="69" t="str">
        <f t="shared" si="5"/>
        <v>V</v>
      </c>
    </row>
    <row r="53" spans="1:49" x14ac:dyDescent="0.25">
      <c r="A53" s="74" t="s">
        <v>72</v>
      </c>
      <c r="B53" s="69" t="s">
        <v>36</v>
      </c>
      <c r="C53" s="74" t="e">
        <f ca="1">O6</f>
        <v>#N/A</v>
      </c>
      <c r="D53" s="69" t="e">
        <f ca="1">INDEX(D$65:INDIRECT("D"&amp;$C$61),$C53)</f>
        <v>#N/A</v>
      </c>
      <c r="E53" s="69" t="e">
        <f ca="1">INDEX(INDIRECT(("'MemberID'!$C$6:C"&amp;MemberID!$C$1)),MATCH(D53,INDIRECT(("'MemberID'!$G$6:G"&amp;MemberID!$C$1)),0))</f>
        <v>#N/A</v>
      </c>
      <c r="F53" s="69" t="e">
        <f ca="1">INDEX(E$65:INDIRECT("E"&amp;$C$61),$C53)</f>
        <v>#N/A</v>
      </c>
      <c r="G53" t="e">
        <f ca="1">INDEX(F$65:INDIRECT("F"&amp;$C$61),$C53)</f>
        <v>#N/A</v>
      </c>
      <c r="H53" t="e">
        <f ca="1">INDEX(G$65:INDIRECT("G"&amp;$C$61),$C53)</f>
        <v>#N/A</v>
      </c>
      <c r="I53" t="e">
        <f ca="1">INDEX(H$65:INDIRECT("H"&amp;$C$61),$C53)</f>
        <v>#N/A</v>
      </c>
      <c r="J53" t="e">
        <f ca="1">INDEX(I$65:INDIRECT("I"&amp;$C$61),$C53)</f>
        <v>#N/A</v>
      </c>
      <c r="K53" s="7" t="e">
        <f ca="1">INDEX(J$65:INDIRECT("J"&amp;$C$61),$C53)</f>
        <v>#N/A</v>
      </c>
      <c r="L53" t="e">
        <f ca="1">INDEX(K$65:INDIRECT("K"&amp;$C$61),$C53)</f>
        <v>#N/A</v>
      </c>
      <c r="M53" t="e">
        <f ca="1">INDEX(L$65:INDIRECT("L"&amp;$C$61),$C53)</f>
        <v>#N/A</v>
      </c>
      <c r="N53" t="e">
        <f ca="1">INDEX(M$65:INDIRECT("M"&amp;$C$61),$C53)</f>
        <v>#N/A</v>
      </c>
      <c r="O53" t="e">
        <f ca="1">INDEX(N$65:INDIRECT("N"&amp;$C$61),$C53)</f>
        <v>#N/A</v>
      </c>
      <c r="P53" s="23" t="e">
        <f ca="1">INDEX(O$65:INDIRECT("O"&amp;$C$61),$C53)</f>
        <v>#N/A</v>
      </c>
      <c r="Q53" s="104"/>
      <c r="R53" s="74" t="s">
        <v>72</v>
      </c>
      <c r="S53" s="69" t="s">
        <v>36</v>
      </c>
      <c r="T53" s="74" t="e">
        <f t="array" aca="1" ref="T53" ca="1">MATCH(IF(ISBLANK($AE$11),SMALL(IF($E$65:INDIRECT("E"&amp;$C$61)=$AE$10,INDIRECT(AJ53&amp;65):INDIRECT(AJ53&amp;$C$61)),$AH53),IF(ISBLANK($AE$10),SMALL(IF($D$65:INDIRECT("D"&amp;$C$61)=$AE$11,INDIRECT(AJ53&amp;65):INDIRECT(AJ53&amp;$C$61)),$AH53),SMALL(IF(($E$65:INDIRECT("E"&amp;$C$61)=$AE$10)*($D$65:INDIRECT("D"&amp;$C$61)=$AE$11),INDIRECT(AJ53&amp;65):INDIRECT(AJ53&amp;$C$61)),$AH53))),INDIRECT(AJ53&amp;65):INDIRECT(AJ53&amp;$C$61),0)</f>
        <v>#NUM!</v>
      </c>
      <c r="U53" s="69" t="e">
        <f ca="1">INDEX(D$65:INDIRECT("D"&amp;$C$61),$T53)</f>
        <v>#NUM!</v>
      </c>
      <c r="V53" s="69" t="e">
        <f ca="1">INDEX(INDIRECT(("'MemberID'!$C$6:C"&amp;MemberID!$C$1)),MATCH(U53,INDIRECT(("'MemberID'!$G$6:G"&amp;MemberID!$C$1)),0))</f>
        <v>#NUM!</v>
      </c>
      <c r="W53" s="69" t="e">
        <f ca="1">INDEX(E$65:INDIRECT("E"&amp;$C$61),$T53)</f>
        <v>#NUM!</v>
      </c>
      <c r="X53" t="e">
        <f ca="1">INDEX(F$65:INDIRECT("F"&amp;$C$61),$T53)</f>
        <v>#NUM!</v>
      </c>
      <c r="Y53" t="e">
        <f ca="1">INDEX(G$65:INDIRECT("G"&amp;$C$61),$T53)</f>
        <v>#NUM!</v>
      </c>
      <c r="Z53" t="e">
        <f ca="1">INDEX(H$65:INDIRECT("H"&amp;$C$61),$T53)</f>
        <v>#NUM!</v>
      </c>
      <c r="AA53" t="e">
        <f ca="1">INDEX(I$65:INDIRECT("I"&amp;$C$61),$T53)</f>
        <v>#NUM!</v>
      </c>
      <c r="AB53" t="e">
        <f ca="1">INDEX(J$65:INDIRECT("J"&amp;$C$61),$T53)</f>
        <v>#NUM!</v>
      </c>
      <c r="AC53" t="e">
        <f ca="1">INDEX(K$65:INDIRECT("K"&amp;$C$61),$T53)</f>
        <v>#NUM!</v>
      </c>
      <c r="AD53" t="e">
        <f ca="1">INDEX(L$65:INDIRECT("L"&amp;$C$61),$T53)</f>
        <v>#NUM!</v>
      </c>
      <c r="AE53" t="e">
        <f ca="1">INDEX(M$65:INDIRECT("M"&amp;$C$61),$T53)</f>
        <v>#NUM!</v>
      </c>
      <c r="AF53" t="e">
        <f ca="1">INDEX(N$65:INDIRECT("N"&amp;$C$61),$T53)</f>
        <v>#NUM!</v>
      </c>
      <c r="AG53" s="23" t="e">
        <f t="array" aca="1" ref="AG53" ca="1">IF(ISBLANK($AE$11),SMALL(IF($E$65:INDIRECT("E"&amp;$C$61)=$AE$10,O$65:INDIRECT(AG$13&amp;$C$61)),$AH53),IF(ISBLANK($AE$10),SMALL(IF($D$65:INDIRECT("D"&amp;$C$61)=$AE$11,O$65:INDIRECT(AG$13&amp;$C$61)),$AH53),SMALL(IF(($E$65:INDIRECT("E"&amp;$C$61)=$AE$10)*($D$65:INDIRECT("D"&amp;$C$61)=$AE$11),O$65:INDIRECT(AG$13&amp;$C$61)),$AH53)))</f>
        <v>#NUM!</v>
      </c>
      <c r="AH53" s="69">
        <v>1</v>
      </c>
      <c r="AI53" s="69" t="str">
        <f t="shared" si="5"/>
        <v>O</v>
      </c>
      <c r="AJ53" s="69" t="str">
        <f t="shared" si="5"/>
        <v>V</v>
      </c>
    </row>
    <row r="54" spans="1:49" x14ac:dyDescent="0.25">
      <c r="A54" s="74" t="s">
        <v>73</v>
      </c>
      <c r="B54" s="69" t="s">
        <v>36</v>
      </c>
      <c r="C54" s="74" t="e">
        <f ca="1">W6</f>
        <v>#NUM!</v>
      </c>
      <c r="D54" s="69" t="e">
        <f ca="1">INDEX(D$65:INDIRECT("D"&amp;$C$61),$C54)</f>
        <v>#NUM!</v>
      </c>
      <c r="E54" s="69" t="e">
        <f ca="1">INDEX(INDIRECT(("'MemberID'!$C$6:C"&amp;MemberID!$C$1)),MATCH(D54,INDIRECT(("'MemberID'!$G$6:G"&amp;MemberID!$C$1)),0))</f>
        <v>#NUM!</v>
      </c>
      <c r="F54" s="69" t="e">
        <f ca="1">INDEX(E$65:INDIRECT("E"&amp;$C$61),$C54)</f>
        <v>#NUM!</v>
      </c>
      <c r="G54" t="e">
        <f ca="1">INDEX(F$65:INDIRECT("F"&amp;$C$61),$C54)</f>
        <v>#NUM!</v>
      </c>
      <c r="H54" t="e">
        <f ca="1">INDEX(G$65:INDIRECT("G"&amp;$C$61),$C54)</f>
        <v>#NUM!</v>
      </c>
      <c r="I54" t="e">
        <f ca="1">INDEX(H$65:INDIRECT("H"&amp;$C$61),$C54)</f>
        <v>#NUM!</v>
      </c>
      <c r="J54" t="e">
        <f ca="1">INDEX(I$65:INDIRECT("I"&amp;$C$61),$C54)</f>
        <v>#NUM!</v>
      </c>
      <c r="K54" s="7" t="e">
        <f ca="1">INDEX(J$65:INDIRECT("J"&amp;$C$61),$C54)</f>
        <v>#NUM!</v>
      </c>
      <c r="L54" t="e">
        <f ca="1">INDEX(K$65:INDIRECT("K"&amp;$C$61),$C54)</f>
        <v>#NUM!</v>
      </c>
      <c r="M54" t="e">
        <f ca="1">INDEX(L$65:INDIRECT("L"&amp;$C$61),$C54)</f>
        <v>#NUM!</v>
      </c>
      <c r="N54" t="e">
        <f ca="1">INDEX(M$65:INDIRECT("M"&amp;$C$61),$C54)</f>
        <v>#NUM!</v>
      </c>
      <c r="O54" t="e">
        <f ca="1">INDEX(N$65:INDIRECT("N"&amp;$C$61),$C54)</f>
        <v>#NUM!</v>
      </c>
      <c r="P54" s="23" t="e">
        <f ca="1">INDEX(O$65:INDIRECT("O"&amp;$C$61),$C54)</f>
        <v>#NUM!</v>
      </c>
      <c r="Q54" s="104"/>
      <c r="R54" s="74" t="s">
        <v>73</v>
      </c>
      <c r="S54" s="69" t="s">
        <v>36</v>
      </c>
      <c r="T54" s="74" t="e">
        <f t="array" aca="1" ref="T54" ca="1">MATCH(IF(ISBLANK($AE$11),SMALL(IF($E$65:INDIRECT("E"&amp;$C$61)=$AE$10,INDIRECT(AJ54&amp;65):INDIRECT(AJ54&amp;$C$61)),$AH54),IF(ISBLANK($AE$10),SMALL(IF($D$65:INDIRECT("D"&amp;$C$61)=$AE$11,INDIRECT(AJ54&amp;65):INDIRECT(AJ54&amp;$C$61)),$AH54),SMALL(IF(($E$65:INDIRECT("E"&amp;$C$61)=$AE$10)*($D$65:INDIRECT("D"&amp;$C$61)=$AE$11),INDIRECT(AJ54&amp;65):INDIRECT(AJ54&amp;$C$61)),$AH54))),INDIRECT(AJ54&amp;65):INDIRECT(AJ54&amp;$C$61),0)</f>
        <v>#NUM!</v>
      </c>
      <c r="U54" s="69" t="e">
        <f ca="1">INDEX(D$65:INDIRECT("D"&amp;$C$61),$T54)</f>
        <v>#NUM!</v>
      </c>
      <c r="V54" s="69" t="e">
        <f ca="1">INDEX(INDIRECT(("'MemberID'!$C$6:C"&amp;MemberID!$C$1)),MATCH(U54,INDIRECT(("'MemberID'!$G$6:G"&amp;MemberID!$C$1)),0))</f>
        <v>#NUM!</v>
      </c>
      <c r="W54" s="69" t="e">
        <f ca="1">INDEX(E$65:INDIRECT("E"&amp;$C$61),$T54)</f>
        <v>#NUM!</v>
      </c>
      <c r="X54" t="e">
        <f ca="1">INDEX(F$65:INDIRECT("F"&amp;$C$61),$T54)</f>
        <v>#NUM!</v>
      </c>
      <c r="Y54" t="e">
        <f ca="1">INDEX(G$65:INDIRECT("G"&amp;$C$61),$T54)</f>
        <v>#NUM!</v>
      </c>
      <c r="Z54" t="e">
        <f ca="1">INDEX(H$65:INDIRECT("H"&amp;$C$61),$T54)</f>
        <v>#NUM!</v>
      </c>
      <c r="AA54" t="e">
        <f ca="1">INDEX(I$65:INDIRECT("I"&amp;$C$61),$T54)</f>
        <v>#NUM!</v>
      </c>
      <c r="AB54" t="e">
        <f ca="1">INDEX(J$65:INDIRECT("J"&amp;$C$61),$T54)</f>
        <v>#NUM!</v>
      </c>
      <c r="AC54" t="e">
        <f ca="1">INDEX(K$65:INDIRECT("K"&amp;$C$61),$T54)</f>
        <v>#NUM!</v>
      </c>
      <c r="AD54" t="e">
        <f ca="1">INDEX(L$65:INDIRECT("L"&amp;$C$61),$T54)</f>
        <v>#NUM!</v>
      </c>
      <c r="AE54" t="e">
        <f ca="1">INDEX(M$65:INDIRECT("M"&amp;$C$61),$T54)</f>
        <v>#NUM!</v>
      </c>
      <c r="AF54" t="e">
        <f ca="1">INDEX(N$65:INDIRECT("N"&amp;$C$61),$T54)</f>
        <v>#NUM!</v>
      </c>
      <c r="AG54" s="23" t="e">
        <f t="array" aca="1" ref="AG54" ca="1">IF(ISBLANK($AE$11),SMALL(IF($E$65:INDIRECT("E"&amp;$C$61)=$AE$10,O$65:INDIRECT(AG$13&amp;$C$61)),$AH54),IF(ISBLANK($AE$10),SMALL(IF($D$65:INDIRECT("D"&amp;$C$61)=$AE$11,O$65:INDIRECT(AG$13&amp;$C$61)),$AH54),SMALL(IF(($E$65:INDIRECT("E"&amp;$C$61)=$AE$10)*($D$65:INDIRECT("D"&amp;$C$61)=$AE$11),O$65:INDIRECT(AG$13&amp;$C$61)),$AH54)))</f>
        <v>#NUM!</v>
      </c>
      <c r="AH54" s="69">
        <v>2</v>
      </c>
      <c r="AI54" s="69" t="str">
        <f t="shared" si="5"/>
        <v>O</v>
      </c>
      <c r="AJ54" s="69" t="str">
        <f t="shared" si="5"/>
        <v>V</v>
      </c>
    </row>
    <row r="55" spans="1:49" x14ac:dyDescent="0.25">
      <c r="A55" s="74" t="s">
        <v>74</v>
      </c>
      <c r="B55" s="69" t="s">
        <v>36</v>
      </c>
      <c r="C55" s="74" t="e">
        <f ca="1">AE6</f>
        <v>#NUM!</v>
      </c>
      <c r="D55" s="69" t="e">
        <f ca="1">INDEX(D$65:INDIRECT("D"&amp;$C$61),$C55)</f>
        <v>#NUM!</v>
      </c>
      <c r="E55" s="69" t="e">
        <f ca="1">INDEX(INDIRECT(("'MemberID'!$C$6:C"&amp;MemberID!$C$1)),MATCH(D55,INDIRECT(("'MemberID'!$G$6:G"&amp;MemberID!$C$1)),0))</f>
        <v>#NUM!</v>
      </c>
      <c r="F55" s="69" t="e">
        <f ca="1">INDEX(E$65:INDIRECT("E"&amp;$C$61),$C55)</f>
        <v>#NUM!</v>
      </c>
      <c r="G55" t="e">
        <f ca="1">INDEX(F$65:INDIRECT("F"&amp;$C$61),$C55)</f>
        <v>#NUM!</v>
      </c>
      <c r="H55" t="e">
        <f ca="1">INDEX(G$65:INDIRECT("G"&amp;$C$61),$C55)</f>
        <v>#NUM!</v>
      </c>
      <c r="I55" t="e">
        <f ca="1">INDEX(H$65:INDIRECT("H"&amp;$C$61),$C55)</f>
        <v>#NUM!</v>
      </c>
      <c r="J55" t="e">
        <f ca="1">INDEX(I$65:INDIRECT("I"&amp;$C$61),$C55)</f>
        <v>#NUM!</v>
      </c>
      <c r="K55" s="7" t="e">
        <f ca="1">INDEX(J$65:INDIRECT("J"&amp;$C$61),$C55)</f>
        <v>#NUM!</v>
      </c>
      <c r="L55" t="e">
        <f ca="1">INDEX(K$65:INDIRECT("K"&amp;$C$61),$C55)</f>
        <v>#NUM!</v>
      </c>
      <c r="M55" t="e">
        <f ca="1">INDEX(L$65:INDIRECT("L"&amp;$C$61),$C55)</f>
        <v>#NUM!</v>
      </c>
      <c r="N55" t="e">
        <f ca="1">INDEX(M$65:INDIRECT("M"&amp;$C$61),$C55)</f>
        <v>#NUM!</v>
      </c>
      <c r="O55" t="e">
        <f ca="1">INDEX(N$65:INDIRECT("N"&amp;$C$61),$C55)</f>
        <v>#NUM!</v>
      </c>
      <c r="P55" s="23" t="e">
        <f ca="1">INDEX(O$65:INDIRECT("O"&amp;$C$61),$C55)</f>
        <v>#NUM!</v>
      </c>
      <c r="Q55" s="104"/>
      <c r="R55" s="74" t="s">
        <v>74</v>
      </c>
      <c r="S55" s="69" t="s">
        <v>36</v>
      </c>
      <c r="T55" s="74" t="e">
        <f t="array" aca="1" ref="T55" ca="1">MATCH(IF(ISBLANK($AE$11),SMALL(IF($E$65:INDIRECT("E"&amp;$C$61)=$AE$10,INDIRECT(AJ55&amp;65):INDIRECT(AJ55&amp;$C$61)),$AH55),IF(ISBLANK($AE$10),SMALL(IF($D$65:INDIRECT("D"&amp;$C$61)=$AE$11,INDIRECT(AJ55&amp;65):INDIRECT(AJ55&amp;$C$61)),$AH55),SMALL(IF(($E$65:INDIRECT("E"&amp;$C$61)=$AE$10)*($D$65:INDIRECT("D"&amp;$C$61)=$AE$11),INDIRECT(AJ55&amp;65):INDIRECT(AJ55&amp;$C$61)),$AH55))),INDIRECT(AJ55&amp;65):INDIRECT(AJ55&amp;$C$61),0)</f>
        <v>#NUM!</v>
      </c>
      <c r="U55" s="69" t="e">
        <f ca="1">INDEX(D$65:INDIRECT("D"&amp;$C$61),$T55)</f>
        <v>#NUM!</v>
      </c>
      <c r="V55" s="69" t="e">
        <f ca="1">INDEX(INDIRECT(("'MemberID'!$C$6:C"&amp;MemberID!$C$1)),MATCH(U55,INDIRECT(("'MemberID'!$G$6:G"&amp;MemberID!$C$1)),0))</f>
        <v>#NUM!</v>
      </c>
      <c r="W55" s="69" t="e">
        <f ca="1">INDEX(E$65:INDIRECT("E"&amp;$C$61),$T55)</f>
        <v>#NUM!</v>
      </c>
      <c r="X55" t="e">
        <f ca="1">INDEX(F$65:INDIRECT("F"&amp;$C$61),$T55)</f>
        <v>#NUM!</v>
      </c>
      <c r="Y55" t="e">
        <f ca="1">INDEX(G$65:INDIRECT("G"&amp;$C$61),$T55)</f>
        <v>#NUM!</v>
      </c>
      <c r="Z55" t="e">
        <f ca="1">INDEX(H$65:INDIRECT("H"&amp;$C$61),$T55)</f>
        <v>#NUM!</v>
      </c>
      <c r="AA55" t="e">
        <f ca="1">INDEX(I$65:INDIRECT("I"&amp;$C$61),$T55)</f>
        <v>#NUM!</v>
      </c>
      <c r="AB55" t="e">
        <f ca="1">INDEX(J$65:INDIRECT("J"&amp;$C$61),$T55)</f>
        <v>#NUM!</v>
      </c>
      <c r="AC55" t="e">
        <f ca="1">INDEX(K$65:INDIRECT("K"&amp;$C$61),$T55)</f>
        <v>#NUM!</v>
      </c>
      <c r="AD55" t="e">
        <f ca="1">INDEX(L$65:INDIRECT("L"&amp;$C$61),$T55)</f>
        <v>#NUM!</v>
      </c>
      <c r="AE55" t="e">
        <f ca="1">INDEX(M$65:INDIRECT("M"&amp;$C$61),$T55)</f>
        <v>#NUM!</v>
      </c>
      <c r="AF55" t="e">
        <f ca="1">INDEX(N$65:INDIRECT("N"&amp;$C$61),$T55)</f>
        <v>#NUM!</v>
      </c>
      <c r="AG55" s="23" t="e">
        <f t="array" aca="1" ref="AG55" ca="1">IF(ISBLANK($AE$11),SMALL(IF($E$65:INDIRECT("E"&amp;$C$61)=$AE$10,O$65:INDIRECT(AG$13&amp;$C$61)),$AH55),IF(ISBLANK($AE$10),SMALL(IF($D$65:INDIRECT("D"&amp;$C$61)=$AE$11,O$65:INDIRECT(AG$13&amp;$C$61)),$AH55),SMALL(IF(($E$65:INDIRECT("E"&amp;$C$61)=$AE$10)*($D$65:INDIRECT("D"&amp;$C$61)=$AE$11),O$65:INDIRECT(AG$13&amp;$C$61)),$AH55)))</f>
        <v>#NUM!</v>
      </c>
      <c r="AH55" s="69">
        <v>3</v>
      </c>
      <c r="AI55" s="69" t="str">
        <f t="shared" si="5"/>
        <v>O</v>
      </c>
      <c r="AJ55" s="69" t="str">
        <f t="shared" si="5"/>
        <v>V</v>
      </c>
    </row>
    <row r="56" spans="1:49" x14ac:dyDescent="0.25">
      <c r="Q56" s="104"/>
    </row>
    <row r="57" spans="1:49" x14ac:dyDescent="0.25">
      <c r="E57" s="57"/>
      <c r="F57" s="57"/>
      <c r="G57" s="57"/>
      <c r="H57" s="57"/>
      <c r="Q57" s="104"/>
    </row>
    <row r="58" spans="1:49" x14ac:dyDescent="0.25">
      <c r="D58" s="7"/>
      <c r="E58" s="77"/>
      <c r="F58" s="77"/>
      <c r="G58" s="77"/>
      <c r="H58" s="77"/>
      <c r="I58" s="7"/>
      <c r="J58" s="7"/>
      <c r="K58" s="7"/>
      <c r="L58" s="7"/>
      <c r="M58" s="7"/>
      <c r="N58" s="7"/>
      <c r="O58" s="7"/>
      <c r="Q58" s="105"/>
      <c r="R58" s="7"/>
      <c r="S58" s="7"/>
      <c r="T58" s="7"/>
      <c r="U58" s="7"/>
      <c r="V58" s="7"/>
      <c r="W58" s="7"/>
      <c r="X58" s="7"/>
    </row>
    <row r="59" spans="1:49" x14ac:dyDescent="0.25">
      <c r="D59" s="66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8"/>
      <c r="Q59" s="105"/>
      <c r="R59" s="7"/>
      <c r="S59" s="7"/>
      <c r="T59" s="7"/>
      <c r="U59" s="7"/>
      <c r="V59" s="7"/>
      <c r="W59" s="7"/>
      <c r="X59" s="7"/>
    </row>
    <row r="60" spans="1:49" x14ac:dyDescent="0.25">
      <c r="D60" s="66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8"/>
      <c r="Q60" s="105"/>
      <c r="R60" s="7"/>
      <c r="S60" s="7"/>
      <c r="T60" s="7"/>
      <c r="U60" s="7"/>
      <c r="V60" s="7"/>
      <c r="W60" s="7"/>
      <c r="X60" s="7"/>
    </row>
    <row r="61" spans="1:49" x14ac:dyDescent="0.25">
      <c r="B61" t="s">
        <v>23</v>
      </c>
      <c r="C61" s="23">
        <f>LOOKUP(2,1/(NOT(ISBLANK(D:D))),ROW(D:D))</f>
        <v>64</v>
      </c>
      <c r="D61" s="66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8"/>
      <c r="Q61" s="105"/>
      <c r="R61" s="7"/>
      <c r="S61" s="7"/>
      <c r="T61" s="7"/>
      <c r="U61" s="7"/>
      <c r="V61" s="7"/>
      <c r="W61" s="7"/>
      <c r="X61" s="7"/>
    </row>
    <row r="62" spans="1:49" x14ac:dyDescent="0.25">
      <c r="Q62" s="104"/>
    </row>
    <row r="63" spans="1:49" x14ac:dyDescent="0.25">
      <c r="C63" s="7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Q63" s="22" t="s">
        <v>168</v>
      </c>
      <c r="R63" s="22"/>
      <c r="S63" s="22"/>
      <c r="T63" s="22"/>
      <c r="U63" s="22"/>
      <c r="V63" s="22"/>
    </row>
    <row r="64" spans="1:49" x14ac:dyDescent="0.25">
      <c r="C64" s="7"/>
      <c r="D64" t="s">
        <v>0</v>
      </c>
      <c r="E64" s="28" t="s">
        <v>191</v>
      </c>
      <c r="F64" s="28" t="s">
        <v>192</v>
      </c>
      <c r="G64" s="28" t="s">
        <v>193</v>
      </c>
      <c r="H64" s="28" t="s">
        <v>194</v>
      </c>
      <c r="I64" t="s">
        <v>129</v>
      </c>
      <c r="J64" t="s">
        <v>5</v>
      </c>
      <c r="K64" t="s">
        <v>6</v>
      </c>
      <c r="L64" t="s">
        <v>7</v>
      </c>
      <c r="M64" t="s">
        <v>8</v>
      </c>
      <c r="N64" t="s">
        <v>9</v>
      </c>
      <c r="O64" t="s">
        <v>10</v>
      </c>
      <c r="Q64" s="69" t="s">
        <v>140</v>
      </c>
      <c r="R64" s="69" t="s">
        <v>141</v>
      </c>
      <c r="S64" s="69" t="s">
        <v>142</v>
      </c>
      <c r="T64" s="69" t="s">
        <v>143</v>
      </c>
      <c r="U64" s="69" t="s">
        <v>144</v>
      </c>
      <c r="V64" s="69" t="s">
        <v>145</v>
      </c>
      <c r="AD64" s="1"/>
      <c r="AE64" s="1"/>
      <c r="AO64" s="1"/>
      <c r="AP64" s="1"/>
      <c r="AQ64" s="1"/>
      <c r="AR64" s="1"/>
      <c r="AS64" s="1"/>
      <c r="AT64" s="1"/>
      <c r="AU64" s="1"/>
      <c r="AW64" s="1"/>
    </row>
  </sheetData>
  <dataValidations count="2">
    <dataValidation type="list" showInputMessage="1" showErrorMessage="1" sqref="AE11" xr:uid="{D20D74DC-4AAE-4B40-BE45-A9E40D4F3ED5}">
      <formula1>MemberList</formula1>
    </dataValidation>
    <dataValidation type="list" showInputMessage="1" showErrorMessage="1" sqref="AE10" xr:uid="{EABB16E0-4E9E-4704-8D08-4BA9E38C8236}">
      <formula1>StationList</formula1>
    </dataValidation>
  </dataValidation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72D8C-2462-4A19-A102-B4C91E94BAEF}">
  <sheetPr codeName="Sheet64"/>
  <dimension ref="A1:AZ65"/>
  <sheetViews>
    <sheetView zoomScale="70" zoomScaleNormal="70" workbookViewId="0"/>
  </sheetViews>
  <sheetFormatPr defaultRowHeight="15" x14ac:dyDescent="0.25"/>
  <cols>
    <col min="1" max="1" width="10.28515625" customWidth="1"/>
    <col min="2" max="2" width="11.7109375" customWidth="1"/>
    <col min="3" max="3" width="13.42578125" bestFit="1" customWidth="1"/>
    <col min="4" max="4" width="8.85546875" customWidth="1"/>
    <col min="5" max="6" width="14.85546875" bestFit="1" customWidth="1"/>
    <col min="7" max="8" width="20.5703125" bestFit="1" customWidth="1"/>
    <col min="9" max="10" width="35.7109375" customWidth="1"/>
    <col min="11" max="11" width="17.28515625" bestFit="1" customWidth="1"/>
    <col min="12" max="13" width="15.85546875" bestFit="1" customWidth="1"/>
    <col min="14" max="15" width="19.140625" bestFit="1" customWidth="1"/>
    <col min="16" max="16" width="18.85546875" customWidth="1"/>
    <col min="17" max="17" width="15.85546875" customWidth="1"/>
    <col min="18" max="21" width="15.85546875" bestFit="1" customWidth="1"/>
    <col min="22" max="22" width="16.85546875" bestFit="1" customWidth="1"/>
    <col min="23" max="23" width="16.7109375" bestFit="1" customWidth="1"/>
    <col min="24" max="24" width="13" bestFit="1" customWidth="1"/>
    <col min="25" max="25" width="20.5703125" bestFit="1" customWidth="1"/>
    <col min="26" max="26" width="14.85546875" bestFit="1" customWidth="1"/>
    <col min="27" max="27" width="35.7109375" customWidth="1"/>
    <col min="28" max="29" width="15.85546875" bestFit="1" customWidth="1"/>
    <col min="30" max="30" width="16.85546875" bestFit="1" customWidth="1"/>
    <col min="31" max="31" width="16.85546875" customWidth="1"/>
    <col min="32" max="33" width="15.85546875" bestFit="1" customWidth="1"/>
    <col min="34" max="34" width="12.5703125" customWidth="1"/>
    <col min="35" max="36" width="14.42578125" customWidth="1"/>
  </cols>
  <sheetData>
    <row r="1" spans="1:38" x14ac:dyDescent="0.25">
      <c r="A1" s="26" t="str">
        <f>'MODEL INTRO'!M19</f>
        <v>S2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</row>
    <row r="2" spans="1:38" x14ac:dyDescent="0.25">
      <c r="A2" s="27" t="str">
        <f>'STR1 Forces'!A2</f>
        <v>Column Forces</v>
      </c>
      <c r="I2" s="103" t="s">
        <v>63</v>
      </c>
      <c r="J2" s="25">
        <f ca="1">MAX(J$65:INDIRECT("G"&amp;$C$61))</f>
        <v>0</v>
      </c>
      <c r="K2" s="25">
        <f ca="1">MAX(K$65:INDIRECT("H"&amp;$C$61))</f>
        <v>0</v>
      </c>
      <c r="L2" s="25">
        <f ca="1">MAX(L$65:INDIRECT("I"&amp;$C$61))</f>
        <v>0</v>
      </c>
      <c r="M2" s="25">
        <f ca="1">MAX(M$65:INDIRECT("J"&amp;$C$61))</f>
        <v>0</v>
      </c>
      <c r="N2" s="25">
        <f ca="1">MAX(N$65:INDIRECT("K"&amp;$C$61))</f>
        <v>0</v>
      </c>
      <c r="O2" s="25">
        <f ca="1">MAX(O$65:INDIRECT("L"&amp;$C$61))</f>
        <v>0</v>
      </c>
      <c r="Q2" s="103" t="s">
        <v>64</v>
      </c>
      <c r="R2" s="25" t="e">
        <f ca="1">LARGE(J$65:INDIRECT("G"&amp;$C$61),2)</f>
        <v>#NUM!</v>
      </c>
      <c r="S2" s="25" t="e">
        <f ca="1">LARGE(K$65:INDIRECT("H"&amp;$C$61),2)</f>
        <v>#NUM!</v>
      </c>
      <c r="T2" s="25" t="e">
        <f ca="1">LARGE(L$65:INDIRECT("I"&amp;$C$61),2)</f>
        <v>#NUM!</v>
      </c>
      <c r="U2" s="25" t="e">
        <f ca="1">LARGE(M$65:INDIRECT("J"&amp;$C$61),2)</f>
        <v>#NUM!</v>
      </c>
      <c r="V2" s="25" t="e">
        <f ca="1">LARGE(N$65:INDIRECT("K"&amp;$C$61),2)</f>
        <v>#NUM!</v>
      </c>
      <c r="W2" s="25" t="e">
        <f ca="1">LARGE(O$65:INDIRECT("L"&amp;$C$61),2)</f>
        <v>#NUM!</v>
      </c>
      <c r="Y2" s="103" t="s">
        <v>65</v>
      </c>
      <c r="Z2" s="25" t="e">
        <f ca="1">LARGE(J$65:INDIRECT("G"&amp;$C$61),3)</f>
        <v>#NUM!</v>
      </c>
      <c r="AA2" s="25" t="e">
        <f ca="1">LARGE(K$65:INDIRECT("H"&amp;$C$61),3)</f>
        <v>#NUM!</v>
      </c>
      <c r="AB2" s="25" t="e">
        <f ca="1">LARGE(L$65:INDIRECT("I"&amp;$C$61),3)</f>
        <v>#NUM!</v>
      </c>
      <c r="AC2" s="25" t="e">
        <f ca="1">LARGE(M$65:INDIRECT("J"&amp;$C$61),3)</f>
        <v>#NUM!</v>
      </c>
      <c r="AD2" s="25" t="e">
        <f ca="1">LARGE(N$65:INDIRECT("K"&amp;$C$61),3)</f>
        <v>#NUM!</v>
      </c>
      <c r="AE2" s="25" t="e">
        <f ca="1">LARGE(O$65:INDIRECT("L"&amp;$C$61),3)</f>
        <v>#NUM!</v>
      </c>
      <c r="AI2" s="24" t="s">
        <v>163</v>
      </c>
    </row>
    <row r="3" spans="1:38" x14ac:dyDescent="0.25">
      <c r="A3" s="27" t="s">
        <v>175</v>
      </c>
      <c r="I3" s="103" t="s">
        <v>30</v>
      </c>
      <c r="J3" s="56" t="e">
        <f ca="1">MATCH(MAX(Q$65:INDIRECT(AB14&amp;$C$61)),Q$65:INDIRECT(AB14&amp;$C$61),0)</f>
        <v>#N/A</v>
      </c>
      <c r="K3" s="56" t="e">
        <f ca="1">MATCH(MAX(R$65:INDIRECT(AC14&amp;$C$61)),R$65:INDIRECT(AC14&amp;$C$61),0)</f>
        <v>#N/A</v>
      </c>
      <c r="L3" s="56" t="e">
        <f ca="1">MATCH(MAX(S$65:INDIRECT(AD14&amp;$C$61)),S$65:INDIRECT(AD14&amp;$C$61),0)</f>
        <v>#N/A</v>
      </c>
      <c r="M3" s="56" t="e">
        <f ca="1">MATCH(MAX(T$65:INDIRECT(AE14&amp;$C$61)),T$65:INDIRECT(AE14&amp;$C$61),0)</f>
        <v>#N/A</v>
      </c>
      <c r="N3" s="56" t="e">
        <f ca="1">MATCH(MAX(U$65:INDIRECT(AF14&amp;$C$61)),U$65:INDIRECT(AF14&amp;$C$61),0)</f>
        <v>#N/A</v>
      </c>
      <c r="O3" s="56" t="e">
        <f ca="1">MATCH(MAX(V$65:INDIRECT(AG14&amp;$C$61)),V$65:INDIRECT(AG14&amp;$C$61),0)</f>
        <v>#N/A</v>
      </c>
      <c r="Q3" s="103" t="s">
        <v>30</v>
      </c>
      <c r="R3" s="56" t="e">
        <f ca="1">MATCH(LARGE(Q$65:INDIRECT(AB14&amp;$C$61),2),Q$65:INDIRECT(AB14&amp;$C$61),0)</f>
        <v>#NUM!</v>
      </c>
      <c r="S3" s="56" t="e">
        <f ca="1">MATCH(LARGE(R$65:INDIRECT(AC14&amp;$C$61),2),R$65:INDIRECT(AC14&amp;$C$61),0)</f>
        <v>#NUM!</v>
      </c>
      <c r="T3" s="56" t="e">
        <f ca="1">MATCH(LARGE(S$65:INDIRECT(AD14&amp;$C$61),2),S$65:INDIRECT(AD14&amp;$C$61),0)</f>
        <v>#NUM!</v>
      </c>
      <c r="U3" s="56" t="e">
        <f ca="1">MATCH(LARGE(T$65:INDIRECT(AE14&amp;$C$61),2),T$65:INDIRECT(AE14&amp;$C$61),0)</f>
        <v>#NUM!</v>
      </c>
      <c r="V3" s="56" t="e">
        <f ca="1">MATCH(LARGE(U$65:INDIRECT(AF14&amp;$C$61),2),U$65:INDIRECT(AF14&amp;$C$61),0)</f>
        <v>#NUM!</v>
      </c>
      <c r="W3" s="56" t="e">
        <f ca="1">MATCH(LARGE(V$65:INDIRECT(AG14&amp;$C$61),2),V$65:INDIRECT(AG14&amp;$C$61),0)</f>
        <v>#NUM!</v>
      </c>
      <c r="Y3" s="103" t="s">
        <v>30</v>
      </c>
      <c r="Z3" s="56" t="e">
        <f ca="1">MATCH(LARGE(Q$65:INDIRECT(AB14&amp;$C$61),3),Q$65:INDIRECT(AB14&amp;$C$61),0)</f>
        <v>#NUM!</v>
      </c>
      <c r="AA3" s="56" t="e">
        <f ca="1">MATCH(LARGE(R$65:INDIRECT(AC14&amp;$C$61),3),R$65:INDIRECT(AC14&amp;$C$61),0)</f>
        <v>#NUM!</v>
      </c>
      <c r="AB3" s="56" t="e">
        <f ca="1">MATCH(LARGE(S$65:INDIRECT(AD14&amp;$C$61),3),S$65:INDIRECT(AD14&amp;$C$61),0)</f>
        <v>#NUM!</v>
      </c>
      <c r="AC3" s="56" t="e">
        <f ca="1">MATCH(LARGE(T$65:INDIRECT(AE14&amp;$C$61),3),T$65:INDIRECT(AE14&amp;$C$61),0)</f>
        <v>#NUM!</v>
      </c>
      <c r="AD3" s="56" t="e">
        <f ca="1">MATCH(LARGE(U$65:INDIRECT(AF14&amp;$C$61),3),U$65:INDIRECT(AF14&amp;$C$61),0)</f>
        <v>#NUM!</v>
      </c>
      <c r="AE3" s="56" t="e">
        <f ca="1">MATCH(LARGE(V$65:INDIRECT(AG14&amp;$C$61),3),V$65:INDIRECT(AG14&amp;$C$61),0)</f>
        <v>#NUM!</v>
      </c>
      <c r="AI3" s="24" t="s">
        <v>164</v>
      </c>
      <c r="AJ3" s="71" t="s">
        <v>146</v>
      </c>
    </row>
    <row r="4" spans="1:38" x14ac:dyDescent="0.25">
      <c r="I4" s="103"/>
      <c r="J4" s="67"/>
      <c r="K4" s="67"/>
      <c r="L4" s="67"/>
      <c r="M4" s="67"/>
      <c r="N4" s="67"/>
      <c r="O4" s="67"/>
      <c r="Q4" s="103"/>
      <c r="R4" s="67"/>
      <c r="S4" s="67"/>
      <c r="T4" s="67"/>
      <c r="U4" s="67"/>
      <c r="V4" s="67"/>
      <c r="W4" s="67"/>
      <c r="Y4" s="103"/>
      <c r="Z4" s="67"/>
      <c r="AA4" s="67"/>
      <c r="AB4" s="67"/>
      <c r="AC4" s="67"/>
      <c r="AD4" s="67"/>
      <c r="AE4" s="67"/>
      <c r="AI4" s="24" t="s">
        <v>165</v>
      </c>
      <c r="AJ4" s="71" t="s">
        <v>147</v>
      </c>
    </row>
    <row r="5" spans="1:38" x14ac:dyDescent="0.25">
      <c r="I5" s="103" t="s">
        <v>66</v>
      </c>
      <c r="J5" s="25">
        <f ca="1">MIN(J$65:INDIRECT("G"&amp;$C$61))</f>
        <v>0</v>
      </c>
      <c r="K5" s="25">
        <f ca="1">MIN(K$65:INDIRECT("H"&amp;$C$61))</f>
        <v>0</v>
      </c>
      <c r="L5" s="25">
        <f ca="1">MIN(L$65:INDIRECT("I"&amp;$C$61))</f>
        <v>0</v>
      </c>
      <c r="M5" s="25">
        <f ca="1">MIN(M$65:INDIRECT("J"&amp;$C$61))</f>
        <v>0</v>
      </c>
      <c r="N5" s="25">
        <f ca="1">MIN(N$65:INDIRECT("K"&amp;$C$61))</f>
        <v>0</v>
      </c>
      <c r="O5" s="25">
        <f ca="1">MIN(O$65:INDIRECT("L"&amp;$C$61))</f>
        <v>0</v>
      </c>
      <c r="Q5" s="103" t="s">
        <v>67</v>
      </c>
      <c r="R5" s="25" t="e">
        <f ca="1">SMALL(J$65:INDIRECT("G"&amp;$C$61),2)</f>
        <v>#NUM!</v>
      </c>
      <c r="S5" s="25" t="e">
        <f ca="1">SMALL(K$65:INDIRECT("H"&amp;$C$61),2)</f>
        <v>#NUM!</v>
      </c>
      <c r="T5" s="25" t="e">
        <f ca="1">SMALL(L$65:INDIRECT("I"&amp;$C$61),2)</f>
        <v>#NUM!</v>
      </c>
      <c r="U5" s="25" t="e">
        <f ca="1">SMALL(M$65:INDIRECT("J"&amp;$C$61),2)</f>
        <v>#NUM!</v>
      </c>
      <c r="V5" s="25" t="e">
        <f ca="1">SMALL(N$65:INDIRECT("K"&amp;$C$61),2)</f>
        <v>#NUM!</v>
      </c>
      <c r="W5" s="25" t="e">
        <f ca="1">SMALL(O$65:INDIRECT("L"&amp;$C$61),2)</f>
        <v>#NUM!</v>
      </c>
      <c r="Y5" s="103" t="s">
        <v>68</v>
      </c>
      <c r="Z5" s="25" t="e">
        <f ca="1">SMALL(J$65:INDIRECT("G"&amp;$C$61),3)</f>
        <v>#NUM!</v>
      </c>
      <c r="AA5" s="25" t="e">
        <f ca="1">SMALL(K$65:INDIRECT("H"&amp;$C$61),3)</f>
        <v>#NUM!</v>
      </c>
      <c r="AB5" s="25" t="e">
        <f ca="1">SMALL(L$65:INDIRECT("I"&amp;$C$61),3)</f>
        <v>#NUM!</v>
      </c>
      <c r="AC5" s="25" t="e">
        <f ca="1">SMALL(M$65:INDIRECT("J"&amp;$C$61),3)</f>
        <v>#NUM!</v>
      </c>
      <c r="AD5" s="25" t="e">
        <f ca="1">SMALL(N$65:INDIRECT("K"&amp;$C$61),3)</f>
        <v>#NUM!</v>
      </c>
      <c r="AE5" s="25" t="e">
        <f ca="1">SMALL(O$65:INDIRECT("L"&amp;$C$61),3)</f>
        <v>#NUM!</v>
      </c>
      <c r="AI5" s="24" t="s">
        <v>166</v>
      </c>
      <c r="AJ5" s="70" t="s">
        <v>148</v>
      </c>
    </row>
    <row r="6" spans="1:38" x14ac:dyDescent="0.25">
      <c r="I6" s="103" t="s">
        <v>30</v>
      </c>
      <c r="J6" s="56" t="e">
        <f ca="1">MATCH(MIN(Q$65:INDIRECT(AB14&amp;$C$61)),Q$65:INDIRECT(AB14&amp;$C$61),0)</f>
        <v>#N/A</v>
      </c>
      <c r="K6" s="56" t="e">
        <f ca="1">MATCH(MIN(R$65:INDIRECT(AC14&amp;$C$61)),R$65:INDIRECT(AC14&amp;$C$61),0)</f>
        <v>#N/A</v>
      </c>
      <c r="L6" s="56" t="e">
        <f ca="1">MATCH(MIN(S$65:INDIRECT(AD14&amp;$C$61)),S$65:INDIRECT(AD14&amp;$C$61),0)</f>
        <v>#N/A</v>
      </c>
      <c r="M6" s="56" t="e">
        <f ca="1">MATCH(MIN(T$65:INDIRECT(AE14&amp;$C$61)),T$65:INDIRECT(AE14&amp;$C$61),0)</f>
        <v>#N/A</v>
      </c>
      <c r="N6" s="56" t="e">
        <f ca="1">MATCH(MIN(U$65:INDIRECT(AF14&amp;$C$61)),U$65:INDIRECT(AF14&amp;$C$61),0)</f>
        <v>#N/A</v>
      </c>
      <c r="O6" s="56" t="e">
        <f ca="1">MATCH(MIN(V$65:INDIRECT(AG14&amp;$C$61)),V$65:INDIRECT(AG14&amp;$C$61),0)</f>
        <v>#N/A</v>
      </c>
      <c r="Q6" s="103" t="s">
        <v>30</v>
      </c>
      <c r="R6" s="56" t="e">
        <f ca="1">MATCH(SMALL(Q$65:INDIRECT(AB14&amp;$C$61),2),Q$65:INDIRECT(AB14&amp;$C$61),0)</f>
        <v>#NUM!</v>
      </c>
      <c r="S6" s="56" t="e">
        <f ca="1">MATCH(SMALL(R$65:INDIRECT(AC14&amp;$C$61),2),R$65:INDIRECT(AC14&amp;$C$61),0)</f>
        <v>#NUM!</v>
      </c>
      <c r="T6" s="56" t="e">
        <f ca="1">MATCH(SMALL(S$65:INDIRECT(AD14&amp;$C$61),2),S$65:INDIRECT(AD14&amp;$C$61),0)</f>
        <v>#NUM!</v>
      </c>
      <c r="U6" s="56" t="e">
        <f ca="1">MATCH(SMALL(T$65:INDIRECT(AE14&amp;$C$61),2),T$65:INDIRECT(AE14&amp;$C$61),0)</f>
        <v>#NUM!</v>
      </c>
      <c r="V6" s="56" t="e">
        <f ca="1">MATCH(SMALL(U$65:INDIRECT(AF14&amp;$C$61),2),U$65:INDIRECT(AF14&amp;$C$61),0)</f>
        <v>#NUM!</v>
      </c>
      <c r="W6" s="56" t="e">
        <f ca="1">MATCH(SMALL(V$65:INDIRECT(AG14&amp;$C$61),2),V$65:INDIRECT(AG14&amp;$C$61),0)</f>
        <v>#NUM!</v>
      </c>
      <c r="Y6" s="103" t="s">
        <v>30</v>
      </c>
      <c r="Z6" s="56" t="e">
        <f ca="1">MATCH(SMALL(Q$65:INDIRECT(AB14&amp;$C$61),3),Q$65:INDIRECT(AB14&amp;$C$61),0)</f>
        <v>#NUM!</v>
      </c>
      <c r="AA6" s="56" t="e">
        <f ca="1">MATCH(SMALL(R$65:INDIRECT(AC14&amp;$C$61),3),R$65:INDIRECT(AC14&amp;$C$61),0)</f>
        <v>#NUM!</v>
      </c>
      <c r="AB6" s="56" t="e">
        <f ca="1">MATCH(SMALL(S$65:INDIRECT(AD14&amp;$C$61),3),S$65:INDIRECT(AD14&amp;$C$61),0)</f>
        <v>#NUM!</v>
      </c>
      <c r="AC6" s="56" t="e">
        <f ca="1">MATCH(SMALL(T$65:INDIRECT(AE14&amp;$C$61),3),T$65:INDIRECT(AE14&amp;$C$61),0)</f>
        <v>#NUM!</v>
      </c>
      <c r="AD6" s="56" t="e">
        <f ca="1">MATCH(SMALL(U$65:INDIRECT(AF14&amp;$C$61),3),U$65:INDIRECT(AF14&amp;$C$61),0)</f>
        <v>#NUM!</v>
      </c>
      <c r="AE6" s="56" t="e">
        <f ca="1">MATCH(SMALL(V$65:INDIRECT(AG14&amp;$C$61),3),V$65:INDIRECT(AG14&amp;$C$61),0)</f>
        <v>#NUM!</v>
      </c>
      <c r="AI6" s="24" t="s">
        <v>167</v>
      </c>
      <c r="AJ6" s="70" t="s">
        <v>159</v>
      </c>
    </row>
    <row r="7" spans="1:38" x14ac:dyDescent="0.25">
      <c r="Q7" s="104"/>
      <c r="AJ7" s="72" t="s">
        <v>160</v>
      </c>
    </row>
    <row r="8" spans="1:38" x14ac:dyDescent="0.25">
      <c r="Q8" s="104"/>
      <c r="AJ8" t="s">
        <v>161</v>
      </c>
    </row>
    <row r="9" spans="1:38" x14ac:dyDescent="0.25">
      <c r="Q9" s="104"/>
    </row>
    <row r="10" spans="1:38" x14ac:dyDescent="0.25">
      <c r="Q10" s="104"/>
      <c r="AC10" s="23"/>
      <c r="AD10" s="64" t="s">
        <v>176</v>
      </c>
      <c r="AE10" s="76">
        <v>1</v>
      </c>
      <c r="AF10" t="s">
        <v>183</v>
      </c>
    </row>
    <row r="11" spans="1:38" x14ac:dyDescent="0.25">
      <c r="Q11" s="104"/>
      <c r="AC11" s="23"/>
      <c r="AD11" s="64" t="s">
        <v>177</v>
      </c>
      <c r="AE11" s="76">
        <v>2983</v>
      </c>
    </row>
    <row r="12" spans="1:38" x14ac:dyDescent="0.25">
      <c r="D12" s="69" t="s">
        <v>0</v>
      </c>
      <c r="E12" s="69" t="s">
        <v>266</v>
      </c>
      <c r="F12" s="106" t="s">
        <v>191</v>
      </c>
      <c r="G12" s="28" t="s">
        <v>192</v>
      </c>
      <c r="H12" s="28" t="s">
        <v>193</v>
      </c>
      <c r="I12" s="28" t="s">
        <v>194</v>
      </c>
      <c r="J12" t="s">
        <v>129</v>
      </c>
      <c r="K12" t="s">
        <v>5</v>
      </c>
      <c r="L12" t="s">
        <v>6</v>
      </c>
      <c r="M12" t="s">
        <v>7</v>
      </c>
      <c r="N12" t="s">
        <v>8</v>
      </c>
      <c r="O12" t="s">
        <v>9</v>
      </c>
      <c r="P12" t="s">
        <v>10</v>
      </c>
      <c r="Q12" s="104"/>
      <c r="T12" s="69" t="s">
        <v>122</v>
      </c>
      <c r="U12" s="69" t="s">
        <v>0</v>
      </c>
      <c r="V12" s="69" t="s">
        <v>266</v>
      </c>
      <c r="W12" s="28" t="s">
        <v>191</v>
      </c>
      <c r="X12" s="28" t="s">
        <v>192</v>
      </c>
      <c r="Y12" s="28" t="s">
        <v>193</v>
      </c>
      <c r="Z12" s="28" t="s">
        <v>194</v>
      </c>
      <c r="AA12" s="69" t="s">
        <v>129</v>
      </c>
      <c r="AB12" s="69" t="s">
        <v>123</v>
      </c>
      <c r="AC12" s="69" t="s">
        <v>124</v>
      </c>
      <c r="AD12" s="69" t="s">
        <v>125</v>
      </c>
      <c r="AE12" s="69" t="s">
        <v>126</v>
      </c>
      <c r="AF12" s="69" t="s">
        <v>127</v>
      </c>
      <c r="AG12" s="69" t="s">
        <v>128</v>
      </c>
      <c r="AH12" s="69" t="s">
        <v>153</v>
      </c>
      <c r="AI12" s="69" t="s">
        <v>149</v>
      </c>
      <c r="AJ12" s="69" t="s">
        <v>162</v>
      </c>
      <c r="AL12" s="86"/>
    </row>
    <row r="13" spans="1:38" x14ac:dyDescent="0.25">
      <c r="D13" s="69"/>
      <c r="F13" s="69"/>
      <c r="Q13" s="104"/>
      <c r="T13" s="24"/>
      <c r="AB13" s="69" t="s">
        <v>150</v>
      </c>
      <c r="AC13" s="69" t="s">
        <v>151</v>
      </c>
      <c r="AD13" s="69" t="s">
        <v>152</v>
      </c>
      <c r="AE13" s="69" t="s">
        <v>198</v>
      </c>
      <c r="AF13" s="69" t="s">
        <v>154</v>
      </c>
      <c r="AG13" s="69" t="s">
        <v>155</v>
      </c>
      <c r="AH13" s="69"/>
      <c r="AI13" s="69"/>
      <c r="AJ13" s="69"/>
    </row>
    <row r="14" spans="1:38" x14ac:dyDescent="0.25">
      <c r="C14" s="24" t="s">
        <v>30</v>
      </c>
      <c r="D14" s="69"/>
      <c r="E14" s="69"/>
      <c r="F14" s="69"/>
      <c r="Q14" s="104"/>
      <c r="T14" s="24"/>
      <c r="V14" s="69"/>
      <c r="AB14" s="69" t="s">
        <v>156</v>
      </c>
      <c r="AC14" s="69" t="s">
        <v>157</v>
      </c>
      <c r="AD14" s="69" t="s">
        <v>158</v>
      </c>
      <c r="AE14" s="69" t="s">
        <v>195</v>
      </c>
      <c r="AF14" s="69" t="s">
        <v>196</v>
      </c>
      <c r="AG14" s="69" t="s">
        <v>197</v>
      </c>
      <c r="AH14" s="69"/>
      <c r="AI14" s="69"/>
      <c r="AJ14" s="69"/>
    </row>
    <row r="15" spans="1:38" x14ac:dyDescent="0.25">
      <c r="A15" s="73" t="s">
        <v>69</v>
      </c>
      <c r="B15" s="69" t="s">
        <v>31</v>
      </c>
      <c r="C15" s="73" t="e">
        <f ca="1">J3</f>
        <v>#N/A</v>
      </c>
      <c r="D15" s="69" t="e">
        <f ca="1">INDEX(D$65:INDIRECT("D"&amp;$C$61),$C15)</f>
        <v>#N/A</v>
      </c>
      <c r="E15" s="69" t="e">
        <f ca="1">INDEX(INDIRECT(("'MemberID'!$C$6:C"&amp;MemberID!$C$1)),MATCH(D15,INDIRECT(("'MemberID'!$G$6:G"&amp;MemberID!$C$1)),0))</f>
        <v>#N/A</v>
      </c>
      <c r="F15" s="69" t="e">
        <f ca="1">INDEX(E$65:INDIRECT("E"&amp;$C$61),$C15)</f>
        <v>#N/A</v>
      </c>
      <c r="G15" t="e">
        <f ca="1">INDEX(F$65:INDIRECT("F"&amp;$C$61),$C15)</f>
        <v>#N/A</v>
      </c>
      <c r="H15" t="e">
        <f ca="1">INDEX(G$65:INDIRECT("G"&amp;$C$61),$C15)</f>
        <v>#N/A</v>
      </c>
      <c r="I15" t="e">
        <f ca="1">INDEX(H$65:INDIRECT("H"&amp;$C$61),$C15)</f>
        <v>#N/A</v>
      </c>
      <c r="J15" t="e">
        <f ca="1">INDEX(I$65:INDIRECT("I"&amp;$C$61),$C15)</f>
        <v>#N/A</v>
      </c>
      <c r="K15" s="23" t="e">
        <f ca="1">INDEX(J$65:INDIRECT("J"&amp;$C$61),$C15)</f>
        <v>#N/A</v>
      </c>
      <c r="L15" t="e">
        <f ca="1">INDEX(K$65:INDIRECT("K"&amp;$C$61),$C15)</f>
        <v>#N/A</v>
      </c>
      <c r="M15" t="e">
        <f ca="1">INDEX(L$65:INDIRECT("L"&amp;$C$61),$C15)</f>
        <v>#N/A</v>
      </c>
      <c r="N15" t="e">
        <f ca="1">INDEX(M$65:INDIRECT("M"&amp;$C$61),$C15)</f>
        <v>#N/A</v>
      </c>
      <c r="O15" t="e">
        <f ca="1">INDEX(N$65:INDIRECT("N"&amp;$C$61),$C15)</f>
        <v>#N/A</v>
      </c>
      <c r="P15" t="e">
        <f ca="1">INDEX(O$65:INDIRECT("O"&amp;$C$61),$C15)</f>
        <v>#N/A</v>
      </c>
      <c r="Q15" s="104"/>
      <c r="R15" s="73" t="s">
        <v>69</v>
      </c>
      <c r="S15" s="69" t="s">
        <v>31</v>
      </c>
      <c r="T15" s="73" t="e">
        <f t="array" aca="1" ref="T15" ca="1">MATCH(IF(ISBLANK($AE$11),LARGE(IF($E$65:INDIRECT("E"&amp;$C$61)=$AE$10,INDIRECT(AJ15&amp;65):INDIRECT(AJ15&amp;$C$61)),$AH15),IF(ISBLANK($AE$10),LARGE(IF($D$65:INDIRECT("D"&amp;$C$61)=$AE$11,INDIRECT(AJ15&amp;65):INDIRECT(AJ15&amp;$C$61)),$AH15),LARGE(IF(($E$65:INDIRECT("E"&amp;$C$61)=$AE$10)*($D$65:INDIRECT("D"&amp;$C$61)=$AE$11),INDIRECT(AJ15&amp;65):INDIRECT(AJ15&amp;$C$61)),$AH15))),INDIRECT(AJ15&amp;65):INDIRECT(AJ15&amp;$C$61),0)</f>
        <v>#NUM!</v>
      </c>
      <c r="U15" s="69" t="e">
        <f ca="1">INDEX(D$65:INDIRECT("D"&amp;$C$61),$T15)</f>
        <v>#NUM!</v>
      </c>
      <c r="V15" s="69" t="e">
        <f ca="1">INDEX(INDIRECT(("'MemberID'!$C$6:C"&amp;MemberID!$C$1)),MATCH(U15,INDIRECT(("'MemberID'!$G$6:G"&amp;MemberID!$C$1)),0))</f>
        <v>#NUM!</v>
      </c>
      <c r="W15" s="69" t="e">
        <f ca="1">INDEX(E$65:INDIRECT("E"&amp;$C$61),$T15)</f>
        <v>#NUM!</v>
      </c>
      <c r="X15" t="e">
        <f ca="1">INDEX(F$65:INDIRECT("F"&amp;$C$61),$T15)</f>
        <v>#NUM!</v>
      </c>
      <c r="Y15" t="e">
        <f ca="1">INDEX(G$65:INDIRECT("G"&amp;$C$61),$T15)</f>
        <v>#NUM!</v>
      </c>
      <c r="Z15" t="e">
        <f ca="1">INDEX(H$65:INDIRECT("H"&amp;$C$61),$T15)</f>
        <v>#NUM!</v>
      </c>
      <c r="AA15" t="e">
        <f ca="1">INDEX(I$65:INDIRECT("I"&amp;$C$61),$T15)</f>
        <v>#NUM!</v>
      </c>
      <c r="AB15" s="23" t="e">
        <f t="array" aca="1" ref="AB15" ca="1">IF(ISBLANK($AE$11),LARGE(IF($E$65:INDIRECT("E"&amp;$C$61)=$AE$10,J$65:INDIRECT(AB$13&amp;$C$61)),$AH15),IF(ISBLANK($AE$10),LARGE(IF($D$65:INDIRECT("D"&amp;$C$61)=$AE$11,J$65:INDIRECT(AB$13&amp;$C$61)),$AH15),LARGE(IF(($E$65:INDIRECT("E"&amp;$C$61)=$AE$10)*($D$65:INDIRECT("D"&amp;$C$61)=$AE$11),J$65:INDIRECT(AB$13&amp;$C$61)),$AH15)))</f>
        <v>#NUM!</v>
      </c>
      <c r="AC15" t="e">
        <f ca="1">INDEX(K$65:INDIRECT("K"&amp;$C$61),$T15)</f>
        <v>#NUM!</v>
      </c>
      <c r="AD15" t="e">
        <f ca="1">INDEX(L$65:INDIRECT("L"&amp;$C$61),$T15)</f>
        <v>#NUM!</v>
      </c>
      <c r="AE15" t="e">
        <f ca="1">INDEX(M$65:INDIRECT("M"&amp;$C$61),$T15)</f>
        <v>#NUM!</v>
      </c>
      <c r="AF15" t="e">
        <f ca="1">INDEX(N$65:INDIRECT("N"&amp;$C$61),$T15)</f>
        <v>#NUM!</v>
      </c>
      <c r="AG15" t="e">
        <f ca="1">INDEX(O$65:INDIRECT("O"&amp;$C$61),$T15)</f>
        <v>#NUM!</v>
      </c>
      <c r="AH15" s="69">
        <v>1</v>
      </c>
      <c r="AI15" s="69" t="s">
        <v>150</v>
      </c>
      <c r="AJ15" s="69" t="s">
        <v>156</v>
      </c>
    </row>
    <row r="16" spans="1:38" x14ac:dyDescent="0.25">
      <c r="A16" s="73" t="s">
        <v>70</v>
      </c>
      <c r="B16" s="69" t="s">
        <v>31</v>
      </c>
      <c r="C16" s="73" t="e">
        <f ca="1">R3</f>
        <v>#NUM!</v>
      </c>
      <c r="D16" s="69" t="e">
        <f ca="1">INDEX(D$65:INDIRECT("D"&amp;$C$61),$C16)</f>
        <v>#NUM!</v>
      </c>
      <c r="E16" s="69" t="e">
        <f ca="1">INDEX(INDIRECT(("'MemberID'!$C$6:C"&amp;MemberID!$C$1)),MATCH(D16,INDIRECT(("'MemberID'!$G$6:G"&amp;MemberID!$C$1)),0))</f>
        <v>#NUM!</v>
      </c>
      <c r="F16" s="69" t="e">
        <f ca="1">INDEX(E$65:INDIRECT("E"&amp;$C$61),$C16)</f>
        <v>#NUM!</v>
      </c>
      <c r="G16" t="e">
        <f ca="1">INDEX(F$65:INDIRECT("F"&amp;$C$61),$C16)</f>
        <v>#NUM!</v>
      </c>
      <c r="H16" t="e">
        <f ca="1">INDEX(G$65:INDIRECT("G"&amp;$C$61),$C16)</f>
        <v>#NUM!</v>
      </c>
      <c r="I16" t="e">
        <f ca="1">INDEX(H$65:INDIRECT("H"&amp;$C$61),$C16)</f>
        <v>#NUM!</v>
      </c>
      <c r="J16" t="e">
        <f ca="1">INDEX(I$65:INDIRECT("I"&amp;$C$61),$C16)</f>
        <v>#NUM!</v>
      </c>
      <c r="K16" s="23" t="e">
        <f ca="1">INDEX(J$65:INDIRECT("J"&amp;$C$61),$C16)</f>
        <v>#NUM!</v>
      </c>
      <c r="L16" t="e">
        <f ca="1">INDEX(K$65:INDIRECT("K"&amp;$C$61),$C16)</f>
        <v>#NUM!</v>
      </c>
      <c r="M16" t="e">
        <f ca="1">INDEX(L$65:INDIRECT("L"&amp;$C$61),$C16)</f>
        <v>#NUM!</v>
      </c>
      <c r="N16" t="e">
        <f ca="1">INDEX(M$65:INDIRECT("M"&amp;$C$61),$C16)</f>
        <v>#NUM!</v>
      </c>
      <c r="O16" t="e">
        <f ca="1">INDEX(N$65:INDIRECT("N"&amp;$C$61),$C16)</f>
        <v>#NUM!</v>
      </c>
      <c r="P16" t="e">
        <f ca="1">INDEX(O$65:INDIRECT("O"&amp;$C$61),$C16)</f>
        <v>#NUM!</v>
      </c>
      <c r="Q16" s="104"/>
      <c r="R16" s="73" t="s">
        <v>70</v>
      </c>
      <c r="S16" s="69" t="s">
        <v>31</v>
      </c>
      <c r="T16" s="73" t="e">
        <f t="array" aca="1" ref="T16" ca="1">MATCH(IF(ISBLANK($AE$11),LARGE(IF($E$65:INDIRECT("E"&amp;$C$61)=$AE$10,INDIRECT(AJ16&amp;65):INDIRECT(AJ16&amp;$C$61)),$AH16),IF(ISBLANK($AE$10),LARGE(IF($D$65:INDIRECT("D"&amp;$C$61)=$AE$11,INDIRECT(AJ16&amp;65):INDIRECT(AJ16&amp;$C$61)),$AH16),LARGE(IF(($E$65:INDIRECT("E"&amp;$C$61)=$AE$10)*($D$65:INDIRECT("D"&amp;$C$61)=$AE$11),INDIRECT(AJ16&amp;65):INDIRECT(AJ16&amp;$C$61)),$AH16))),INDIRECT(AJ16&amp;65):INDIRECT(AJ16&amp;$C$61),0)</f>
        <v>#NUM!</v>
      </c>
      <c r="U16" s="69" t="e">
        <f ca="1">INDEX(D$65:INDIRECT("D"&amp;$C$61),$T16)</f>
        <v>#NUM!</v>
      </c>
      <c r="V16" s="69" t="e">
        <f ca="1">INDEX(INDIRECT(("'MemberID'!$C$6:C"&amp;MemberID!$C$1)),MATCH(U16,INDIRECT(("'MemberID'!$G$6:G"&amp;MemberID!$C$1)),0))</f>
        <v>#NUM!</v>
      </c>
      <c r="W16" s="69" t="e">
        <f ca="1">INDEX(E$65:INDIRECT("E"&amp;$C$61),$T16)</f>
        <v>#NUM!</v>
      </c>
      <c r="X16" t="e">
        <f ca="1">INDEX(F$65:INDIRECT("F"&amp;$C$61),$T16)</f>
        <v>#NUM!</v>
      </c>
      <c r="Y16" t="e">
        <f ca="1">INDEX(G$65:INDIRECT("G"&amp;$C$61),$T16)</f>
        <v>#NUM!</v>
      </c>
      <c r="Z16" t="e">
        <f ca="1">INDEX(H$65:INDIRECT("H"&amp;$C$61),$T16)</f>
        <v>#NUM!</v>
      </c>
      <c r="AA16" t="e">
        <f ca="1">INDEX(I$65:INDIRECT("I"&amp;$C$61),$T16)</f>
        <v>#NUM!</v>
      </c>
      <c r="AB16" s="23" t="e">
        <f t="array" aca="1" ref="AB16" ca="1">IF(ISBLANK($AE$11),LARGE(IF($E$65:INDIRECT("E"&amp;$C$61)=$AE$10,J$65:INDIRECT(AB$13&amp;$C$61)),$AH16),IF(ISBLANK($AE$10),LARGE(IF($D$65:INDIRECT("D"&amp;$C$61)=$AE$11,J$65:INDIRECT(AB$13&amp;$C$61)),$AH16),LARGE(IF(($E$65:INDIRECT("E"&amp;$C$61)=$AE$10)*($D$65:INDIRECT("D"&amp;$C$61)=$AE$11),J$65:INDIRECT(AB$13&amp;$C$61)),$AH16)))</f>
        <v>#NUM!</v>
      </c>
      <c r="AC16" t="e">
        <f ca="1">INDEX(K$65:INDIRECT("K"&amp;$C$61),$T16)</f>
        <v>#NUM!</v>
      </c>
      <c r="AD16" t="e">
        <f ca="1">INDEX(L$65:INDIRECT("L"&amp;$C$61),$T16)</f>
        <v>#NUM!</v>
      </c>
      <c r="AE16" t="e">
        <f ca="1">INDEX(M$65:INDIRECT("M"&amp;$C$61),$T16)</f>
        <v>#NUM!</v>
      </c>
      <c r="AF16" t="e">
        <f ca="1">INDEX(N$65:INDIRECT("N"&amp;$C$61),$T16)</f>
        <v>#NUM!</v>
      </c>
      <c r="AG16" t="e">
        <f ca="1">INDEX(O$65:INDIRECT("O"&amp;$C$61),$T16)</f>
        <v>#NUM!</v>
      </c>
      <c r="AH16" s="69">
        <v>2</v>
      </c>
      <c r="AI16" s="69" t="str">
        <f>AI15</f>
        <v>J</v>
      </c>
      <c r="AJ16" s="69" t="str">
        <f>AJ15</f>
        <v>Q</v>
      </c>
    </row>
    <row r="17" spans="1:36" x14ac:dyDescent="0.25">
      <c r="A17" s="73" t="s">
        <v>71</v>
      </c>
      <c r="B17" s="69" t="s">
        <v>31</v>
      </c>
      <c r="C17" s="73" t="e">
        <f ca="1">Z3</f>
        <v>#NUM!</v>
      </c>
      <c r="D17" s="69" t="e">
        <f ca="1">INDEX(D$65:INDIRECT("D"&amp;$C$61),$C17)</f>
        <v>#NUM!</v>
      </c>
      <c r="E17" s="69" t="e">
        <f ca="1">INDEX(INDIRECT(("'MemberID'!$C$6:C"&amp;MemberID!$C$1)),MATCH(D17,INDIRECT(("'MemberID'!$G$6:G"&amp;MemberID!$C$1)),0))</f>
        <v>#NUM!</v>
      </c>
      <c r="F17" s="69" t="e">
        <f ca="1">INDEX(E$65:INDIRECT("E"&amp;$C$61),$C17)</f>
        <v>#NUM!</v>
      </c>
      <c r="G17" t="e">
        <f ca="1">INDEX(F$65:INDIRECT("F"&amp;$C$61),$C17)</f>
        <v>#NUM!</v>
      </c>
      <c r="H17" t="e">
        <f ca="1">INDEX(G$65:INDIRECT("G"&amp;$C$61),$C17)</f>
        <v>#NUM!</v>
      </c>
      <c r="I17" t="e">
        <f ca="1">INDEX(H$65:INDIRECT("H"&amp;$C$61),$C17)</f>
        <v>#NUM!</v>
      </c>
      <c r="J17" t="e">
        <f ca="1">INDEX(I$65:INDIRECT("I"&amp;$C$61),$C17)</f>
        <v>#NUM!</v>
      </c>
      <c r="K17" s="23" t="e">
        <f ca="1">INDEX(J$65:INDIRECT("J"&amp;$C$61),$C17)</f>
        <v>#NUM!</v>
      </c>
      <c r="L17" t="e">
        <f ca="1">INDEX(K$65:INDIRECT("K"&amp;$C$61),$C17)</f>
        <v>#NUM!</v>
      </c>
      <c r="M17" t="e">
        <f ca="1">INDEX(L$65:INDIRECT("L"&amp;$C$61),$C17)</f>
        <v>#NUM!</v>
      </c>
      <c r="N17" t="e">
        <f ca="1">INDEX(M$65:INDIRECT("M"&amp;$C$61),$C17)</f>
        <v>#NUM!</v>
      </c>
      <c r="O17" t="e">
        <f ca="1">INDEX(N$65:INDIRECT("N"&amp;$C$61),$C17)</f>
        <v>#NUM!</v>
      </c>
      <c r="P17" t="e">
        <f ca="1">INDEX(O$65:INDIRECT("O"&amp;$C$61),$C17)</f>
        <v>#NUM!</v>
      </c>
      <c r="Q17" s="104"/>
      <c r="R17" s="73" t="s">
        <v>71</v>
      </c>
      <c r="S17" s="69" t="s">
        <v>31</v>
      </c>
      <c r="T17" s="73" t="e">
        <f t="array" aca="1" ref="T17" ca="1">MATCH(IF(ISBLANK($AE$11),LARGE(IF($E$65:INDIRECT("E"&amp;$C$61)=$AE$10,INDIRECT(AJ17&amp;65):INDIRECT(AJ17&amp;$C$61)),$AH17),IF(ISBLANK($AE$10),LARGE(IF($D$65:INDIRECT("D"&amp;$C$61)=$AE$11,INDIRECT(AJ17&amp;65):INDIRECT(AJ17&amp;$C$61)),$AH17),LARGE(IF(($E$65:INDIRECT("E"&amp;$C$61)=$AE$10)*($D$65:INDIRECT("D"&amp;$C$61)=$AE$11),INDIRECT(AJ17&amp;65):INDIRECT(AJ17&amp;$C$61)),$AH17))),INDIRECT(AJ17&amp;65):INDIRECT(AJ17&amp;$C$61),0)</f>
        <v>#NUM!</v>
      </c>
      <c r="U17" s="69" t="e">
        <f ca="1">INDEX(D$65:INDIRECT("D"&amp;$C$61),$T17)</f>
        <v>#NUM!</v>
      </c>
      <c r="V17" s="69" t="e">
        <f ca="1">INDEX(INDIRECT(("'MemberID'!$C$6:C"&amp;MemberID!$C$1)),MATCH(U17,INDIRECT(("'MemberID'!$G$6:G"&amp;MemberID!$C$1)),0))</f>
        <v>#NUM!</v>
      </c>
      <c r="W17" s="69" t="e">
        <f ca="1">INDEX(E$65:INDIRECT("E"&amp;$C$61),$T17)</f>
        <v>#NUM!</v>
      </c>
      <c r="X17" t="e">
        <f ca="1">INDEX(F$65:INDIRECT("F"&amp;$C$61),$T17)</f>
        <v>#NUM!</v>
      </c>
      <c r="Y17" t="e">
        <f ca="1">INDEX(G$65:INDIRECT("G"&amp;$C$61),$T17)</f>
        <v>#NUM!</v>
      </c>
      <c r="Z17" t="e">
        <f ca="1">INDEX(H$65:INDIRECT("H"&amp;$C$61),$T17)</f>
        <v>#NUM!</v>
      </c>
      <c r="AA17" t="e">
        <f ca="1">INDEX(I$65:INDIRECT("I"&amp;$C$61),$T17)</f>
        <v>#NUM!</v>
      </c>
      <c r="AB17" s="23" t="e">
        <f t="array" aca="1" ref="AB17" ca="1">IF(ISBLANK($AE$11),LARGE(IF($E$65:INDIRECT("E"&amp;$C$61)=$AE$10,J$65:INDIRECT(AB$13&amp;$C$61)),$AH17),IF(ISBLANK($AE$10),LARGE(IF($D$65:INDIRECT("D"&amp;$C$61)=$AE$11,J$65:INDIRECT(AB$13&amp;$C$61)),$AH17),LARGE(IF(($E$65:INDIRECT("E"&amp;$C$61)=$AE$10)*($D$65:INDIRECT("D"&amp;$C$61)=$AE$11),J$65:INDIRECT(AB$13&amp;$C$61)),$AH17)))</f>
        <v>#NUM!</v>
      </c>
      <c r="AC17" t="e">
        <f ca="1">INDEX(K$65:INDIRECT("K"&amp;$C$61),$T17)</f>
        <v>#NUM!</v>
      </c>
      <c r="AD17" t="e">
        <f ca="1">INDEX(L$65:INDIRECT("L"&amp;$C$61),$T17)</f>
        <v>#NUM!</v>
      </c>
      <c r="AE17" t="e">
        <f ca="1">INDEX(M$65:INDIRECT("M"&amp;$C$61),$T17)</f>
        <v>#NUM!</v>
      </c>
      <c r="AF17" t="e">
        <f ca="1">INDEX(N$65:INDIRECT("N"&amp;$C$61),$T17)</f>
        <v>#NUM!</v>
      </c>
      <c r="AG17" t="e">
        <f ca="1">INDEX(O$65:INDIRECT("O"&amp;$C$61),$T17)</f>
        <v>#NUM!</v>
      </c>
      <c r="AH17" s="69">
        <v>3</v>
      </c>
      <c r="AI17" s="69" t="str">
        <f t="shared" ref="AI17:AJ20" si="0">AI16</f>
        <v>J</v>
      </c>
      <c r="AJ17" s="69" t="str">
        <f t="shared" si="0"/>
        <v>Q</v>
      </c>
    </row>
    <row r="18" spans="1:36" x14ac:dyDescent="0.25">
      <c r="A18" s="74" t="s">
        <v>72</v>
      </c>
      <c r="B18" s="69" t="s">
        <v>31</v>
      </c>
      <c r="C18" s="74" t="e">
        <f ca="1">J6</f>
        <v>#N/A</v>
      </c>
      <c r="D18" s="69" t="e">
        <f ca="1">INDEX(D$65:INDIRECT("D"&amp;$C$61),$C18)</f>
        <v>#N/A</v>
      </c>
      <c r="E18" s="69" t="e">
        <f ca="1">INDEX(INDIRECT(("'MemberID'!$C$6:C"&amp;MemberID!$C$1)),MATCH(D18,INDIRECT(("'MemberID'!$G$6:G"&amp;MemberID!$C$1)),0))</f>
        <v>#N/A</v>
      </c>
      <c r="F18" s="69" t="e">
        <f ca="1">INDEX(E$65:INDIRECT("E"&amp;$C$61),$C18)</f>
        <v>#N/A</v>
      </c>
      <c r="G18" t="e">
        <f ca="1">INDEX(F$65:INDIRECT("F"&amp;$C$61),$C18)</f>
        <v>#N/A</v>
      </c>
      <c r="H18" t="e">
        <f ca="1">INDEX(G$65:INDIRECT("G"&amp;$C$61),$C18)</f>
        <v>#N/A</v>
      </c>
      <c r="I18" t="e">
        <f ca="1">INDEX(H$65:INDIRECT("H"&amp;$C$61),$C18)</f>
        <v>#N/A</v>
      </c>
      <c r="J18" t="e">
        <f ca="1">INDEX(I$65:INDIRECT("I"&amp;$C$61),$C18)</f>
        <v>#N/A</v>
      </c>
      <c r="K18" s="23" t="e">
        <f ca="1">INDEX(J$65:INDIRECT("J"&amp;$C$61),$C18)</f>
        <v>#N/A</v>
      </c>
      <c r="L18" t="e">
        <f ca="1">INDEX(K$65:INDIRECT("K"&amp;$C$61),$C18)</f>
        <v>#N/A</v>
      </c>
      <c r="M18" t="e">
        <f ca="1">INDEX(L$65:INDIRECT("L"&amp;$C$61),$C18)</f>
        <v>#N/A</v>
      </c>
      <c r="N18" t="e">
        <f ca="1">INDEX(M$65:INDIRECT("M"&amp;$C$61),$C18)</f>
        <v>#N/A</v>
      </c>
      <c r="O18" t="e">
        <f ca="1">INDEX(N$65:INDIRECT("N"&amp;$C$61),$C18)</f>
        <v>#N/A</v>
      </c>
      <c r="P18" t="e">
        <f ca="1">INDEX(O$65:INDIRECT("O"&amp;$C$61),$C18)</f>
        <v>#N/A</v>
      </c>
      <c r="Q18" s="104"/>
      <c r="R18" s="74" t="s">
        <v>72</v>
      </c>
      <c r="S18" s="69" t="s">
        <v>31</v>
      </c>
      <c r="T18" s="74" t="e">
        <f t="array" aca="1" ref="T18" ca="1">MATCH(IF(ISBLANK($AE$11),SMALL(IF($E$65:INDIRECT("E"&amp;$C$61)=$AE$10,INDIRECT(AJ18&amp;65):INDIRECT(AJ18&amp;$C$61)),$AH18),IF(ISBLANK($AE$10),SMALL(IF($D$65:INDIRECT("D"&amp;$C$61)=$AE$11,INDIRECT(AJ18&amp;65):INDIRECT(AJ18&amp;$C$61)),$AH18),SMALL(IF(($E$65:INDIRECT("E"&amp;$C$61)=$AE$10)*($D$65:INDIRECT("D"&amp;$C$61)=$AE$11),INDIRECT(AJ18&amp;65):INDIRECT(AJ18&amp;$C$61)),$AH18))),INDIRECT(AJ18&amp;65):INDIRECT(AJ18&amp;$C$61),0)</f>
        <v>#NUM!</v>
      </c>
      <c r="U18" s="69" t="e">
        <f ca="1">INDEX(D$65:INDIRECT("D"&amp;$C$61),$T18)</f>
        <v>#NUM!</v>
      </c>
      <c r="V18" s="69" t="e">
        <f ca="1">INDEX(INDIRECT(("'MemberID'!$C$6:C"&amp;MemberID!$C$1)),MATCH(U18,INDIRECT(("'MemberID'!$G$6:G"&amp;MemberID!$C$1)),0))</f>
        <v>#NUM!</v>
      </c>
      <c r="W18" s="69" t="e">
        <f ca="1">INDEX(E$65:INDIRECT("E"&amp;$C$61),$T18)</f>
        <v>#NUM!</v>
      </c>
      <c r="X18" t="e">
        <f ca="1">INDEX(F$65:INDIRECT("F"&amp;$C$61),$T18)</f>
        <v>#NUM!</v>
      </c>
      <c r="Y18" t="e">
        <f ca="1">INDEX(G$65:INDIRECT("G"&amp;$C$61),$T18)</f>
        <v>#NUM!</v>
      </c>
      <c r="Z18" t="e">
        <f ca="1">INDEX(H$65:INDIRECT("H"&amp;$C$61),$T18)</f>
        <v>#NUM!</v>
      </c>
      <c r="AA18" t="e">
        <f ca="1">INDEX(I$65:INDIRECT("I"&amp;$C$61),$T18)</f>
        <v>#NUM!</v>
      </c>
      <c r="AB18" s="23" t="e">
        <f t="array" aca="1" ref="AB18" ca="1">IF(ISBLANK($AE$11),SMALL(IF($E$65:INDIRECT("E"&amp;$C$61)=$AE$10,J$65:INDIRECT(AB$13&amp;$C$61)),$AH18),IF(ISBLANK($AE$10),SMALL(IF($D$65:INDIRECT("D"&amp;$C$61)=$AE$11,J$65:INDIRECT(AB$13&amp;$C$61)),$AH18),SMALL(IF(($E$65:INDIRECT("E"&amp;$C$61)=$AE$10)*($D$65:INDIRECT("D"&amp;$C$61)=$AE$11),J$65:INDIRECT(AB$13&amp;$C$61)),$AH18)))</f>
        <v>#NUM!</v>
      </c>
      <c r="AC18" t="e">
        <f ca="1">INDEX(K$65:INDIRECT("K"&amp;$C$61),$T18)</f>
        <v>#NUM!</v>
      </c>
      <c r="AD18" t="e">
        <f ca="1">INDEX(L$65:INDIRECT("L"&amp;$C$61),$T18)</f>
        <v>#NUM!</v>
      </c>
      <c r="AE18" t="e">
        <f ca="1">INDEX(M$65:INDIRECT("M"&amp;$C$61),$T18)</f>
        <v>#NUM!</v>
      </c>
      <c r="AF18" t="e">
        <f ca="1">INDEX(N$65:INDIRECT("N"&amp;$C$61),$T18)</f>
        <v>#NUM!</v>
      </c>
      <c r="AG18" t="e">
        <f ca="1">INDEX(O$65:INDIRECT("O"&amp;$C$61),$T18)</f>
        <v>#NUM!</v>
      </c>
      <c r="AH18" s="69">
        <v>1</v>
      </c>
      <c r="AI18" s="69" t="str">
        <f t="shared" si="0"/>
        <v>J</v>
      </c>
      <c r="AJ18" s="69" t="str">
        <f t="shared" si="0"/>
        <v>Q</v>
      </c>
    </row>
    <row r="19" spans="1:36" x14ac:dyDescent="0.25">
      <c r="A19" s="74" t="s">
        <v>73</v>
      </c>
      <c r="B19" s="69" t="s">
        <v>31</v>
      </c>
      <c r="C19" s="74" t="e">
        <f ca="1">R6</f>
        <v>#NUM!</v>
      </c>
      <c r="D19" s="69" t="e">
        <f ca="1">INDEX(D$65:INDIRECT("D"&amp;$C$61),$C19)</f>
        <v>#NUM!</v>
      </c>
      <c r="E19" s="69" t="e">
        <f ca="1">INDEX(INDIRECT(("'MemberID'!$C$6:C"&amp;MemberID!$C$1)),MATCH(D19,INDIRECT(("'MemberID'!$G$6:G"&amp;MemberID!$C$1)),0))</f>
        <v>#NUM!</v>
      </c>
      <c r="F19" s="69" t="e">
        <f ca="1">INDEX(E$65:INDIRECT("E"&amp;$C$61),$C19)</f>
        <v>#NUM!</v>
      </c>
      <c r="G19" t="e">
        <f ca="1">INDEX(F$65:INDIRECT("F"&amp;$C$61),$C19)</f>
        <v>#NUM!</v>
      </c>
      <c r="H19" t="e">
        <f ca="1">INDEX(G$65:INDIRECT("G"&amp;$C$61),$C19)</f>
        <v>#NUM!</v>
      </c>
      <c r="I19" t="e">
        <f ca="1">INDEX(H$65:INDIRECT("H"&amp;$C$61),$C19)</f>
        <v>#NUM!</v>
      </c>
      <c r="J19" t="e">
        <f ca="1">INDEX(I$65:INDIRECT("I"&amp;$C$61),$C19)</f>
        <v>#NUM!</v>
      </c>
      <c r="K19" s="23" t="e">
        <f ca="1">INDEX(J$65:INDIRECT("J"&amp;$C$61),$C19)</f>
        <v>#NUM!</v>
      </c>
      <c r="L19" t="e">
        <f ca="1">INDEX(K$65:INDIRECT("K"&amp;$C$61),$C19)</f>
        <v>#NUM!</v>
      </c>
      <c r="M19" t="e">
        <f ca="1">INDEX(L$65:INDIRECT("L"&amp;$C$61),$C19)</f>
        <v>#NUM!</v>
      </c>
      <c r="N19" t="e">
        <f ca="1">INDEX(M$65:INDIRECT("M"&amp;$C$61),$C19)</f>
        <v>#NUM!</v>
      </c>
      <c r="O19" t="e">
        <f ca="1">INDEX(N$65:INDIRECT("N"&amp;$C$61),$C19)</f>
        <v>#NUM!</v>
      </c>
      <c r="P19" t="e">
        <f ca="1">INDEX(O$65:INDIRECT("O"&amp;$C$61),$C19)</f>
        <v>#NUM!</v>
      </c>
      <c r="Q19" s="104"/>
      <c r="R19" s="74" t="s">
        <v>73</v>
      </c>
      <c r="S19" s="69" t="s">
        <v>31</v>
      </c>
      <c r="T19" s="74" t="e">
        <f t="array" aca="1" ref="T19" ca="1">MATCH(IF(ISBLANK($AE$11),SMALL(IF($E$65:INDIRECT("E"&amp;$C$61)=$AE$10,INDIRECT(AJ19&amp;65):INDIRECT(AJ19&amp;$C$61)),$AH19),IF(ISBLANK($AE$10),SMALL(IF($D$65:INDIRECT("D"&amp;$C$61)=$AE$11,INDIRECT(AJ19&amp;65):INDIRECT(AJ19&amp;$C$61)),$AH19),SMALL(IF(($E$65:INDIRECT("E"&amp;$C$61)=$AE$10)*($D$65:INDIRECT("D"&amp;$C$61)=$AE$11),INDIRECT(AJ19&amp;65):INDIRECT(AJ19&amp;$C$61)),$AH19))),INDIRECT(AJ19&amp;65):INDIRECT(AJ19&amp;$C$61),0)</f>
        <v>#NUM!</v>
      </c>
      <c r="U19" s="69" t="e">
        <f ca="1">INDEX(D$65:INDIRECT("D"&amp;$C$61),$T19)</f>
        <v>#NUM!</v>
      </c>
      <c r="V19" s="69" t="e">
        <f ca="1">INDEX(INDIRECT(("'MemberID'!$C$6:C"&amp;MemberID!$C$1)),MATCH(U19,INDIRECT(("'MemberID'!$G$6:G"&amp;MemberID!$C$1)),0))</f>
        <v>#NUM!</v>
      </c>
      <c r="W19" s="69" t="e">
        <f ca="1">INDEX(E$65:INDIRECT("E"&amp;$C$61),$T19)</f>
        <v>#NUM!</v>
      </c>
      <c r="X19" t="e">
        <f ca="1">INDEX(F$65:INDIRECT("F"&amp;$C$61),$T19)</f>
        <v>#NUM!</v>
      </c>
      <c r="Y19" t="e">
        <f ca="1">INDEX(G$65:INDIRECT("G"&amp;$C$61),$T19)</f>
        <v>#NUM!</v>
      </c>
      <c r="Z19" t="e">
        <f ca="1">INDEX(H$65:INDIRECT("H"&amp;$C$61),$T19)</f>
        <v>#NUM!</v>
      </c>
      <c r="AA19" t="e">
        <f ca="1">INDEX(I$65:INDIRECT("I"&amp;$C$61),$T19)</f>
        <v>#NUM!</v>
      </c>
      <c r="AB19" s="23" t="e">
        <f t="array" aca="1" ref="AB19" ca="1">IF(ISBLANK($AE$11),SMALL(IF($E$65:INDIRECT("E"&amp;$C$61)=$AE$10,J$65:INDIRECT(AB$13&amp;$C$61)),$AH19),IF(ISBLANK($AE$10),SMALL(IF($D$65:INDIRECT("D"&amp;$C$61)=$AE$11,J$65:INDIRECT(AB$13&amp;$C$61)),$AH19),SMALL(IF(($E$65:INDIRECT("E"&amp;$C$61)=$AE$10)*($D$65:INDIRECT("D"&amp;$C$61)=$AE$11),J$65:INDIRECT(AB$13&amp;$C$61)),$AH19)))</f>
        <v>#NUM!</v>
      </c>
      <c r="AC19" t="e">
        <f ca="1">INDEX(K$65:INDIRECT("K"&amp;$C$61),$T19)</f>
        <v>#NUM!</v>
      </c>
      <c r="AD19" t="e">
        <f ca="1">INDEX(L$65:INDIRECT("L"&amp;$C$61),$T19)</f>
        <v>#NUM!</v>
      </c>
      <c r="AE19" t="e">
        <f ca="1">INDEX(M$65:INDIRECT("M"&amp;$C$61),$T19)</f>
        <v>#NUM!</v>
      </c>
      <c r="AF19" t="e">
        <f ca="1">INDEX(N$65:INDIRECT("N"&amp;$C$61),$T19)</f>
        <v>#NUM!</v>
      </c>
      <c r="AG19" t="e">
        <f ca="1">INDEX(O$65:INDIRECT("O"&amp;$C$61),$T19)</f>
        <v>#NUM!</v>
      </c>
      <c r="AH19" s="69">
        <v>2</v>
      </c>
      <c r="AI19" s="69" t="str">
        <f t="shared" si="0"/>
        <v>J</v>
      </c>
      <c r="AJ19" s="69" t="str">
        <f t="shared" si="0"/>
        <v>Q</v>
      </c>
    </row>
    <row r="20" spans="1:36" x14ac:dyDescent="0.25">
      <c r="A20" s="74" t="s">
        <v>74</v>
      </c>
      <c r="B20" s="69" t="s">
        <v>31</v>
      </c>
      <c r="C20" s="74" t="e">
        <f ca="1">Z6</f>
        <v>#NUM!</v>
      </c>
      <c r="D20" s="69" t="e">
        <f ca="1">INDEX(D$65:INDIRECT("D"&amp;$C$61),$C20)</f>
        <v>#NUM!</v>
      </c>
      <c r="E20" s="69" t="e">
        <f ca="1">INDEX(INDIRECT(("'MemberID'!$C$6:C"&amp;MemberID!$C$1)),MATCH(D20,INDIRECT(("'MemberID'!$G$6:G"&amp;MemberID!$C$1)),0))</f>
        <v>#NUM!</v>
      </c>
      <c r="F20" s="69" t="e">
        <f ca="1">INDEX(E$65:INDIRECT("E"&amp;$C$61),$C20)</f>
        <v>#NUM!</v>
      </c>
      <c r="G20" t="e">
        <f ca="1">INDEX(F$65:INDIRECT("F"&amp;$C$61),$C20)</f>
        <v>#NUM!</v>
      </c>
      <c r="H20" t="e">
        <f ca="1">INDEX(G$65:INDIRECT("G"&amp;$C$61),$C20)</f>
        <v>#NUM!</v>
      </c>
      <c r="I20" t="e">
        <f ca="1">INDEX(H$65:INDIRECT("H"&amp;$C$61),$C20)</f>
        <v>#NUM!</v>
      </c>
      <c r="J20" t="e">
        <f ca="1">INDEX(I$65:INDIRECT("I"&amp;$C$61),$C20)</f>
        <v>#NUM!</v>
      </c>
      <c r="K20" s="23" t="e">
        <f ca="1">INDEX(J$65:INDIRECT("J"&amp;$C$61),$C20)</f>
        <v>#NUM!</v>
      </c>
      <c r="L20" t="e">
        <f ca="1">INDEX(K$65:INDIRECT("K"&amp;$C$61),$C20)</f>
        <v>#NUM!</v>
      </c>
      <c r="M20" t="e">
        <f ca="1">INDEX(L$65:INDIRECT("L"&amp;$C$61),$C20)</f>
        <v>#NUM!</v>
      </c>
      <c r="N20" t="e">
        <f ca="1">INDEX(M$65:INDIRECT("M"&amp;$C$61),$C20)</f>
        <v>#NUM!</v>
      </c>
      <c r="O20" t="e">
        <f ca="1">INDEX(N$65:INDIRECT("N"&amp;$C$61),$C20)</f>
        <v>#NUM!</v>
      </c>
      <c r="P20" t="e">
        <f ca="1">INDEX(O$65:INDIRECT("O"&amp;$C$61),$C20)</f>
        <v>#NUM!</v>
      </c>
      <c r="Q20" s="104"/>
      <c r="R20" s="74" t="s">
        <v>74</v>
      </c>
      <c r="S20" s="69" t="s">
        <v>31</v>
      </c>
      <c r="T20" s="74" t="e">
        <f t="array" aca="1" ref="T20" ca="1">MATCH(IF(ISBLANK($AE$11),SMALL(IF($E$65:INDIRECT("E"&amp;$C$61)=$AE$10,INDIRECT(AJ20&amp;65):INDIRECT(AJ20&amp;$C$61)),$AH20),IF(ISBLANK($AE$10),SMALL(IF($D$65:INDIRECT("D"&amp;$C$61)=$AE$11,INDIRECT(AJ20&amp;65):INDIRECT(AJ20&amp;$C$61)),$AH20),SMALL(IF(($E$65:INDIRECT("E"&amp;$C$61)=$AE$10)*($D$65:INDIRECT("D"&amp;$C$61)=$AE$11),INDIRECT(AJ20&amp;65):INDIRECT(AJ20&amp;$C$61)),$AH20))),INDIRECT(AJ20&amp;65):INDIRECT(AJ20&amp;$C$61),0)</f>
        <v>#NUM!</v>
      </c>
      <c r="U20" s="69" t="e">
        <f ca="1">INDEX(D$65:INDIRECT("D"&amp;$C$61),$T20)</f>
        <v>#NUM!</v>
      </c>
      <c r="V20" s="69" t="e">
        <f ca="1">INDEX(INDIRECT(("'MemberID'!$C$6:C"&amp;MemberID!$C$1)),MATCH(U20,INDIRECT(("'MemberID'!$G$6:G"&amp;MemberID!$C$1)),0))</f>
        <v>#NUM!</v>
      </c>
      <c r="W20" s="69" t="e">
        <f ca="1">INDEX(E$65:INDIRECT("E"&amp;$C$61),$T20)</f>
        <v>#NUM!</v>
      </c>
      <c r="X20" t="e">
        <f ca="1">INDEX(F$65:INDIRECT("F"&amp;$C$61),$T20)</f>
        <v>#NUM!</v>
      </c>
      <c r="Y20" t="e">
        <f ca="1">INDEX(G$65:INDIRECT("G"&amp;$C$61),$T20)</f>
        <v>#NUM!</v>
      </c>
      <c r="Z20" t="e">
        <f ca="1">INDEX(H$65:INDIRECT("H"&amp;$C$61),$T20)</f>
        <v>#NUM!</v>
      </c>
      <c r="AA20" t="e">
        <f ca="1">INDEX(I$65:INDIRECT("I"&amp;$C$61),$T20)</f>
        <v>#NUM!</v>
      </c>
      <c r="AB20" s="23" t="e">
        <f t="array" aca="1" ref="AB20" ca="1">IF(ISBLANK($AE$11),SMALL(IF($E$65:INDIRECT("E"&amp;$C$61)=$AE$10,J$65:INDIRECT(AB$13&amp;$C$61)),$AH20),IF(ISBLANK($AE$10),SMALL(IF($D$65:INDIRECT("D"&amp;$C$61)=$AE$11,J$65:INDIRECT(AB$13&amp;$C$61)),$AH20),SMALL(IF(($E$65:INDIRECT("E"&amp;$C$61)=$AE$10)*($D$65:INDIRECT("D"&amp;$C$61)=$AE$11),J$65:INDIRECT(AB$13&amp;$C$61)),$AH20)))</f>
        <v>#NUM!</v>
      </c>
      <c r="AC20" t="e">
        <f ca="1">INDEX(K$65:INDIRECT("K"&amp;$C$61),$T20)</f>
        <v>#NUM!</v>
      </c>
      <c r="AD20" t="e">
        <f ca="1">INDEX(L$65:INDIRECT("L"&amp;$C$61),$T20)</f>
        <v>#NUM!</v>
      </c>
      <c r="AE20" t="e">
        <f ca="1">INDEX(M$65:INDIRECT("M"&amp;$C$61),$T20)</f>
        <v>#NUM!</v>
      </c>
      <c r="AF20" t="e">
        <f ca="1">INDEX(N$65:INDIRECT("N"&amp;$C$61),$T20)</f>
        <v>#NUM!</v>
      </c>
      <c r="AG20" t="e">
        <f ca="1">INDEX(O$65:INDIRECT("O"&amp;$C$61),$T20)</f>
        <v>#NUM!</v>
      </c>
      <c r="AH20" s="69">
        <v>3</v>
      </c>
      <c r="AI20" s="69" t="str">
        <f t="shared" si="0"/>
        <v>J</v>
      </c>
      <c r="AJ20" s="69" t="str">
        <f t="shared" si="0"/>
        <v>Q</v>
      </c>
    </row>
    <row r="21" spans="1:36" x14ac:dyDescent="0.25">
      <c r="A21" s="5"/>
      <c r="B21" s="69"/>
      <c r="C21" s="69"/>
      <c r="D21" s="69"/>
      <c r="E21" s="69"/>
      <c r="F21" s="69"/>
      <c r="J21" s="7"/>
      <c r="K21" s="7"/>
      <c r="L21" s="7"/>
      <c r="Q21" s="104"/>
      <c r="R21" s="5"/>
      <c r="S21" s="69"/>
      <c r="T21" s="69"/>
      <c r="V21" s="69"/>
      <c r="W21" s="69"/>
      <c r="AH21" s="69"/>
      <c r="AI21" s="69"/>
      <c r="AJ21" s="69"/>
    </row>
    <row r="22" spans="1:36" x14ac:dyDescent="0.25">
      <c r="A22" s="73" t="s">
        <v>69</v>
      </c>
      <c r="B22" s="69" t="s">
        <v>32</v>
      </c>
      <c r="C22" s="73" t="e">
        <f ca="1">K3</f>
        <v>#N/A</v>
      </c>
      <c r="D22" s="69" t="e">
        <f ca="1">INDEX(D$65:INDIRECT("D"&amp;$C$61),$C22)</f>
        <v>#N/A</v>
      </c>
      <c r="E22" s="69" t="e">
        <f ca="1">INDEX(INDIRECT(("'MemberID'!$C$6:C"&amp;MemberID!$C$1)),MATCH(D22,INDIRECT(("'MemberID'!$G$6:G"&amp;MemberID!$C$1)),0))</f>
        <v>#N/A</v>
      </c>
      <c r="F22" s="69" t="e">
        <f ca="1">INDEX(E$65:INDIRECT("E"&amp;$C$61),$C22)</f>
        <v>#N/A</v>
      </c>
      <c r="G22" t="e">
        <f ca="1">INDEX(F$65:INDIRECT("F"&amp;$C$61),$C22)</f>
        <v>#N/A</v>
      </c>
      <c r="H22" t="e">
        <f ca="1">INDEX(G$65:INDIRECT("G"&amp;$C$61),$C22)</f>
        <v>#N/A</v>
      </c>
      <c r="I22" t="e">
        <f ca="1">INDEX(H$65:INDIRECT("H"&amp;$C$61),$C22)</f>
        <v>#N/A</v>
      </c>
      <c r="J22" t="e">
        <f ca="1">INDEX(I$65:INDIRECT("I"&amp;$C$61),$C22)</f>
        <v>#N/A</v>
      </c>
      <c r="K22" s="7" t="e">
        <f ca="1">INDEX(J$65:INDIRECT("J"&amp;$C$61),$C22)</f>
        <v>#N/A</v>
      </c>
      <c r="L22" s="23" t="e">
        <f ca="1">INDEX(K$65:INDIRECT("K"&amp;$C$61),$C22)</f>
        <v>#N/A</v>
      </c>
      <c r="M22" t="e">
        <f ca="1">INDEX(L$65:INDIRECT("L"&amp;$C$61),$C22)</f>
        <v>#N/A</v>
      </c>
      <c r="N22" t="e">
        <f ca="1">INDEX(M$65:INDIRECT("M"&amp;$C$61),$C22)</f>
        <v>#N/A</v>
      </c>
      <c r="O22" t="e">
        <f ca="1">INDEX(N$65:INDIRECT("N"&amp;$C$61),$C22)</f>
        <v>#N/A</v>
      </c>
      <c r="P22" t="e">
        <f ca="1">INDEX(O$65:INDIRECT("O"&amp;$C$61),$C22)</f>
        <v>#N/A</v>
      </c>
      <c r="Q22" s="104"/>
      <c r="R22" s="73" t="s">
        <v>69</v>
      </c>
      <c r="S22" s="69" t="s">
        <v>32</v>
      </c>
      <c r="T22" s="73" t="e">
        <f t="array" aca="1" ref="T22" ca="1">MATCH(IF(ISBLANK($AE$11),LARGE(IF($E$65:INDIRECT("E"&amp;$C$61)=$AE$10,INDIRECT(AJ22&amp;65):INDIRECT(AJ22&amp;$C$61)),$AH22),IF(ISBLANK($AE$10),LARGE(IF($D$65:INDIRECT("D"&amp;$C$61)=$AE$11,INDIRECT(AJ22&amp;65):INDIRECT(AJ22&amp;$C$61)),$AH22),LARGE(IF(($E$65:INDIRECT("E"&amp;$C$61)=$AE$10)*($D$65:INDIRECT("D"&amp;$C$61)=$AE$11),INDIRECT(AJ22&amp;65):INDIRECT(AJ22&amp;$C$61)),$AH22))),INDIRECT(AJ22&amp;65):INDIRECT(AJ22&amp;$C$61),0)</f>
        <v>#NUM!</v>
      </c>
      <c r="U22" s="69" t="e">
        <f ca="1">INDEX(D$65:INDIRECT("D"&amp;$C$61),$T22)</f>
        <v>#NUM!</v>
      </c>
      <c r="V22" s="69" t="e">
        <f ca="1">INDEX(INDIRECT(("'MemberID'!$C$6:C"&amp;MemberID!$C$1)),MATCH(U22,INDIRECT(("'MemberID'!$G$6:G"&amp;MemberID!$C$1)),0))</f>
        <v>#NUM!</v>
      </c>
      <c r="W22" s="69" t="e">
        <f ca="1">INDEX(E$65:INDIRECT("E"&amp;$C$61),$T22)</f>
        <v>#NUM!</v>
      </c>
      <c r="X22" t="e">
        <f ca="1">INDEX(F$65:INDIRECT("F"&amp;$C$61),$T22)</f>
        <v>#NUM!</v>
      </c>
      <c r="Y22" t="e">
        <f ca="1">INDEX(G$65:INDIRECT("G"&amp;$C$61),$T22)</f>
        <v>#NUM!</v>
      </c>
      <c r="Z22" t="e">
        <f ca="1">INDEX(H$65:INDIRECT("H"&amp;$C$61),$T22)</f>
        <v>#NUM!</v>
      </c>
      <c r="AA22" t="e">
        <f ca="1">INDEX(I$65:INDIRECT("I"&amp;$C$61),$T22)</f>
        <v>#NUM!</v>
      </c>
      <c r="AB22" t="e">
        <f ca="1">INDEX(J$65:INDIRECT("J"&amp;$C$61),$T22)</f>
        <v>#NUM!</v>
      </c>
      <c r="AC22" s="23" t="e">
        <f t="array" aca="1" ref="AC22" ca="1">IF(ISBLANK($AE$11),LARGE(IF($E$65:INDIRECT("E"&amp;$C$61)=$AE$10,K$65:INDIRECT(AC$13&amp;$C$61)),$AH22),IF(ISBLANK($AE$10),LARGE(IF($D$65:INDIRECT("D"&amp;$C$61)=$AE$11,K$65:INDIRECT(AC$13&amp;$C$61)),$AH22),LARGE(IF(($E$65:INDIRECT("E"&amp;$C$61)=$AE$10)*($D$65:INDIRECT("D"&amp;$C$61)=$AE$11),K$65:INDIRECT(AC$13&amp;$C$61)),$AH22)))</f>
        <v>#NUM!</v>
      </c>
      <c r="AD22" t="e">
        <f ca="1">INDEX(L$65:INDIRECT("L"&amp;$C$61),$T22)</f>
        <v>#NUM!</v>
      </c>
      <c r="AE22" t="e">
        <f ca="1">INDEX(M$65:INDIRECT("M"&amp;$C$61),$T22)</f>
        <v>#NUM!</v>
      </c>
      <c r="AF22" t="e">
        <f ca="1">INDEX(N$65:INDIRECT("N"&amp;$C$61),$T22)</f>
        <v>#NUM!</v>
      </c>
      <c r="AG22" t="e">
        <f ca="1">INDEX(O$65:INDIRECT("O"&amp;$C$61),$T22)</f>
        <v>#NUM!</v>
      </c>
      <c r="AH22" s="69">
        <v>1</v>
      </c>
      <c r="AI22" s="69" t="s">
        <v>151</v>
      </c>
      <c r="AJ22" s="69" t="s">
        <v>157</v>
      </c>
    </row>
    <row r="23" spans="1:36" x14ac:dyDescent="0.25">
      <c r="A23" s="73" t="s">
        <v>70</v>
      </c>
      <c r="B23" s="69" t="s">
        <v>32</v>
      </c>
      <c r="C23" s="73" t="e">
        <f ca="1">S3</f>
        <v>#NUM!</v>
      </c>
      <c r="D23" s="69" t="e">
        <f ca="1">INDEX(D$65:INDIRECT("D"&amp;$C$61),$C23)</f>
        <v>#NUM!</v>
      </c>
      <c r="E23" s="69" t="e">
        <f ca="1">INDEX(INDIRECT(("'MemberID'!$C$6:C"&amp;MemberID!$C$1)),MATCH(D23,INDIRECT(("'MemberID'!$G$6:G"&amp;MemberID!$C$1)),0))</f>
        <v>#NUM!</v>
      </c>
      <c r="F23" s="69" t="e">
        <f ca="1">INDEX(E$65:INDIRECT("E"&amp;$C$61),$C23)</f>
        <v>#NUM!</v>
      </c>
      <c r="G23" t="e">
        <f ca="1">INDEX(F$65:INDIRECT("F"&amp;$C$61),$C23)</f>
        <v>#NUM!</v>
      </c>
      <c r="H23" t="e">
        <f ca="1">INDEX(G$65:INDIRECT("G"&amp;$C$61),$C23)</f>
        <v>#NUM!</v>
      </c>
      <c r="I23" t="e">
        <f ca="1">INDEX(H$65:INDIRECT("H"&amp;$C$61),$C23)</f>
        <v>#NUM!</v>
      </c>
      <c r="J23" t="e">
        <f ca="1">INDEX(I$65:INDIRECT("I"&amp;$C$61),$C23)</f>
        <v>#NUM!</v>
      </c>
      <c r="K23" s="7" t="e">
        <f ca="1">INDEX(J$65:INDIRECT("J"&amp;$C$61),$C23)</f>
        <v>#NUM!</v>
      </c>
      <c r="L23" s="23" t="e">
        <f ca="1">INDEX(K$65:INDIRECT("K"&amp;$C$61),$C23)</f>
        <v>#NUM!</v>
      </c>
      <c r="M23" t="e">
        <f ca="1">INDEX(L$65:INDIRECT("L"&amp;$C$61),$C23)</f>
        <v>#NUM!</v>
      </c>
      <c r="N23" t="e">
        <f ca="1">INDEX(M$65:INDIRECT("M"&amp;$C$61),$C23)</f>
        <v>#NUM!</v>
      </c>
      <c r="O23" t="e">
        <f ca="1">INDEX(N$65:INDIRECT("N"&amp;$C$61),$C23)</f>
        <v>#NUM!</v>
      </c>
      <c r="P23" t="e">
        <f ca="1">INDEX(O$65:INDIRECT("O"&amp;$C$61),$C23)</f>
        <v>#NUM!</v>
      </c>
      <c r="Q23" s="104"/>
      <c r="R23" s="73" t="s">
        <v>70</v>
      </c>
      <c r="S23" s="69" t="s">
        <v>32</v>
      </c>
      <c r="T23" s="73" t="e">
        <f t="array" aca="1" ref="T23" ca="1">MATCH(IF(ISBLANK($AE$11),LARGE(IF($E$65:INDIRECT("E"&amp;$C$61)=$AE$10,INDIRECT(AJ23&amp;65):INDIRECT(AJ23&amp;$C$61)),$AH23),IF(ISBLANK($AE$10),LARGE(IF($D$65:INDIRECT("D"&amp;$C$61)=$AE$11,INDIRECT(AJ23&amp;65):INDIRECT(AJ23&amp;$C$61)),$AH23),LARGE(IF(($E$65:INDIRECT("E"&amp;$C$61)=$AE$10)*($D$65:INDIRECT("D"&amp;$C$61)=$AE$11),INDIRECT(AJ23&amp;65):INDIRECT(AJ23&amp;$C$61)),$AH23))),INDIRECT(AJ23&amp;65):INDIRECT(AJ23&amp;$C$61),0)</f>
        <v>#NUM!</v>
      </c>
      <c r="U23" s="69" t="e">
        <f ca="1">INDEX(D$65:INDIRECT("D"&amp;$C$61),$T23)</f>
        <v>#NUM!</v>
      </c>
      <c r="V23" s="69" t="e">
        <f ca="1">INDEX(INDIRECT(("'MemberID'!$C$6:C"&amp;MemberID!$C$1)),MATCH(U23,INDIRECT(("'MemberID'!$G$6:G"&amp;MemberID!$C$1)),0))</f>
        <v>#NUM!</v>
      </c>
      <c r="W23" s="69" t="e">
        <f ca="1">INDEX(E$65:INDIRECT("E"&amp;$C$61),$T23)</f>
        <v>#NUM!</v>
      </c>
      <c r="X23" t="e">
        <f ca="1">INDEX(F$65:INDIRECT("F"&amp;$C$61),$T23)</f>
        <v>#NUM!</v>
      </c>
      <c r="Y23" t="e">
        <f ca="1">INDEX(G$65:INDIRECT("G"&amp;$C$61),$T23)</f>
        <v>#NUM!</v>
      </c>
      <c r="Z23" t="e">
        <f ca="1">INDEX(H$65:INDIRECT("H"&amp;$C$61),$T23)</f>
        <v>#NUM!</v>
      </c>
      <c r="AA23" t="e">
        <f ca="1">INDEX(I$65:INDIRECT("I"&amp;$C$61),$T23)</f>
        <v>#NUM!</v>
      </c>
      <c r="AB23" t="e">
        <f ca="1">INDEX(J$65:INDIRECT("J"&amp;$C$61),$T23)</f>
        <v>#NUM!</v>
      </c>
      <c r="AC23" s="23" t="e">
        <f t="array" aca="1" ref="AC23" ca="1">IF(ISBLANK($AE$11),LARGE(IF($E$65:INDIRECT("E"&amp;$C$61)=$AE$10,K$65:INDIRECT(AC$13&amp;$C$61)),$AH23),IF(ISBLANK($AE$10),LARGE(IF($D$65:INDIRECT("D"&amp;$C$61)=$AE$11,K$65:INDIRECT(AC$13&amp;$C$61)),$AH23),LARGE(IF(($E$65:INDIRECT("E"&amp;$C$61)=$AE$10)*($D$65:INDIRECT("D"&amp;$C$61)=$AE$11),K$65:INDIRECT(AC$13&amp;$C$61)),$AH23)))</f>
        <v>#NUM!</v>
      </c>
      <c r="AD23" t="e">
        <f ca="1">INDEX(L$65:INDIRECT("L"&amp;$C$61),$T23)</f>
        <v>#NUM!</v>
      </c>
      <c r="AE23" t="e">
        <f ca="1">INDEX(M$65:INDIRECT("M"&amp;$C$61),$T23)</f>
        <v>#NUM!</v>
      </c>
      <c r="AF23" t="e">
        <f ca="1">INDEX(N$65:INDIRECT("N"&amp;$C$61),$T23)</f>
        <v>#NUM!</v>
      </c>
      <c r="AG23" t="e">
        <f ca="1">INDEX(O$65:INDIRECT("O"&amp;$C$61),$T23)</f>
        <v>#NUM!</v>
      </c>
      <c r="AH23" s="69">
        <v>2</v>
      </c>
      <c r="AI23" s="69" t="str">
        <f>AI22</f>
        <v>K</v>
      </c>
      <c r="AJ23" s="69" t="str">
        <f>AJ22</f>
        <v>R</v>
      </c>
    </row>
    <row r="24" spans="1:36" x14ac:dyDescent="0.25">
      <c r="A24" s="73" t="s">
        <v>71</v>
      </c>
      <c r="B24" s="69" t="s">
        <v>32</v>
      </c>
      <c r="C24" s="73" t="e">
        <f ca="1">AA3</f>
        <v>#NUM!</v>
      </c>
      <c r="D24" s="69" t="e">
        <f ca="1">INDEX(D$65:INDIRECT("D"&amp;$C$61),$C24)</f>
        <v>#NUM!</v>
      </c>
      <c r="E24" s="69" t="e">
        <f ca="1">INDEX(INDIRECT(("'MemberID'!$C$6:C"&amp;MemberID!$C$1)),MATCH(D24,INDIRECT(("'MemberID'!$G$6:G"&amp;MemberID!$C$1)),0))</f>
        <v>#NUM!</v>
      </c>
      <c r="F24" s="69" t="e">
        <f ca="1">INDEX(E$65:INDIRECT("E"&amp;$C$61),$C24)</f>
        <v>#NUM!</v>
      </c>
      <c r="G24" t="e">
        <f ca="1">INDEX(F$65:INDIRECT("F"&amp;$C$61),$C24)</f>
        <v>#NUM!</v>
      </c>
      <c r="H24" t="e">
        <f ca="1">INDEX(G$65:INDIRECT("G"&amp;$C$61),$C24)</f>
        <v>#NUM!</v>
      </c>
      <c r="I24" t="e">
        <f ca="1">INDEX(H$65:INDIRECT("H"&amp;$C$61),$C24)</f>
        <v>#NUM!</v>
      </c>
      <c r="J24" t="e">
        <f ca="1">INDEX(I$65:INDIRECT("I"&amp;$C$61),$C24)</f>
        <v>#NUM!</v>
      </c>
      <c r="K24" s="7" t="e">
        <f ca="1">INDEX(J$65:INDIRECT("J"&amp;$C$61),$C24)</f>
        <v>#NUM!</v>
      </c>
      <c r="L24" s="23" t="e">
        <f ca="1">INDEX(K$65:INDIRECT("K"&amp;$C$61),$C24)</f>
        <v>#NUM!</v>
      </c>
      <c r="M24" t="e">
        <f ca="1">INDEX(L$65:INDIRECT("L"&amp;$C$61),$C24)</f>
        <v>#NUM!</v>
      </c>
      <c r="N24" t="e">
        <f ca="1">INDEX(M$65:INDIRECT("M"&amp;$C$61),$C24)</f>
        <v>#NUM!</v>
      </c>
      <c r="O24" t="e">
        <f ca="1">INDEX(N$65:INDIRECT("N"&amp;$C$61),$C24)</f>
        <v>#NUM!</v>
      </c>
      <c r="P24" t="e">
        <f ca="1">INDEX(O$65:INDIRECT("O"&amp;$C$61),$C24)</f>
        <v>#NUM!</v>
      </c>
      <c r="Q24" s="104"/>
      <c r="R24" s="73" t="s">
        <v>71</v>
      </c>
      <c r="S24" s="69" t="s">
        <v>32</v>
      </c>
      <c r="T24" s="73" t="e">
        <f t="array" aca="1" ref="T24" ca="1">MATCH(IF(ISBLANK($AE$11),LARGE(IF($E$65:INDIRECT("E"&amp;$C$61)=$AE$10,INDIRECT(AJ24&amp;65):INDIRECT(AJ24&amp;$C$61)),$AH24),IF(ISBLANK($AE$10),LARGE(IF($D$65:INDIRECT("D"&amp;$C$61)=$AE$11,INDIRECT(AJ24&amp;65):INDIRECT(AJ24&amp;$C$61)),$AH24),LARGE(IF(($E$65:INDIRECT("E"&amp;$C$61)=$AE$10)*($D$65:INDIRECT("D"&amp;$C$61)=$AE$11),INDIRECT(AJ24&amp;65):INDIRECT(AJ24&amp;$C$61)),$AH24))),INDIRECT(AJ24&amp;65):INDIRECT(AJ24&amp;$C$61),0)</f>
        <v>#NUM!</v>
      </c>
      <c r="U24" s="69" t="e">
        <f ca="1">INDEX(D$65:INDIRECT("D"&amp;$C$61),$T24)</f>
        <v>#NUM!</v>
      </c>
      <c r="V24" s="69" t="e">
        <f ca="1">INDEX(INDIRECT(("'MemberID'!$C$6:C"&amp;MemberID!$C$1)),MATCH(U24,INDIRECT(("'MemberID'!$G$6:G"&amp;MemberID!$C$1)),0))</f>
        <v>#NUM!</v>
      </c>
      <c r="W24" s="69" t="e">
        <f ca="1">INDEX(E$65:INDIRECT("E"&amp;$C$61),$T24)</f>
        <v>#NUM!</v>
      </c>
      <c r="X24" t="e">
        <f ca="1">INDEX(F$65:INDIRECT("F"&amp;$C$61),$T24)</f>
        <v>#NUM!</v>
      </c>
      <c r="Y24" t="e">
        <f ca="1">INDEX(G$65:INDIRECT("G"&amp;$C$61),$T24)</f>
        <v>#NUM!</v>
      </c>
      <c r="Z24" t="e">
        <f ca="1">INDEX(H$65:INDIRECT("H"&amp;$C$61),$T24)</f>
        <v>#NUM!</v>
      </c>
      <c r="AA24" t="e">
        <f ca="1">INDEX(I$65:INDIRECT("I"&amp;$C$61),$T24)</f>
        <v>#NUM!</v>
      </c>
      <c r="AB24" t="e">
        <f ca="1">INDEX(J$65:INDIRECT("J"&amp;$C$61),$T24)</f>
        <v>#NUM!</v>
      </c>
      <c r="AC24" s="23" t="e">
        <f t="array" aca="1" ref="AC24" ca="1">IF(ISBLANK($AE$11),LARGE(IF($E$65:INDIRECT("E"&amp;$C$61)=$AE$10,K$65:INDIRECT(AC$13&amp;$C$61)),$AH24),IF(ISBLANK($AE$10),LARGE(IF($D$65:INDIRECT("D"&amp;$C$61)=$AE$11,K$65:INDIRECT(AC$13&amp;$C$61)),$AH24),LARGE(IF(($E$65:INDIRECT("E"&amp;$C$61)=$AE$10)*($D$65:INDIRECT("D"&amp;$C$61)=$AE$11),K$65:INDIRECT(AC$13&amp;$C$61)),$AH24)))</f>
        <v>#NUM!</v>
      </c>
      <c r="AD24" t="e">
        <f ca="1">INDEX(L$65:INDIRECT("L"&amp;$C$61),$T24)</f>
        <v>#NUM!</v>
      </c>
      <c r="AE24" t="e">
        <f ca="1">INDEX(M$65:INDIRECT("M"&amp;$C$61),$T24)</f>
        <v>#NUM!</v>
      </c>
      <c r="AF24" t="e">
        <f ca="1">INDEX(N$65:INDIRECT("N"&amp;$C$61),$T24)</f>
        <v>#NUM!</v>
      </c>
      <c r="AG24" t="e">
        <f ca="1">INDEX(O$65:INDIRECT("O"&amp;$C$61),$T24)</f>
        <v>#NUM!</v>
      </c>
      <c r="AH24" s="69">
        <v>3</v>
      </c>
      <c r="AI24" s="69" t="str">
        <f t="shared" ref="AI24:AJ27" si="1">AI23</f>
        <v>K</v>
      </c>
      <c r="AJ24" s="69" t="str">
        <f t="shared" si="1"/>
        <v>R</v>
      </c>
    </row>
    <row r="25" spans="1:36" x14ac:dyDescent="0.25">
      <c r="A25" s="74" t="s">
        <v>72</v>
      </c>
      <c r="B25" s="69" t="s">
        <v>32</v>
      </c>
      <c r="C25" s="74" t="e">
        <f ca="1">K6</f>
        <v>#N/A</v>
      </c>
      <c r="D25" s="69" t="e">
        <f ca="1">INDEX(D$65:INDIRECT("D"&amp;$C$61),$C25)</f>
        <v>#N/A</v>
      </c>
      <c r="E25" s="69" t="e">
        <f ca="1">INDEX(INDIRECT(("'MemberID'!$C$6:C"&amp;MemberID!$C$1)),MATCH(D25,INDIRECT(("'MemberID'!$G$6:G"&amp;MemberID!$C$1)),0))</f>
        <v>#N/A</v>
      </c>
      <c r="F25" s="69" t="e">
        <f ca="1">INDEX(E$65:INDIRECT("E"&amp;$C$61),$C25)</f>
        <v>#N/A</v>
      </c>
      <c r="G25" t="e">
        <f ca="1">INDEX(F$65:INDIRECT("F"&amp;$C$61),$C25)</f>
        <v>#N/A</v>
      </c>
      <c r="H25" t="e">
        <f ca="1">INDEX(G$65:INDIRECT("G"&amp;$C$61),$C25)</f>
        <v>#N/A</v>
      </c>
      <c r="I25" t="e">
        <f ca="1">INDEX(H$65:INDIRECT("H"&amp;$C$61),$C25)</f>
        <v>#N/A</v>
      </c>
      <c r="J25" t="e">
        <f ca="1">INDEX(I$65:INDIRECT("I"&amp;$C$61),$C25)</f>
        <v>#N/A</v>
      </c>
      <c r="K25" s="7" t="e">
        <f ca="1">INDEX(J$65:INDIRECT("J"&amp;$C$61),$C25)</f>
        <v>#N/A</v>
      </c>
      <c r="L25" s="23" t="e">
        <f ca="1">INDEX(K$65:INDIRECT("K"&amp;$C$61),$C25)</f>
        <v>#N/A</v>
      </c>
      <c r="M25" t="e">
        <f ca="1">INDEX(L$65:INDIRECT("L"&amp;$C$61),$C25)</f>
        <v>#N/A</v>
      </c>
      <c r="N25" t="e">
        <f ca="1">INDEX(M$65:INDIRECT("M"&amp;$C$61),$C25)</f>
        <v>#N/A</v>
      </c>
      <c r="O25" t="e">
        <f ca="1">INDEX(N$65:INDIRECT("N"&amp;$C$61),$C25)</f>
        <v>#N/A</v>
      </c>
      <c r="P25" t="e">
        <f ca="1">INDEX(O$65:INDIRECT("O"&amp;$C$61),$C25)</f>
        <v>#N/A</v>
      </c>
      <c r="Q25" s="104"/>
      <c r="R25" s="74" t="s">
        <v>72</v>
      </c>
      <c r="S25" s="69" t="s">
        <v>32</v>
      </c>
      <c r="T25" s="74" t="e">
        <f t="array" aca="1" ref="T25" ca="1">MATCH(IF(ISBLANK($AE$11),SMALL(IF($E$65:INDIRECT("E"&amp;$C$61)=$AE$10,INDIRECT(AJ25&amp;65):INDIRECT(AJ25&amp;$C$61)),$AH25),IF(ISBLANK($AE$10),SMALL(IF($D$65:INDIRECT("D"&amp;$C$61)=$AE$11,INDIRECT(AJ25&amp;65):INDIRECT(AJ25&amp;$C$61)),$AH25),SMALL(IF(($E$65:INDIRECT("E"&amp;$C$61)=$AE$10)*($D$65:INDIRECT("D"&amp;$C$61)=$AE$11),INDIRECT(AJ25&amp;65):INDIRECT(AJ25&amp;$C$61)),$AH25))),INDIRECT(AJ25&amp;65):INDIRECT(AJ25&amp;$C$61),0)</f>
        <v>#NUM!</v>
      </c>
      <c r="U25" s="69" t="e">
        <f ca="1">INDEX(D$65:INDIRECT("D"&amp;$C$61),$T25)</f>
        <v>#NUM!</v>
      </c>
      <c r="V25" s="69" t="e">
        <f ca="1">INDEX(INDIRECT(("'MemberID'!$C$6:C"&amp;MemberID!$C$1)),MATCH(U25,INDIRECT(("'MemberID'!$G$6:G"&amp;MemberID!$C$1)),0))</f>
        <v>#NUM!</v>
      </c>
      <c r="W25" s="69" t="e">
        <f ca="1">INDEX(E$65:INDIRECT("E"&amp;$C$61),$T25)</f>
        <v>#NUM!</v>
      </c>
      <c r="X25" t="e">
        <f ca="1">INDEX(F$65:INDIRECT("F"&amp;$C$61),$T25)</f>
        <v>#NUM!</v>
      </c>
      <c r="Y25" t="e">
        <f ca="1">INDEX(G$65:INDIRECT("G"&amp;$C$61),$T25)</f>
        <v>#NUM!</v>
      </c>
      <c r="Z25" t="e">
        <f ca="1">INDEX(H$65:INDIRECT("H"&amp;$C$61),$T25)</f>
        <v>#NUM!</v>
      </c>
      <c r="AA25" t="e">
        <f ca="1">INDEX(I$65:INDIRECT("I"&amp;$C$61),$T25)</f>
        <v>#NUM!</v>
      </c>
      <c r="AB25" t="e">
        <f ca="1">INDEX(J$65:INDIRECT("J"&amp;$C$61),$T25)</f>
        <v>#NUM!</v>
      </c>
      <c r="AC25" s="23" t="e">
        <f t="array" aca="1" ref="AC25" ca="1">IF(ISBLANK($AE$11),SMALL(IF($E$65:INDIRECT("E"&amp;$C$61)=$AE$10,K$65:INDIRECT(AC$13&amp;$C$61)),$AH25),IF(ISBLANK($AE$10),SMALL(IF($D$65:INDIRECT("D"&amp;$C$61)=$AE$11,K$65:INDIRECT(AC$13&amp;$C$61)),$AH25),SMALL(IF(($E$65:INDIRECT("E"&amp;$C$61)=$AE$10)*($D$65:INDIRECT("D"&amp;$C$61)=$AE$11),K$65:INDIRECT(AC$13&amp;$C$61)),$AH25)))</f>
        <v>#NUM!</v>
      </c>
      <c r="AD25" t="e">
        <f ca="1">INDEX(L$65:INDIRECT("L"&amp;$C$61),$T25)</f>
        <v>#NUM!</v>
      </c>
      <c r="AE25" t="e">
        <f ca="1">INDEX(M$65:INDIRECT("M"&amp;$C$61),$T25)</f>
        <v>#NUM!</v>
      </c>
      <c r="AF25" t="e">
        <f ca="1">INDEX(N$65:INDIRECT("N"&amp;$C$61),$T25)</f>
        <v>#NUM!</v>
      </c>
      <c r="AG25" t="e">
        <f ca="1">INDEX(O$65:INDIRECT("O"&amp;$C$61),$T25)</f>
        <v>#NUM!</v>
      </c>
      <c r="AH25" s="69">
        <v>1</v>
      </c>
      <c r="AI25" s="69" t="str">
        <f t="shared" si="1"/>
        <v>K</v>
      </c>
      <c r="AJ25" s="69" t="str">
        <f t="shared" si="1"/>
        <v>R</v>
      </c>
    </row>
    <row r="26" spans="1:36" x14ac:dyDescent="0.25">
      <c r="A26" s="74" t="s">
        <v>73</v>
      </c>
      <c r="B26" s="69" t="s">
        <v>32</v>
      </c>
      <c r="C26" s="74" t="e">
        <f ca="1">S6</f>
        <v>#NUM!</v>
      </c>
      <c r="D26" s="69" t="e">
        <f ca="1">INDEX(D$65:INDIRECT("D"&amp;$C$61),$C26)</f>
        <v>#NUM!</v>
      </c>
      <c r="E26" s="69" t="e">
        <f ca="1">INDEX(INDIRECT(("'MemberID'!$C$6:C"&amp;MemberID!$C$1)),MATCH(D26,INDIRECT(("'MemberID'!$G$6:G"&amp;MemberID!$C$1)),0))</f>
        <v>#NUM!</v>
      </c>
      <c r="F26" s="69" t="e">
        <f ca="1">INDEX(E$65:INDIRECT("E"&amp;$C$61),$C26)</f>
        <v>#NUM!</v>
      </c>
      <c r="G26" t="e">
        <f ca="1">INDEX(F$65:INDIRECT("F"&amp;$C$61),$C26)</f>
        <v>#NUM!</v>
      </c>
      <c r="H26" t="e">
        <f ca="1">INDEX(G$65:INDIRECT("G"&amp;$C$61),$C26)</f>
        <v>#NUM!</v>
      </c>
      <c r="I26" t="e">
        <f ca="1">INDEX(H$65:INDIRECT("H"&amp;$C$61),$C26)</f>
        <v>#NUM!</v>
      </c>
      <c r="J26" t="e">
        <f ca="1">INDEX(I$65:INDIRECT("I"&amp;$C$61),$C26)</f>
        <v>#NUM!</v>
      </c>
      <c r="K26" s="7" t="e">
        <f ca="1">INDEX(J$65:INDIRECT("J"&amp;$C$61),$C26)</f>
        <v>#NUM!</v>
      </c>
      <c r="L26" s="23" t="e">
        <f ca="1">INDEX(K$65:INDIRECT("K"&amp;$C$61),$C26)</f>
        <v>#NUM!</v>
      </c>
      <c r="M26" t="e">
        <f ca="1">INDEX(L$65:INDIRECT("L"&amp;$C$61),$C26)</f>
        <v>#NUM!</v>
      </c>
      <c r="N26" t="e">
        <f ca="1">INDEX(M$65:INDIRECT("M"&amp;$C$61),$C26)</f>
        <v>#NUM!</v>
      </c>
      <c r="O26" t="e">
        <f ca="1">INDEX(N$65:INDIRECT("N"&amp;$C$61),$C26)</f>
        <v>#NUM!</v>
      </c>
      <c r="P26" t="e">
        <f ca="1">INDEX(O$65:INDIRECT("O"&amp;$C$61),$C26)</f>
        <v>#NUM!</v>
      </c>
      <c r="Q26" s="104"/>
      <c r="R26" s="74" t="s">
        <v>73</v>
      </c>
      <c r="S26" s="69" t="s">
        <v>32</v>
      </c>
      <c r="T26" s="74" t="e">
        <f t="array" aca="1" ref="T26" ca="1">MATCH(IF(ISBLANK($AE$11),SMALL(IF($E$65:INDIRECT("E"&amp;$C$61)=$AE$10,INDIRECT(AJ26&amp;65):INDIRECT(AJ26&amp;$C$61)),$AH26),IF(ISBLANK($AE$10),SMALL(IF($D$65:INDIRECT("D"&amp;$C$61)=$AE$11,INDIRECT(AJ26&amp;65):INDIRECT(AJ26&amp;$C$61)),$AH26),SMALL(IF(($E$65:INDIRECT("E"&amp;$C$61)=$AE$10)*($D$65:INDIRECT("D"&amp;$C$61)=$AE$11),INDIRECT(AJ26&amp;65):INDIRECT(AJ26&amp;$C$61)),$AH26))),INDIRECT(AJ26&amp;65):INDIRECT(AJ26&amp;$C$61),0)</f>
        <v>#NUM!</v>
      </c>
      <c r="U26" s="69" t="e">
        <f ca="1">INDEX(D$65:INDIRECT("D"&amp;$C$61),$T26)</f>
        <v>#NUM!</v>
      </c>
      <c r="V26" s="69" t="e">
        <f ca="1">INDEX(INDIRECT(("'MemberID'!$C$6:C"&amp;MemberID!$C$1)),MATCH(U26,INDIRECT(("'MemberID'!$G$6:G"&amp;MemberID!$C$1)),0))</f>
        <v>#NUM!</v>
      </c>
      <c r="W26" s="69" t="e">
        <f ca="1">INDEX(E$65:INDIRECT("E"&amp;$C$61),$T26)</f>
        <v>#NUM!</v>
      </c>
      <c r="X26" t="e">
        <f ca="1">INDEX(F$65:INDIRECT("F"&amp;$C$61),$T26)</f>
        <v>#NUM!</v>
      </c>
      <c r="Y26" t="e">
        <f ca="1">INDEX(G$65:INDIRECT("G"&amp;$C$61),$T26)</f>
        <v>#NUM!</v>
      </c>
      <c r="Z26" t="e">
        <f ca="1">INDEX(H$65:INDIRECT("H"&amp;$C$61),$T26)</f>
        <v>#NUM!</v>
      </c>
      <c r="AA26" t="e">
        <f ca="1">INDEX(I$65:INDIRECT("I"&amp;$C$61),$T26)</f>
        <v>#NUM!</v>
      </c>
      <c r="AB26" t="e">
        <f ca="1">INDEX(J$65:INDIRECT("J"&amp;$C$61),$T26)</f>
        <v>#NUM!</v>
      </c>
      <c r="AC26" s="23" t="e">
        <f t="array" aca="1" ref="AC26" ca="1">IF(ISBLANK($AE$11),SMALL(IF($E$65:INDIRECT("E"&amp;$C$61)=$AE$10,K$65:INDIRECT(AC$13&amp;$C$61)),$AH26),IF(ISBLANK($AE$10),SMALL(IF($D$65:INDIRECT("D"&amp;$C$61)=$AE$11,K$65:INDIRECT(AC$13&amp;$C$61)),$AH26),SMALL(IF(($E$65:INDIRECT("E"&amp;$C$61)=$AE$10)*($D$65:INDIRECT("D"&amp;$C$61)=$AE$11),K$65:INDIRECT(AC$13&amp;$C$61)),$AH26)))</f>
        <v>#NUM!</v>
      </c>
      <c r="AD26" t="e">
        <f ca="1">INDEX(L$65:INDIRECT("L"&amp;$C$61),$T26)</f>
        <v>#NUM!</v>
      </c>
      <c r="AE26" t="e">
        <f ca="1">INDEX(M$65:INDIRECT("M"&amp;$C$61),$T26)</f>
        <v>#NUM!</v>
      </c>
      <c r="AF26" t="e">
        <f ca="1">INDEX(N$65:INDIRECT("N"&amp;$C$61),$T26)</f>
        <v>#NUM!</v>
      </c>
      <c r="AG26" t="e">
        <f ca="1">INDEX(O$65:INDIRECT("O"&amp;$C$61),$T26)</f>
        <v>#NUM!</v>
      </c>
      <c r="AH26" s="69">
        <v>2</v>
      </c>
      <c r="AI26" s="69" t="str">
        <f t="shared" si="1"/>
        <v>K</v>
      </c>
      <c r="AJ26" s="69" t="str">
        <f t="shared" si="1"/>
        <v>R</v>
      </c>
    </row>
    <row r="27" spans="1:36" x14ac:dyDescent="0.25">
      <c r="A27" s="74" t="s">
        <v>74</v>
      </c>
      <c r="B27" s="69" t="s">
        <v>32</v>
      </c>
      <c r="C27" s="74" t="e">
        <f ca="1">AA6</f>
        <v>#NUM!</v>
      </c>
      <c r="D27" s="69" t="e">
        <f ca="1">INDEX(D$65:INDIRECT("D"&amp;$C$61),$C27)</f>
        <v>#NUM!</v>
      </c>
      <c r="E27" s="69" t="e">
        <f ca="1">INDEX(INDIRECT(("'MemberID'!$C$6:C"&amp;MemberID!$C$1)),MATCH(D27,INDIRECT(("'MemberID'!$G$6:G"&amp;MemberID!$C$1)),0))</f>
        <v>#NUM!</v>
      </c>
      <c r="F27" s="69" t="e">
        <f ca="1">INDEX(E$65:INDIRECT("E"&amp;$C$61),$C27)</f>
        <v>#NUM!</v>
      </c>
      <c r="G27" t="e">
        <f ca="1">INDEX(F$65:INDIRECT("F"&amp;$C$61),$C27)</f>
        <v>#NUM!</v>
      </c>
      <c r="H27" t="e">
        <f ca="1">INDEX(G$65:INDIRECT("G"&amp;$C$61),$C27)</f>
        <v>#NUM!</v>
      </c>
      <c r="I27" t="e">
        <f ca="1">INDEX(H$65:INDIRECT("H"&amp;$C$61),$C27)</f>
        <v>#NUM!</v>
      </c>
      <c r="J27" t="e">
        <f ca="1">INDEX(I$65:INDIRECT("I"&amp;$C$61),$C27)</f>
        <v>#NUM!</v>
      </c>
      <c r="K27" s="7" t="e">
        <f ca="1">INDEX(J$65:INDIRECT("J"&amp;$C$61),$C27)</f>
        <v>#NUM!</v>
      </c>
      <c r="L27" s="23" t="e">
        <f ca="1">INDEX(K$65:INDIRECT("K"&amp;$C$61),$C27)</f>
        <v>#NUM!</v>
      </c>
      <c r="M27" t="e">
        <f ca="1">INDEX(L$65:INDIRECT("L"&amp;$C$61),$C27)</f>
        <v>#NUM!</v>
      </c>
      <c r="N27" t="e">
        <f ca="1">INDEX(M$65:INDIRECT("M"&amp;$C$61),$C27)</f>
        <v>#NUM!</v>
      </c>
      <c r="O27" t="e">
        <f ca="1">INDEX(N$65:INDIRECT("N"&amp;$C$61),$C27)</f>
        <v>#NUM!</v>
      </c>
      <c r="P27" t="e">
        <f ca="1">INDEX(O$65:INDIRECT("O"&amp;$C$61),$C27)</f>
        <v>#NUM!</v>
      </c>
      <c r="Q27" s="104"/>
      <c r="R27" s="74" t="s">
        <v>74</v>
      </c>
      <c r="S27" s="69" t="s">
        <v>32</v>
      </c>
      <c r="T27" s="74" t="e">
        <f t="array" aca="1" ref="T27" ca="1">MATCH(IF(ISBLANK($AE$11),SMALL(IF($E$65:INDIRECT("E"&amp;$C$61)=$AE$10,INDIRECT(AJ27&amp;65):INDIRECT(AJ27&amp;$C$61)),$AH27),IF(ISBLANK($AE$10),SMALL(IF($D$65:INDIRECT("D"&amp;$C$61)=$AE$11,INDIRECT(AJ27&amp;65):INDIRECT(AJ27&amp;$C$61)),$AH27),SMALL(IF(($E$65:INDIRECT("E"&amp;$C$61)=$AE$10)*($D$65:INDIRECT("D"&amp;$C$61)=$AE$11),INDIRECT(AJ27&amp;65):INDIRECT(AJ27&amp;$C$61)),$AH27))),INDIRECT(AJ27&amp;65):INDIRECT(AJ27&amp;$C$61),0)</f>
        <v>#NUM!</v>
      </c>
      <c r="U27" s="69" t="e">
        <f ca="1">INDEX(D$65:INDIRECT("D"&amp;$C$61),$T27)</f>
        <v>#NUM!</v>
      </c>
      <c r="V27" s="69" t="e">
        <f ca="1">INDEX(INDIRECT(("'MemberID'!$C$6:C"&amp;MemberID!$C$1)),MATCH(U27,INDIRECT(("'MemberID'!$G$6:G"&amp;MemberID!$C$1)),0))</f>
        <v>#NUM!</v>
      </c>
      <c r="W27" s="69" t="e">
        <f ca="1">INDEX(E$65:INDIRECT("E"&amp;$C$61),$T27)</f>
        <v>#NUM!</v>
      </c>
      <c r="X27" t="e">
        <f ca="1">INDEX(F$65:INDIRECT("F"&amp;$C$61),$T27)</f>
        <v>#NUM!</v>
      </c>
      <c r="Y27" t="e">
        <f ca="1">INDEX(G$65:INDIRECT("G"&amp;$C$61),$T27)</f>
        <v>#NUM!</v>
      </c>
      <c r="Z27" t="e">
        <f ca="1">INDEX(H$65:INDIRECT("H"&amp;$C$61),$T27)</f>
        <v>#NUM!</v>
      </c>
      <c r="AA27" t="e">
        <f ca="1">INDEX(I$65:INDIRECT("I"&amp;$C$61),$T27)</f>
        <v>#NUM!</v>
      </c>
      <c r="AB27" t="e">
        <f ca="1">INDEX(J$65:INDIRECT("J"&amp;$C$61),$T27)</f>
        <v>#NUM!</v>
      </c>
      <c r="AC27" s="23" t="e">
        <f t="array" aca="1" ref="AC27" ca="1">IF(ISBLANK($AE$11),SMALL(IF($E$65:INDIRECT("E"&amp;$C$61)=$AE$10,K$65:INDIRECT(AC$13&amp;$C$61)),$AH27),IF(ISBLANK($AE$10),SMALL(IF($D$65:INDIRECT("D"&amp;$C$61)=$AE$11,K$65:INDIRECT(AC$13&amp;$C$61)),$AH27),SMALL(IF(($E$65:INDIRECT("E"&amp;$C$61)=$AE$10)*($D$65:INDIRECT("D"&amp;$C$61)=$AE$11),K$65:INDIRECT(AC$13&amp;$C$61)),$AH27)))</f>
        <v>#NUM!</v>
      </c>
      <c r="AD27" t="e">
        <f ca="1">INDEX(L$65:INDIRECT("L"&amp;$C$61),$T27)</f>
        <v>#NUM!</v>
      </c>
      <c r="AE27" t="e">
        <f ca="1">INDEX(M$65:INDIRECT("M"&amp;$C$61),$T27)</f>
        <v>#NUM!</v>
      </c>
      <c r="AF27" t="e">
        <f ca="1">INDEX(N$65:INDIRECT("N"&amp;$C$61),$T27)</f>
        <v>#NUM!</v>
      </c>
      <c r="AG27" t="e">
        <f ca="1">INDEX(O$65:INDIRECT("O"&amp;$C$61),$T27)</f>
        <v>#NUM!</v>
      </c>
      <c r="AH27" s="69">
        <v>3</v>
      </c>
      <c r="AI27" s="69" t="str">
        <f t="shared" si="1"/>
        <v>K</v>
      </c>
      <c r="AJ27" s="69" t="str">
        <f t="shared" si="1"/>
        <v>R</v>
      </c>
    </row>
    <row r="28" spans="1:36" x14ac:dyDescent="0.25">
      <c r="A28" s="5"/>
      <c r="B28" s="69"/>
      <c r="C28" s="69"/>
      <c r="D28" s="69"/>
      <c r="E28" s="69"/>
      <c r="F28" s="69"/>
      <c r="J28" s="7"/>
      <c r="K28" s="7"/>
      <c r="L28" s="7"/>
      <c r="M28" s="7"/>
      <c r="N28" s="7"/>
      <c r="O28" s="7"/>
      <c r="P28" s="7"/>
      <c r="Q28" s="104"/>
      <c r="R28" s="5"/>
      <c r="S28" s="69"/>
      <c r="T28" s="69"/>
      <c r="V28" s="69"/>
      <c r="W28" s="69"/>
      <c r="AH28" s="69"/>
      <c r="AI28" s="69"/>
      <c r="AJ28" s="69"/>
    </row>
    <row r="29" spans="1:36" x14ac:dyDescent="0.25">
      <c r="A29" s="73" t="s">
        <v>69</v>
      </c>
      <c r="B29" s="69" t="s">
        <v>33</v>
      </c>
      <c r="C29" s="73" t="e">
        <f ca="1">L3</f>
        <v>#N/A</v>
      </c>
      <c r="D29" s="69" t="e">
        <f ca="1">INDEX(D$65:INDIRECT("D"&amp;$C$61),$C29)</f>
        <v>#N/A</v>
      </c>
      <c r="E29" s="69" t="e">
        <f ca="1">INDEX(INDIRECT(("'MemberID'!$C$6:C"&amp;MemberID!$C$1)),MATCH(D29,INDIRECT(("'MemberID'!$G$6:G"&amp;MemberID!$C$1)),0))</f>
        <v>#N/A</v>
      </c>
      <c r="F29" s="69" t="e">
        <f ca="1">INDEX(E$65:INDIRECT("E"&amp;$C$61),$C29)</f>
        <v>#N/A</v>
      </c>
      <c r="G29" t="e">
        <f ca="1">INDEX(F$65:INDIRECT("F"&amp;$C$61),$C29)</f>
        <v>#N/A</v>
      </c>
      <c r="H29" t="e">
        <f ca="1">INDEX(G$65:INDIRECT("G"&amp;$C$61),$C29)</f>
        <v>#N/A</v>
      </c>
      <c r="I29" t="e">
        <f ca="1">INDEX(H$65:INDIRECT("H"&amp;$C$61),$C29)</f>
        <v>#N/A</v>
      </c>
      <c r="J29" t="e">
        <f ca="1">INDEX(I$65:INDIRECT("I"&amp;$C$61),$C29)</f>
        <v>#N/A</v>
      </c>
      <c r="K29" s="7" t="e">
        <f ca="1">INDEX(J$65:INDIRECT("J"&amp;$C$61),$C29)</f>
        <v>#N/A</v>
      </c>
      <c r="L29" t="e">
        <f ca="1">INDEX(K$65:INDIRECT("K"&amp;$C$61),$C29)</f>
        <v>#N/A</v>
      </c>
      <c r="M29" s="23" t="e">
        <f ca="1">INDEX(L$65:INDIRECT("L"&amp;$C$61),$C29)</f>
        <v>#N/A</v>
      </c>
      <c r="N29" t="e">
        <f ca="1">INDEX(M$65:INDIRECT("M"&amp;$C$61),$C29)</f>
        <v>#N/A</v>
      </c>
      <c r="O29" t="e">
        <f ca="1">INDEX(N$65:INDIRECT("N"&amp;$C$61),$C29)</f>
        <v>#N/A</v>
      </c>
      <c r="P29" t="e">
        <f ca="1">INDEX(O$65:INDIRECT("O"&amp;$C$61),$C29)</f>
        <v>#N/A</v>
      </c>
      <c r="Q29" s="104"/>
      <c r="R29" s="73" t="s">
        <v>69</v>
      </c>
      <c r="S29" s="69" t="s">
        <v>33</v>
      </c>
      <c r="T29" s="73" t="e">
        <f t="array" aca="1" ref="T29" ca="1">MATCH(IF(ISBLANK($AE$11),LARGE(IF($E$65:INDIRECT("E"&amp;$C$61)=$AE$10,INDIRECT(AJ29&amp;65):INDIRECT(AJ29&amp;$C$61)),$AH29),IF(ISBLANK($AE$10),LARGE(IF($D$65:INDIRECT("D"&amp;$C$61)=$AE$11,INDIRECT(AJ29&amp;65):INDIRECT(AJ29&amp;$C$61)),$AH29),LARGE(IF(($E$65:INDIRECT("E"&amp;$C$61)=$AE$10)*($D$65:INDIRECT("D"&amp;$C$61)=$AE$11),INDIRECT(AJ29&amp;65):INDIRECT(AJ29&amp;$C$61)),$AH29))),INDIRECT(AJ29&amp;65):INDIRECT(AJ29&amp;$C$61),0)</f>
        <v>#NUM!</v>
      </c>
      <c r="U29" s="69" t="e">
        <f ca="1">INDEX(D$65:INDIRECT("D"&amp;$C$61),$T29)</f>
        <v>#NUM!</v>
      </c>
      <c r="V29" s="69" t="e">
        <f ca="1">INDEX(INDIRECT(("'MemberID'!$C$6:C"&amp;MemberID!$C$1)),MATCH(U29,INDIRECT(("'MemberID'!$G$6:G"&amp;MemberID!$C$1)),0))</f>
        <v>#NUM!</v>
      </c>
      <c r="W29" s="69" t="e">
        <f ca="1">INDEX(E$65:INDIRECT("E"&amp;$C$61),$T29)</f>
        <v>#NUM!</v>
      </c>
      <c r="X29" t="e">
        <f ca="1">INDEX(F$65:INDIRECT("F"&amp;$C$61),$T29)</f>
        <v>#NUM!</v>
      </c>
      <c r="Y29" t="e">
        <f ca="1">INDEX(G$65:INDIRECT("G"&amp;$C$61),$T29)</f>
        <v>#NUM!</v>
      </c>
      <c r="Z29" t="e">
        <f ca="1">INDEX(H$65:INDIRECT("H"&amp;$C$61),$T29)</f>
        <v>#NUM!</v>
      </c>
      <c r="AA29" t="e">
        <f ca="1">INDEX(I$65:INDIRECT("I"&amp;$C$61),$T29)</f>
        <v>#NUM!</v>
      </c>
      <c r="AB29" t="e">
        <f ca="1">INDEX(J$65:INDIRECT("J"&amp;$C$61),$T29)</f>
        <v>#NUM!</v>
      </c>
      <c r="AC29" t="e">
        <f ca="1">INDEX(K$65:INDIRECT("K"&amp;$C$61),$T29)</f>
        <v>#NUM!</v>
      </c>
      <c r="AD29" s="23" t="e">
        <f t="array" aca="1" ref="AD29" ca="1">IF(ISBLANK($AE$11),LARGE(IF($E$65:INDIRECT("E"&amp;$C$61)=$AE$10,L$65:INDIRECT(AD$13&amp;$C$61)),$AH29),IF(ISBLANK($AE$10),LARGE(IF($D$65:INDIRECT("D"&amp;$C$61)=$AE$11,L$65:INDIRECT(AD$13&amp;$C$61)),$AH29),LARGE(IF(($E$65:INDIRECT("E"&amp;$C$61)=$AE$10)*($D$65:INDIRECT("D"&amp;$C$61)=$AE$11),L$65:INDIRECT(AD$13&amp;$C$61)),$AH29)))</f>
        <v>#NUM!</v>
      </c>
      <c r="AE29" t="e">
        <f ca="1">INDEX(M$65:INDIRECT("M"&amp;$C$61),$T29)</f>
        <v>#NUM!</v>
      </c>
      <c r="AF29" t="e">
        <f ca="1">INDEX(N$65:INDIRECT("N"&amp;$C$61),$T29)</f>
        <v>#NUM!</v>
      </c>
      <c r="AG29" t="e">
        <f ca="1">INDEX(O$65:INDIRECT("O"&amp;$C$61),$T29)</f>
        <v>#NUM!</v>
      </c>
      <c r="AH29" s="69">
        <v>1</v>
      </c>
      <c r="AI29" s="69" t="s">
        <v>152</v>
      </c>
      <c r="AJ29" s="69" t="s">
        <v>158</v>
      </c>
    </row>
    <row r="30" spans="1:36" x14ac:dyDescent="0.25">
      <c r="A30" s="73" t="s">
        <v>70</v>
      </c>
      <c r="B30" s="69" t="s">
        <v>33</v>
      </c>
      <c r="C30" s="73" t="e">
        <f ca="1">T3</f>
        <v>#NUM!</v>
      </c>
      <c r="D30" s="69" t="e">
        <f ca="1">INDEX(D$65:INDIRECT("D"&amp;$C$61),$C30)</f>
        <v>#NUM!</v>
      </c>
      <c r="E30" s="69" t="e">
        <f ca="1">INDEX(INDIRECT(("'MemberID'!$C$6:C"&amp;MemberID!$C$1)),MATCH(D30,INDIRECT(("'MemberID'!$G$6:G"&amp;MemberID!$C$1)),0))</f>
        <v>#NUM!</v>
      </c>
      <c r="F30" s="69" t="e">
        <f ca="1">INDEX(E$65:INDIRECT("E"&amp;$C$61),$C30)</f>
        <v>#NUM!</v>
      </c>
      <c r="G30" t="e">
        <f ca="1">INDEX(F$65:INDIRECT("F"&amp;$C$61),$C30)</f>
        <v>#NUM!</v>
      </c>
      <c r="H30" t="e">
        <f ca="1">INDEX(G$65:INDIRECT("G"&amp;$C$61),$C30)</f>
        <v>#NUM!</v>
      </c>
      <c r="I30" t="e">
        <f ca="1">INDEX(H$65:INDIRECT("H"&amp;$C$61),$C30)</f>
        <v>#NUM!</v>
      </c>
      <c r="J30" t="e">
        <f ca="1">INDEX(I$65:INDIRECT("I"&amp;$C$61),$C30)</f>
        <v>#NUM!</v>
      </c>
      <c r="K30" s="7" t="e">
        <f ca="1">INDEX(J$65:INDIRECT("J"&amp;$C$61),$C30)</f>
        <v>#NUM!</v>
      </c>
      <c r="L30" t="e">
        <f ca="1">INDEX(K$65:INDIRECT("K"&amp;$C$61),$C30)</f>
        <v>#NUM!</v>
      </c>
      <c r="M30" s="23" t="e">
        <f ca="1">INDEX(L$65:INDIRECT("L"&amp;$C$61),$C30)</f>
        <v>#NUM!</v>
      </c>
      <c r="N30" t="e">
        <f ca="1">INDEX(M$65:INDIRECT("M"&amp;$C$61),$C30)</f>
        <v>#NUM!</v>
      </c>
      <c r="O30" t="e">
        <f ca="1">INDEX(N$65:INDIRECT("N"&amp;$C$61),$C30)</f>
        <v>#NUM!</v>
      </c>
      <c r="P30" t="e">
        <f ca="1">INDEX(O$65:INDIRECT("O"&amp;$C$61),$C30)</f>
        <v>#NUM!</v>
      </c>
      <c r="Q30" s="104"/>
      <c r="R30" s="73" t="s">
        <v>70</v>
      </c>
      <c r="S30" s="69" t="s">
        <v>33</v>
      </c>
      <c r="T30" s="73" t="e">
        <f t="array" aca="1" ref="T30" ca="1">MATCH(IF(ISBLANK($AE$11),LARGE(IF($E$65:INDIRECT("E"&amp;$C$61)=$AE$10,INDIRECT(AJ30&amp;65):INDIRECT(AJ30&amp;$C$61)),$AH30),IF(ISBLANK($AE$10),LARGE(IF($D$65:INDIRECT("D"&amp;$C$61)=$AE$11,INDIRECT(AJ30&amp;65):INDIRECT(AJ30&amp;$C$61)),$AH30),LARGE(IF(($E$65:INDIRECT("E"&amp;$C$61)=$AE$10)*($D$65:INDIRECT("D"&amp;$C$61)=$AE$11),INDIRECT(AJ30&amp;65):INDIRECT(AJ30&amp;$C$61)),$AH30))),INDIRECT(AJ30&amp;65):INDIRECT(AJ30&amp;$C$61),0)</f>
        <v>#NUM!</v>
      </c>
      <c r="U30" s="69" t="e">
        <f ca="1">INDEX(D$65:INDIRECT("D"&amp;$C$61),$T30)</f>
        <v>#NUM!</v>
      </c>
      <c r="V30" s="69" t="e">
        <f ca="1">INDEX(INDIRECT(("'MemberID'!$C$6:C"&amp;MemberID!$C$1)),MATCH(U30,INDIRECT(("'MemberID'!$G$6:G"&amp;MemberID!$C$1)),0))</f>
        <v>#NUM!</v>
      </c>
      <c r="W30" s="69" t="e">
        <f ca="1">INDEX(E$65:INDIRECT("E"&amp;$C$61),$T30)</f>
        <v>#NUM!</v>
      </c>
      <c r="X30" t="e">
        <f ca="1">INDEX(F$65:INDIRECT("F"&amp;$C$61),$T30)</f>
        <v>#NUM!</v>
      </c>
      <c r="Y30" t="e">
        <f ca="1">INDEX(G$65:INDIRECT("G"&amp;$C$61),$T30)</f>
        <v>#NUM!</v>
      </c>
      <c r="Z30" t="e">
        <f ca="1">INDEX(H$65:INDIRECT("H"&amp;$C$61),$T30)</f>
        <v>#NUM!</v>
      </c>
      <c r="AA30" t="e">
        <f ca="1">INDEX(I$65:INDIRECT("I"&amp;$C$61),$T30)</f>
        <v>#NUM!</v>
      </c>
      <c r="AB30" t="e">
        <f ca="1">INDEX(J$65:INDIRECT("J"&amp;$C$61),$T30)</f>
        <v>#NUM!</v>
      </c>
      <c r="AC30" t="e">
        <f ca="1">INDEX(K$65:INDIRECT("K"&amp;$C$61),$T30)</f>
        <v>#NUM!</v>
      </c>
      <c r="AD30" s="23" t="e">
        <f t="array" aca="1" ref="AD30" ca="1">IF(ISBLANK($AE$11),LARGE(IF($E$65:INDIRECT("E"&amp;$C$61)=$AE$10,L$65:INDIRECT(AD$13&amp;$C$61)),$AH30),IF(ISBLANK($AE$10),LARGE(IF($D$65:INDIRECT("D"&amp;$C$61)=$AE$11,L$65:INDIRECT(AD$13&amp;$C$61)),$AH30),LARGE(IF(($E$65:INDIRECT("E"&amp;$C$61)=$AE$10)*($D$65:INDIRECT("D"&amp;$C$61)=$AE$11),L$65:INDIRECT(AD$13&amp;$C$61)),$AH30)))</f>
        <v>#NUM!</v>
      </c>
      <c r="AE30" t="e">
        <f ca="1">INDEX(M$65:INDIRECT("M"&amp;$C$61),$T30)</f>
        <v>#NUM!</v>
      </c>
      <c r="AF30" t="e">
        <f ca="1">INDEX(N$65:INDIRECT("N"&amp;$C$61),$T30)</f>
        <v>#NUM!</v>
      </c>
      <c r="AG30" t="e">
        <f ca="1">INDEX(O$65:INDIRECT("O"&amp;$C$61),$T30)</f>
        <v>#NUM!</v>
      </c>
      <c r="AH30" s="69">
        <v>2</v>
      </c>
      <c r="AI30" s="69" t="str">
        <f>AI29</f>
        <v>L</v>
      </c>
      <c r="AJ30" s="69" t="str">
        <f>AJ29</f>
        <v>S</v>
      </c>
    </row>
    <row r="31" spans="1:36" x14ac:dyDescent="0.25">
      <c r="A31" s="73" t="s">
        <v>71</v>
      </c>
      <c r="B31" s="69" t="s">
        <v>33</v>
      </c>
      <c r="C31" s="73" t="e">
        <f ca="1">AB3</f>
        <v>#NUM!</v>
      </c>
      <c r="D31" s="69" t="e">
        <f ca="1">INDEX(D$65:INDIRECT("D"&amp;$C$61),$C31)</f>
        <v>#NUM!</v>
      </c>
      <c r="E31" s="69" t="e">
        <f ca="1">INDEX(INDIRECT(("'MemberID'!$C$6:C"&amp;MemberID!$C$1)),MATCH(D31,INDIRECT(("'MemberID'!$G$6:G"&amp;MemberID!$C$1)),0))</f>
        <v>#NUM!</v>
      </c>
      <c r="F31" s="69" t="e">
        <f ca="1">INDEX(E$65:INDIRECT("E"&amp;$C$61),$C31)</f>
        <v>#NUM!</v>
      </c>
      <c r="G31" t="e">
        <f ca="1">INDEX(F$65:INDIRECT("F"&amp;$C$61),$C31)</f>
        <v>#NUM!</v>
      </c>
      <c r="H31" t="e">
        <f ca="1">INDEX(G$65:INDIRECT("G"&amp;$C$61),$C31)</f>
        <v>#NUM!</v>
      </c>
      <c r="I31" t="e">
        <f ca="1">INDEX(H$65:INDIRECT("H"&amp;$C$61),$C31)</f>
        <v>#NUM!</v>
      </c>
      <c r="J31" t="e">
        <f ca="1">INDEX(I$65:INDIRECT("I"&amp;$C$61),$C31)</f>
        <v>#NUM!</v>
      </c>
      <c r="K31" s="7" t="e">
        <f ca="1">INDEX(J$65:INDIRECT("J"&amp;$C$61),$C31)</f>
        <v>#NUM!</v>
      </c>
      <c r="L31" t="e">
        <f ca="1">INDEX(K$65:INDIRECT("K"&amp;$C$61),$C31)</f>
        <v>#NUM!</v>
      </c>
      <c r="M31" s="23" t="e">
        <f ca="1">INDEX(L$65:INDIRECT("L"&amp;$C$61),$C31)</f>
        <v>#NUM!</v>
      </c>
      <c r="N31" t="e">
        <f ca="1">INDEX(M$65:INDIRECT("M"&amp;$C$61),$C31)</f>
        <v>#NUM!</v>
      </c>
      <c r="O31" t="e">
        <f ca="1">INDEX(N$65:INDIRECT("N"&amp;$C$61),$C31)</f>
        <v>#NUM!</v>
      </c>
      <c r="P31" t="e">
        <f ca="1">INDEX(O$65:INDIRECT("O"&amp;$C$61),$C31)</f>
        <v>#NUM!</v>
      </c>
      <c r="Q31" s="104"/>
      <c r="R31" s="73" t="s">
        <v>71</v>
      </c>
      <c r="S31" s="69" t="s">
        <v>33</v>
      </c>
      <c r="T31" s="73" t="e">
        <f t="array" aca="1" ref="T31" ca="1">MATCH(IF(ISBLANK($AE$11),LARGE(IF($E$65:INDIRECT("E"&amp;$C$61)=$AE$10,INDIRECT(AJ31&amp;65):INDIRECT(AJ31&amp;$C$61)),$AH31),IF(ISBLANK($AE$10),LARGE(IF($D$65:INDIRECT("D"&amp;$C$61)=$AE$11,INDIRECT(AJ31&amp;65):INDIRECT(AJ31&amp;$C$61)),$AH31),LARGE(IF(($E$65:INDIRECT("E"&amp;$C$61)=$AE$10)*($D$65:INDIRECT("D"&amp;$C$61)=$AE$11),INDIRECT(AJ31&amp;65):INDIRECT(AJ31&amp;$C$61)),$AH31))),INDIRECT(AJ31&amp;65):INDIRECT(AJ31&amp;$C$61),0)</f>
        <v>#NUM!</v>
      </c>
      <c r="U31" s="69" t="e">
        <f ca="1">INDEX(D$65:INDIRECT("D"&amp;$C$61),$T31)</f>
        <v>#NUM!</v>
      </c>
      <c r="V31" s="69" t="e">
        <f ca="1">INDEX(INDIRECT(("'MemberID'!$C$6:C"&amp;MemberID!$C$1)),MATCH(U31,INDIRECT(("'MemberID'!$G$6:G"&amp;MemberID!$C$1)),0))</f>
        <v>#NUM!</v>
      </c>
      <c r="W31" s="69" t="e">
        <f ca="1">INDEX(E$65:INDIRECT("E"&amp;$C$61),$T31)</f>
        <v>#NUM!</v>
      </c>
      <c r="X31" t="e">
        <f ca="1">INDEX(F$65:INDIRECT("F"&amp;$C$61),$T31)</f>
        <v>#NUM!</v>
      </c>
      <c r="Y31" t="e">
        <f ca="1">INDEX(G$65:INDIRECT("G"&amp;$C$61),$T31)</f>
        <v>#NUM!</v>
      </c>
      <c r="Z31" t="e">
        <f ca="1">INDEX(H$65:INDIRECT("H"&amp;$C$61),$T31)</f>
        <v>#NUM!</v>
      </c>
      <c r="AA31" t="e">
        <f ca="1">INDEX(I$65:INDIRECT("I"&amp;$C$61),$T31)</f>
        <v>#NUM!</v>
      </c>
      <c r="AB31" t="e">
        <f ca="1">INDEX(J$65:INDIRECT("J"&amp;$C$61),$T31)</f>
        <v>#NUM!</v>
      </c>
      <c r="AC31" t="e">
        <f ca="1">INDEX(K$65:INDIRECT("K"&amp;$C$61),$T31)</f>
        <v>#NUM!</v>
      </c>
      <c r="AD31" s="23" t="e">
        <f t="array" aca="1" ref="AD31" ca="1">IF(ISBLANK($AE$11),LARGE(IF($E$65:INDIRECT("E"&amp;$C$61)=$AE$10,L$65:INDIRECT(AD$13&amp;$C$61)),$AH31),IF(ISBLANK($AE$10),LARGE(IF($D$65:INDIRECT("D"&amp;$C$61)=$AE$11,L$65:INDIRECT(AD$13&amp;$C$61)),$AH31),LARGE(IF(($E$65:INDIRECT("E"&amp;$C$61)=$AE$10)*($D$65:INDIRECT("D"&amp;$C$61)=$AE$11),L$65:INDIRECT(AD$13&amp;$C$61)),$AH31)))</f>
        <v>#NUM!</v>
      </c>
      <c r="AE31" t="e">
        <f ca="1">INDEX(M$65:INDIRECT("M"&amp;$C$61),$T31)</f>
        <v>#NUM!</v>
      </c>
      <c r="AF31" t="e">
        <f ca="1">INDEX(N$65:INDIRECT("N"&amp;$C$61),$T31)</f>
        <v>#NUM!</v>
      </c>
      <c r="AG31" t="e">
        <f ca="1">INDEX(O$65:INDIRECT("O"&amp;$C$61),$T31)</f>
        <v>#NUM!</v>
      </c>
      <c r="AH31" s="69">
        <v>3</v>
      </c>
      <c r="AI31" s="69" t="str">
        <f t="shared" ref="AI31:AJ34" si="2">AI30</f>
        <v>L</v>
      </c>
      <c r="AJ31" s="69" t="str">
        <f t="shared" si="2"/>
        <v>S</v>
      </c>
    </row>
    <row r="32" spans="1:36" x14ac:dyDescent="0.25">
      <c r="A32" s="74" t="s">
        <v>72</v>
      </c>
      <c r="B32" s="69" t="s">
        <v>33</v>
      </c>
      <c r="C32" s="74" t="e">
        <f ca="1">L6</f>
        <v>#N/A</v>
      </c>
      <c r="D32" s="69" t="e">
        <f ca="1">INDEX(D$65:INDIRECT("D"&amp;$C$61),$C32)</f>
        <v>#N/A</v>
      </c>
      <c r="E32" s="69" t="e">
        <f ca="1">INDEX(INDIRECT(("'MemberID'!$C$6:C"&amp;MemberID!$C$1)),MATCH(D32,INDIRECT(("'MemberID'!$G$6:G"&amp;MemberID!$C$1)),0))</f>
        <v>#N/A</v>
      </c>
      <c r="F32" s="69" t="e">
        <f ca="1">INDEX(E$65:INDIRECT("E"&amp;$C$61),$C32)</f>
        <v>#N/A</v>
      </c>
      <c r="G32" t="e">
        <f ca="1">INDEX(F$65:INDIRECT("F"&amp;$C$61),$C32)</f>
        <v>#N/A</v>
      </c>
      <c r="H32" t="e">
        <f ca="1">INDEX(G$65:INDIRECT("G"&amp;$C$61),$C32)</f>
        <v>#N/A</v>
      </c>
      <c r="I32" t="e">
        <f ca="1">INDEX(H$65:INDIRECT("H"&amp;$C$61),$C32)</f>
        <v>#N/A</v>
      </c>
      <c r="J32" t="e">
        <f ca="1">INDEX(I$65:INDIRECT("I"&amp;$C$61),$C32)</f>
        <v>#N/A</v>
      </c>
      <c r="K32" s="7" t="e">
        <f ca="1">INDEX(J$65:INDIRECT("J"&amp;$C$61),$C32)</f>
        <v>#N/A</v>
      </c>
      <c r="L32" t="e">
        <f ca="1">INDEX(K$65:INDIRECT("K"&amp;$C$61),$C32)</f>
        <v>#N/A</v>
      </c>
      <c r="M32" s="23" t="e">
        <f ca="1">INDEX(L$65:INDIRECT("L"&amp;$C$61),$C32)</f>
        <v>#N/A</v>
      </c>
      <c r="N32" t="e">
        <f ca="1">INDEX(M$65:INDIRECT("M"&amp;$C$61),$C32)</f>
        <v>#N/A</v>
      </c>
      <c r="O32" t="e">
        <f ca="1">INDEX(N$65:INDIRECT("N"&amp;$C$61),$C32)</f>
        <v>#N/A</v>
      </c>
      <c r="P32" t="e">
        <f ca="1">INDEX(O$65:INDIRECT("O"&amp;$C$61),$C32)</f>
        <v>#N/A</v>
      </c>
      <c r="Q32" s="104"/>
      <c r="R32" s="74" t="s">
        <v>72</v>
      </c>
      <c r="S32" s="69" t="s">
        <v>33</v>
      </c>
      <c r="T32" s="74" t="e">
        <f t="array" aca="1" ref="T32" ca="1">MATCH(IF(ISBLANK($AE$11),SMALL(IF($E$65:INDIRECT("E"&amp;$C$61)=$AE$10,INDIRECT(AJ32&amp;65):INDIRECT(AJ32&amp;$C$61)),$AH32),IF(ISBLANK($AE$10),SMALL(IF($D$65:INDIRECT("D"&amp;$C$61)=$AE$11,INDIRECT(AJ32&amp;65):INDIRECT(AJ32&amp;$C$61)),$AH32),SMALL(IF(($E$65:INDIRECT("E"&amp;$C$61)=$AE$10)*($D$65:INDIRECT("D"&amp;$C$61)=$AE$11),INDIRECT(AJ32&amp;65):INDIRECT(AJ32&amp;$C$61)),$AH32))),INDIRECT(AJ32&amp;65):INDIRECT(AJ32&amp;$C$61),0)</f>
        <v>#NUM!</v>
      </c>
      <c r="U32" s="69" t="e">
        <f ca="1">INDEX(D$65:INDIRECT("D"&amp;$C$61),$T32)</f>
        <v>#NUM!</v>
      </c>
      <c r="V32" s="69" t="e">
        <f ca="1">INDEX(INDIRECT(("'MemberID'!$C$6:C"&amp;MemberID!$C$1)),MATCH(U32,INDIRECT(("'MemberID'!$G$6:G"&amp;MemberID!$C$1)),0))</f>
        <v>#NUM!</v>
      </c>
      <c r="W32" s="69" t="e">
        <f ca="1">INDEX(E$65:INDIRECT("E"&amp;$C$61),$T32)</f>
        <v>#NUM!</v>
      </c>
      <c r="X32" t="e">
        <f ca="1">INDEX(F$65:INDIRECT("F"&amp;$C$61),$T32)</f>
        <v>#NUM!</v>
      </c>
      <c r="Y32" t="e">
        <f ca="1">INDEX(G$65:INDIRECT("G"&amp;$C$61),$T32)</f>
        <v>#NUM!</v>
      </c>
      <c r="Z32" t="e">
        <f ca="1">INDEX(H$65:INDIRECT("H"&amp;$C$61),$T32)</f>
        <v>#NUM!</v>
      </c>
      <c r="AA32" t="e">
        <f ca="1">INDEX(I$65:INDIRECT("I"&amp;$C$61),$T32)</f>
        <v>#NUM!</v>
      </c>
      <c r="AB32" t="e">
        <f ca="1">INDEX(J$65:INDIRECT("J"&amp;$C$61),$T32)</f>
        <v>#NUM!</v>
      </c>
      <c r="AC32" t="e">
        <f ca="1">INDEX(K$65:INDIRECT("K"&amp;$C$61),$T32)</f>
        <v>#NUM!</v>
      </c>
      <c r="AD32" s="23" t="e">
        <f t="array" aca="1" ref="AD32" ca="1">IF(ISBLANK($AE$11),SMALL(IF($E$65:INDIRECT("E"&amp;$C$61)=$AE$10,L$65:INDIRECT(AD$13&amp;$C$61)),$AH32),IF(ISBLANK($AE$10),SMALL(IF($D$65:INDIRECT("D"&amp;$C$61)=$AE$11,L$65:INDIRECT(AD$13&amp;$C$61)),$AH32),SMALL(IF(($E$65:INDIRECT("E"&amp;$C$61)=$AE$10)*($D$65:INDIRECT("D"&amp;$C$61)=$AE$11),L$65:INDIRECT(AD$13&amp;$C$61)),$AH32)))</f>
        <v>#NUM!</v>
      </c>
      <c r="AE32" t="e">
        <f ca="1">INDEX(M$65:INDIRECT("M"&amp;$C$61),$T32)</f>
        <v>#NUM!</v>
      </c>
      <c r="AF32" t="e">
        <f ca="1">INDEX(N$65:INDIRECT("N"&amp;$C$61),$T32)</f>
        <v>#NUM!</v>
      </c>
      <c r="AG32" t="e">
        <f ca="1">INDEX(O$65:INDIRECT("O"&amp;$C$61),$T32)</f>
        <v>#NUM!</v>
      </c>
      <c r="AH32" s="69">
        <v>1</v>
      </c>
      <c r="AI32" s="69" t="str">
        <f t="shared" si="2"/>
        <v>L</v>
      </c>
      <c r="AJ32" s="69" t="str">
        <f t="shared" si="2"/>
        <v>S</v>
      </c>
    </row>
    <row r="33" spans="1:52" x14ac:dyDescent="0.25">
      <c r="A33" s="74" t="s">
        <v>73</v>
      </c>
      <c r="B33" s="69" t="s">
        <v>33</v>
      </c>
      <c r="C33" s="74" t="e">
        <f ca="1">T6</f>
        <v>#NUM!</v>
      </c>
      <c r="D33" s="69" t="e">
        <f ca="1">INDEX(D$65:INDIRECT("D"&amp;$C$61),$C33)</f>
        <v>#NUM!</v>
      </c>
      <c r="E33" s="69" t="e">
        <f ca="1">INDEX(INDIRECT(("'MemberID'!$C$6:C"&amp;MemberID!$C$1)),MATCH(D33,INDIRECT(("'MemberID'!$G$6:G"&amp;MemberID!$C$1)),0))</f>
        <v>#NUM!</v>
      </c>
      <c r="F33" s="69" t="e">
        <f ca="1">INDEX(E$65:INDIRECT("E"&amp;$C$61),$C33)</f>
        <v>#NUM!</v>
      </c>
      <c r="G33" t="e">
        <f ca="1">INDEX(F$65:INDIRECT("F"&amp;$C$61),$C33)</f>
        <v>#NUM!</v>
      </c>
      <c r="H33" t="e">
        <f ca="1">INDEX(G$65:INDIRECT("G"&amp;$C$61),$C33)</f>
        <v>#NUM!</v>
      </c>
      <c r="I33" t="e">
        <f ca="1">INDEX(H$65:INDIRECT("H"&amp;$C$61),$C33)</f>
        <v>#NUM!</v>
      </c>
      <c r="J33" t="e">
        <f ca="1">INDEX(I$65:INDIRECT("I"&amp;$C$61),$C33)</f>
        <v>#NUM!</v>
      </c>
      <c r="K33" s="7" t="e">
        <f ca="1">INDEX(J$65:INDIRECT("J"&amp;$C$61),$C33)</f>
        <v>#NUM!</v>
      </c>
      <c r="L33" t="e">
        <f ca="1">INDEX(K$65:INDIRECT("K"&amp;$C$61),$C33)</f>
        <v>#NUM!</v>
      </c>
      <c r="M33" s="23" t="e">
        <f ca="1">INDEX(L$65:INDIRECT("L"&amp;$C$61),$C33)</f>
        <v>#NUM!</v>
      </c>
      <c r="N33" t="e">
        <f ca="1">INDEX(M$65:INDIRECT("M"&amp;$C$61),$C33)</f>
        <v>#NUM!</v>
      </c>
      <c r="O33" t="e">
        <f ca="1">INDEX(N$65:INDIRECT("N"&amp;$C$61),$C33)</f>
        <v>#NUM!</v>
      </c>
      <c r="P33" t="e">
        <f ca="1">INDEX(O$65:INDIRECT("O"&amp;$C$61),$C33)</f>
        <v>#NUM!</v>
      </c>
      <c r="Q33" s="104"/>
      <c r="R33" s="74" t="s">
        <v>73</v>
      </c>
      <c r="S33" s="69" t="s">
        <v>33</v>
      </c>
      <c r="T33" s="74" t="e">
        <f t="array" aca="1" ref="T33" ca="1">MATCH(IF(ISBLANK($AE$11),SMALL(IF($E$65:INDIRECT("E"&amp;$C$61)=$AE$10,INDIRECT(AJ33&amp;65):INDIRECT(AJ33&amp;$C$61)),$AH33),IF(ISBLANK($AE$10),SMALL(IF($D$65:INDIRECT("D"&amp;$C$61)=$AE$11,INDIRECT(AJ33&amp;65):INDIRECT(AJ33&amp;$C$61)),$AH33),SMALL(IF(($E$65:INDIRECT("E"&amp;$C$61)=$AE$10)*($D$65:INDIRECT("D"&amp;$C$61)=$AE$11),INDIRECT(AJ33&amp;65):INDIRECT(AJ33&amp;$C$61)),$AH33))),INDIRECT(AJ33&amp;65):INDIRECT(AJ33&amp;$C$61),0)</f>
        <v>#NUM!</v>
      </c>
      <c r="U33" s="69" t="e">
        <f ca="1">INDEX(D$65:INDIRECT("D"&amp;$C$61),$T33)</f>
        <v>#NUM!</v>
      </c>
      <c r="V33" s="69" t="e">
        <f ca="1">INDEX(INDIRECT(("'MemberID'!$C$6:C"&amp;MemberID!$C$1)),MATCH(U33,INDIRECT(("'MemberID'!$G$6:G"&amp;MemberID!$C$1)),0))</f>
        <v>#NUM!</v>
      </c>
      <c r="W33" s="69" t="e">
        <f ca="1">INDEX(E$65:INDIRECT("E"&amp;$C$61),$T33)</f>
        <v>#NUM!</v>
      </c>
      <c r="X33" t="e">
        <f ca="1">INDEX(F$65:INDIRECT("F"&amp;$C$61),$T33)</f>
        <v>#NUM!</v>
      </c>
      <c r="Y33" t="e">
        <f ca="1">INDEX(G$65:INDIRECT("G"&amp;$C$61),$T33)</f>
        <v>#NUM!</v>
      </c>
      <c r="Z33" t="e">
        <f ca="1">INDEX(H$65:INDIRECT("H"&amp;$C$61),$T33)</f>
        <v>#NUM!</v>
      </c>
      <c r="AA33" t="e">
        <f ca="1">INDEX(I$65:INDIRECT("I"&amp;$C$61),$T33)</f>
        <v>#NUM!</v>
      </c>
      <c r="AB33" t="e">
        <f ca="1">INDEX(J$65:INDIRECT("J"&amp;$C$61),$T33)</f>
        <v>#NUM!</v>
      </c>
      <c r="AC33" t="e">
        <f ca="1">INDEX(K$65:INDIRECT("K"&amp;$C$61),$T33)</f>
        <v>#NUM!</v>
      </c>
      <c r="AD33" s="23" t="e">
        <f t="array" aca="1" ref="AD33" ca="1">IF(ISBLANK($AE$11),SMALL(IF($E$65:INDIRECT("E"&amp;$C$61)=$AE$10,L$65:INDIRECT(AD$13&amp;$C$61)),$AH33),IF(ISBLANK($AE$10),SMALL(IF($D$65:INDIRECT("D"&amp;$C$61)=$AE$11,L$65:INDIRECT(AD$13&amp;$C$61)),$AH33),SMALL(IF(($E$65:INDIRECT("E"&amp;$C$61)=$AE$10)*($D$65:INDIRECT("D"&amp;$C$61)=$AE$11),L$65:INDIRECT(AD$13&amp;$C$61)),$AH33)))</f>
        <v>#NUM!</v>
      </c>
      <c r="AE33" t="e">
        <f ca="1">INDEX(M$65:INDIRECT("M"&amp;$C$61),$T33)</f>
        <v>#NUM!</v>
      </c>
      <c r="AF33" t="e">
        <f ca="1">INDEX(N$65:INDIRECT("N"&amp;$C$61),$T33)</f>
        <v>#NUM!</v>
      </c>
      <c r="AG33" t="e">
        <f ca="1">INDEX(O$65:INDIRECT("O"&amp;$C$61),$T33)</f>
        <v>#NUM!</v>
      </c>
      <c r="AH33" s="69">
        <v>2</v>
      </c>
      <c r="AI33" s="69" t="str">
        <f t="shared" si="2"/>
        <v>L</v>
      </c>
      <c r="AJ33" s="69" t="str">
        <f t="shared" si="2"/>
        <v>S</v>
      </c>
    </row>
    <row r="34" spans="1:52" x14ac:dyDescent="0.25">
      <c r="A34" s="74" t="s">
        <v>74</v>
      </c>
      <c r="B34" s="69" t="s">
        <v>33</v>
      </c>
      <c r="C34" s="74" t="e">
        <f ca="1">AB6</f>
        <v>#NUM!</v>
      </c>
      <c r="D34" s="69" t="e">
        <f ca="1">INDEX(D$65:INDIRECT("D"&amp;$C$61),$C34)</f>
        <v>#NUM!</v>
      </c>
      <c r="E34" s="69" t="e">
        <f ca="1">INDEX(INDIRECT(("'MemberID'!$C$6:C"&amp;MemberID!$C$1)),MATCH(D34,INDIRECT(("'MemberID'!$G$6:G"&amp;MemberID!$C$1)),0))</f>
        <v>#NUM!</v>
      </c>
      <c r="F34" s="69" t="e">
        <f ca="1">INDEX(E$65:INDIRECT("E"&amp;$C$61),$C34)</f>
        <v>#NUM!</v>
      </c>
      <c r="G34" t="e">
        <f ca="1">INDEX(F$65:INDIRECT("F"&amp;$C$61),$C34)</f>
        <v>#NUM!</v>
      </c>
      <c r="H34" t="e">
        <f ca="1">INDEX(G$65:INDIRECT("G"&amp;$C$61),$C34)</f>
        <v>#NUM!</v>
      </c>
      <c r="I34" t="e">
        <f ca="1">INDEX(H$65:INDIRECT("H"&amp;$C$61),$C34)</f>
        <v>#NUM!</v>
      </c>
      <c r="J34" t="e">
        <f ca="1">INDEX(I$65:INDIRECT("I"&amp;$C$61),$C34)</f>
        <v>#NUM!</v>
      </c>
      <c r="K34" s="7" t="e">
        <f ca="1">INDEX(J$65:INDIRECT("J"&amp;$C$61),$C34)</f>
        <v>#NUM!</v>
      </c>
      <c r="L34" t="e">
        <f ca="1">INDEX(K$65:INDIRECT("K"&amp;$C$61),$C34)</f>
        <v>#NUM!</v>
      </c>
      <c r="M34" s="23" t="e">
        <f ca="1">INDEX(L$65:INDIRECT("L"&amp;$C$61),$C34)</f>
        <v>#NUM!</v>
      </c>
      <c r="N34" t="e">
        <f ca="1">INDEX(M$65:INDIRECT("M"&amp;$C$61),$C34)</f>
        <v>#NUM!</v>
      </c>
      <c r="O34" t="e">
        <f ca="1">INDEX(N$65:INDIRECT("N"&amp;$C$61),$C34)</f>
        <v>#NUM!</v>
      </c>
      <c r="P34" t="e">
        <f ca="1">INDEX(O$65:INDIRECT("O"&amp;$C$61),$C34)</f>
        <v>#NUM!</v>
      </c>
      <c r="Q34" s="104"/>
      <c r="R34" s="74" t="s">
        <v>74</v>
      </c>
      <c r="S34" s="69" t="s">
        <v>33</v>
      </c>
      <c r="T34" s="74" t="e">
        <f t="array" aca="1" ref="T34" ca="1">MATCH(IF(ISBLANK($AE$11),SMALL(IF($E$65:INDIRECT("E"&amp;$C$61)=$AE$10,INDIRECT(AJ34&amp;65):INDIRECT(AJ34&amp;$C$61)),$AH34),IF(ISBLANK($AE$10),SMALL(IF($D$65:INDIRECT("D"&amp;$C$61)=$AE$11,INDIRECT(AJ34&amp;65):INDIRECT(AJ34&amp;$C$61)),$AH34),SMALL(IF(($E$65:INDIRECT("E"&amp;$C$61)=$AE$10)*($D$65:INDIRECT("D"&amp;$C$61)=$AE$11),INDIRECT(AJ34&amp;65):INDIRECT(AJ34&amp;$C$61)),$AH34))),INDIRECT(AJ34&amp;65):INDIRECT(AJ34&amp;$C$61),0)</f>
        <v>#NUM!</v>
      </c>
      <c r="U34" s="69" t="e">
        <f ca="1">INDEX(D$65:INDIRECT("D"&amp;$C$61),$T34)</f>
        <v>#NUM!</v>
      </c>
      <c r="V34" s="69" t="e">
        <f ca="1">INDEX(INDIRECT(("'MemberID'!$C$6:C"&amp;MemberID!$C$1)),MATCH(U34,INDIRECT(("'MemberID'!$G$6:G"&amp;MemberID!$C$1)),0))</f>
        <v>#NUM!</v>
      </c>
      <c r="W34" s="69" t="e">
        <f ca="1">INDEX(E$65:INDIRECT("E"&amp;$C$61),$T34)</f>
        <v>#NUM!</v>
      </c>
      <c r="X34" t="e">
        <f ca="1">INDEX(F$65:INDIRECT("F"&amp;$C$61),$T34)</f>
        <v>#NUM!</v>
      </c>
      <c r="Y34" t="e">
        <f ca="1">INDEX(G$65:INDIRECT("G"&amp;$C$61),$T34)</f>
        <v>#NUM!</v>
      </c>
      <c r="Z34" t="e">
        <f ca="1">INDEX(H$65:INDIRECT("H"&amp;$C$61),$T34)</f>
        <v>#NUM!</v>
      </c>
      <c r="AA34" t="e">
        <f ca="1">INDEX(I$65:INDIRECT("I"&amp;$C$61),$T34)</f>
        <v>#NUM!</v>
      </c>
      <c r="AB34" t="e">
        <f ca="1">INDEX(J$65:INDIRECT("J"&amp;$C$61),$T34)</f>
        <v>#NUM!</v>
      </c>
      <c r="AC34" t="e">
        <f ca="1">INDEX(K$65:INDIRECT("K"&amp;$C$61),$T34)</f>
        <v>#NUM!</v>
      </c>
      <c r="AD34" s="23" t="e">
        <f t="array" aca="1" ref="AD34" ca="1">IF(ISBLANK($AE$11),SMALL(IF($E$65:INDIRECT("E"&amp;$C$61)=$AE$10,L$65:INDIRECT(AD$13&amp;$C$61)),$AH34),IF(ISBLANK($AE$10),SMALL(IF($D$65:INDIRECT("D"&amp;$C$61)=$AE$11,L$65:INDIRECT(AD$13&amp;$C$61)),$AH34),SMALL(IF(($E$65:INDIRECT("E"&amp;$C$61)=$AE$10)*($D$65:INDIRECT("D"&amp;$C$61)=$AE$11),L$65:INDIRECT(AD$13&amp;$C$61)),$AH34)))</f>
        <v>#NUM!</v>
      </c>
      <c r="AE34" t="e">
        <f ca="1">INDEX(M$65:INDIRECT("M"&amp;$C$61),$T34)</f>
        <v>#NUM!</v>
      </c>
      <c r="AF34" t="e">
        <f ca="1">INDEX(N$65:INDIRECT("N"&amp;$C$61),$T34)</f>
        <v>#NUM!</v>
      </c>
      <c r="AG34" t="e">
        <f ca="1">INDEX(O$65:INDIRECT("O"&amp;$C$61),$T34)</f>
        <v>#NUM!</v>
      </c>
      <c r="AH34" s="69">
        <v>3</v>
      </c>
      <c r="AI34" s="69" t="str">
        <f t="shared" si="2"/>
        <v>L</v>
      </c>
      <c r="AJ34" s="69" t="str">
        <f t="shared" si="2"/>
        <v>S</v>
      </c>
    </row>
    <row r="35" spans="1:52" x14ac:dyDescent="0.25">
      <c r="A35" s="5"/>
      <c r="B35" s="69"/>
      <c r="C35" s="69"/>
      <c r="D35" s="69"/>
      <c r="E35" s="69"/>
      <c r="F35" s="69"/>
      <c r="K35" s="7"/>
      <c r="Q35" s="104"/>
      <c r="R35" s="5"/>
      <c r="S35" s="69"/>
      <c r="T35" s="69"/>
      <c r="V35" s="69"/>
      <c r="W35" s="69"/>
      <c r="AH35" s="69"/>
      <c r="AI35" s="69"/>
      <c r="AJ35" s="69"/>
    </row>
    <row r="36" spans="1:52" x14ac:dyDescent="0.25">
      <c r="A36" s="73" t="s">
        <v>69</v>
      </c>
      <c r="B36" s="69" t="s">
        <v>34</v>
      </c>
      <c r="C36" s="73" t="e">
        <f ca="1">M3</f>
        <v>#N/A</v>
      </c>
      <c r="D36" s="69" t="e">
        <f ca="1">INDEX(D$65:INDIRECT("D"&amp;$C$61),$C36)</f>
        <v>#N/A</v>
      </c>
      <c r="E36" s="69" t="e">
        <f ca="1">INDEX(INDIRECT(("'MemberID'!$C$6:C"&amp;MemberID!$C$1)),MATCH(D36,INDIRECT(("'MemberID'!$G$6:G"&amp;MemberID!$C$1)),0))</f>
        <v>#N/A</v>
      </c>
      <c r="F36" s="69" t="e">
        <f ca="1">INDEX(E$65:INDIRECT("E"&amp;$C$61),$C36)</f>
        <v>#N/A</v>
      </c>
      <c r="G36" t="e">
        <f ca="1">INDEX(F$65:INDIRECT("F"&amp;$C$61),$C36)</f>
        <v>#N/A</v>
      </c>
      <c r="H36" t="e">
        <f ca="1">INDEX(G$65:INDIRECT("G"&amp;$C$61),$C36)</f>
        <v>#N/A</v>
      </c>
      <c r="I36" t="e">
        <f ca="1">INDEX(H$65:INDIRECT("H"&amp;$C$61),$C36)</f>
        <v>#N/A</v>
      </c>
      <c r="J36" t="e">
        <f ca="1">INDEX(I$65:INDIRECT("I"&amp;$C$61),$C36)</f>
        <v>#N/A</v>
      </c>
      <c r="K36" s="7" t="e">
        <f ca="1">INDEX(J$65:INDIRECT("J"&amp;$C$61),$C36)</f>
        <v>#N/A</v>
      </c>
      <c r="L36" t="e">
        <f ca="1">INDEX(K$65:INDIRECT("K"&amp;$C$61),$C36)</f>
        <v>#N/A</v>
      </c>
      <c r="M36" t="e">
        <f ca="1">INDEX(L$65:INDIRECT("L"&amp;$C$61),$C36)</f>
        <v>#N/A</v>
      </c>
      <c r="N36" s="23" t="e">
        <f ca="1">INDEX(M$65:INDIRECT("M"&amp;$C$61),$C36)</f>
        <v>#N/A</v>
      </c>
      <c r="O36" t="e">
        <f ca="1">INDEX(N$65:INDIRECT("N"&amp;$C$61),$C36)</f>
        <v>#N/A</v>
      </c>
      <c r="P36" t="e">
        <f ca="1">INDEX(O$65:INDIRECT("O"&amp;$C$61),$C36)</f>
        <v>#N/A</v>
      </c>
      <c r="Q36" s="104"/>
      <c r="R36" s="73" t="s">
        <v>69</v>
      </c>
      <c r="S36" s="69" t="s">
        <v>34</v>
      </c>
      <c r="T36" s="73" t="e">
        <f t="array" aca="1" ref="T36" ca="1">MATCH(IF(ISBLANK($AE$11),LARGE(IF($E$65:INDIRECT("E"&amp;$C$61)=$AE$10,INDIRECT(AJ36&amp;65):INDIRECT(AJ36&amp;$C$61)),$AH36),IF(ISBLANK($AE$10),LARGE(IF($D$65:INDIRECT("D"&amp;$C$61)=$AE$11,INDIRECT(AJ36&amp;65):INDIRECT(AJ36&amp;$C$61)),$AH36),LARGE(IF(($E$65:INDIRECT("E"&amp;$C$61)=$AE$10)*($D$65:INDIRECT("D"&amp;$C$61)=$AE$11),INDIRECT(AJ36&amp;65):INDIRECT(AJ36&amp;$C$61)),$AH36))),INDIRECT(AJ36&amp;65):INDIRECT(AJ36&amp;$C$61),0)</f>
        <v>#NUM!</v>
      </c>
      <c r="U36" s="69" t="e">
        <f ca="1">INDEX(D$65:INDIRECT("D"&amp;$C$61),$T36)</f>
        <v>#NUM!</v>
      </c>
      <c r="V36" s="69" t="e">
        <f ca="1">INDEX(INDIRECT(("'MemberID'!$C$6:C"&amp;MemberID!$C$1)),MATCH(U36,INDIRECT(("'MemberID'!$G$6:G"&amp;MemberID!$C$1)),0))</f>
        <v>#NUM!</v>
      </c>
      <c r="W36" s="69" t="e">
        <f ca="1">INDEX(E$65:INDIRECT("E"&amp;$C$61),$T36)</f>
        <v>#NUM!</v>
      </c>
      <c r="X36" t="e">
        <f ca="1">INDEX(F$65:INDIRECT("F"&amp;$C$61),$T36)</f>
        <v>#NUM!</v>
      </c>
      <c r="Y36" t="e">
        <f ca="1">INDEX(G$65:INDIRECT("G"&amp;$C$61),$T36)</f>
        <v>#NUM!</v>
      </c>
      <c r="Z36" t="e">
        <f ca="1">INDEX(H$65:INDIRECT("H"&amp;$C$61),$T36)</f>
        <v>#NUM!</v>
      </c>
      <c r="AA36" t="e">
        <f ca="1">INDEX(I$65:INDIRECT("I"&amp;$C$61),$T36)</f>
        <v>#NUM!</v>
      </c>
      <c r="AB36" t="e">
        <f ca="1">INDEX(J$65:INDIRECT("J"&amp;$C$61),$T36)</f>
        <v>#NUM!</v>
      </c>
      <c r="AC36" t="e">
        <f ca="1">INDEX(K$65:INDIRECT("K"&amp;$C$61),$T36)</f>
        <v>#NUM!</v>
      </c>
      <c r="AD36" t="e">
        <f ca="1">INDEX(L$65:INDIRECT("L"&amp;$C$61),$T36)</f>
        <v>#NUM!</v>
      </c>
      <c r="AE36" s="23" t="e">
        <f t="array" aca="1" ref="AE36" ca="1">IF(ISBLANK($AE$11),LARGE(IF($E$65:INDIRECT("E"&amp;$C$61)=$AE$10,M$65:INDIRECT(AE$13&amp;$C$61)),$AH36),IF(ISBLANK($AE$10),LARGE(IF($D$65:INDIRECT("D"&amp;$C$61)=$AE$11,M$65:INDIRECT(AE$13&amp;$C$61)),$AH36),LARGE(IF(($E$65:INDIRECT("E"&amp;$C$61)=$AE$10)*($D$65:INDIRECT("D"&amp;$C$61)=$AE$11),M$65:INDIRECT(AE$13&amp;$C$61)),$AH36)))</f>
        <v>#NUM!</v>
      </c>
      <c r="AF36" t="e">
        <f ca="1">INDEX(N$65:INDIRECT("N"&amp;$C$61),$T36)</f>
        <v>#NUM!</v>
      </c>
      <c r="AG36" t="e">
        <f ca="1">INDEX(O$65:INDIRECT("O"&amp;$C$61),$T36)</f>
        <v>#NUM!</v>
      </c>
      <c r="AH36" s="69">
        <v>1</v>
      </c>
      <c r="AI36" s="69" t="s">
        <v>198</v>
      </c>
      <c r="AJ36" s="69" t="s">
        <v>195</v>
      </c>
    </row>
    <row r="37" spans="1:52" x14ac:dyDescent="0.25">
      <c r="A37" s="73" t="s">
        <v>70</v>
      </c>
      <c r="B37" s="69" t="s">
        <v>34</v>
      </c>
      <c r="C37" s="73" t="e">
        <f ca="1">U3</f>
        <v>#NUM!</v>
      </c>
      <c r="D37" s="69" t="e">
        <f ca="1">INDEX(D$65:INDIRECT("D"&amp;$C$61),$C37)</f>
        <v>#NUM!</v>
      </c>
      <c r="E37" s="69" t="e">
        <f ca="1">INDEX(INDIRECT(("'MemberID'!$C$6:C"&amp;MemberID!$C$1)),MATCH(D37,INDIRECT(("'MemberID'!$G$6:G"&amp;MemberID!$C$1)),0))</f>
        <v>#NUM!</v>
      </c>
      <c r="F37" s="69" t="e">
        <f ca="1">INDEX(E$65:INDIRECT("E"&amp;$C$61),$C37)</f>
        <v>#NUM!</v>
      </c>
      <c r="G37" t="e">
        <f ca="1">INDEX(F$65:INDIRECT("F"&amp;$C$61),$C37)</f>
        <v>#NUM!</v>
      </c>
      <c r="H37" t="e">
        <f ca="1">INDEX(G$65:INDIRECT("G"&amp;$C$61),$C37)</f>
        <v>#NUM!</v>
      </c>
      <c r="I37" t="e">
        <f ca="1">INDEX(H$65:INDIRECT("H"&amp;$C$61),$C37)</f>
        <v>#NUM!</v>
      </c>
      <c r="J37" t="e">
        <f ca="1">INDEX(I$65:INDIRECT("I"&amp;$C$61),$C37)</f>
        <v>#NUM!</v>
      </c>
      <c r="K37" s="7" t="e">
        <f ca="1">INDEX(J$65:INDIRECT("J"&amp;$C$61),$C37)</f>
        <v>#NUM!</v>
      </c>
      <c r="L37" t="e">
        <f ca="1">INDEX(K$65:INDIRECT("K"&amp;$C$61),$C37)</f>
        <v>#NUM!</v>
      </c>
      <c r="M37" t="e">
        <f ca="1">INDEX(L$65:INDIRECT("L"&amp;$C$61),$C37)</f>
        <v>#NUM!</v>
      </c>
      <c r="N37" s="23" t="e">
        <f ca="1">INDEX(M$65:INDIRECT("M"&amp;$C$61),$C37)</f>
        <v>#NUM!</v>
      </c>
      <c r="O37" t="e">
        <f ca="1">INDEX(N$65:INDIRECT("N"&amp;$C$61),$C37)</f>
        <v>#NUM!</v>
      </c>
      <c r="P37" t="e">
        <f ca="1">INDEX(O$65:INDIRECT("O"&amp;$C$61),$C37)</f>
        <v>#NUM!</v>
      </c>
      <c r="Q37" s="104"/>
      <c r="R37" s="73" t="s">
        <v>70</v>
      </c>
      <c r="S37" s="69" t="s">
        <v>34</v>
      </c>
      <c r="T37" s="73" t="e">
        <f t="array" aca="1" ref="T37" ca="1">MATCH(IF(ISBLANK($AE$11),LARGE(IF($E$65:INDIRECT("E"&amp;$C$61)=$AE$10,INDIRECT(AJ37&amp;65):INDIRECT(AJ37&amp;$C$61)),$AH37),IF(ISBLANK($AE$10),LARGE(IF($D$65:INDIRECT("D"&amp;$C$61)=$AE$11,INDIRECT(AJ37&amp;65):INDIRECT(AJ37&amp;$C$61)),$AH37),LARGE(IF(($E$65:INDIRECT("E"&amp;$C$61)=$AE$10)*($D$65:INDIRECT("D"&amp;$C$61)=$AE$11),INDIRECT(AJ37&amp;65):INDIRECT(AJ37&amp;$C$61)),$AH37))),INDIRECT(AJ37&amp;65):INDIRECT(AJ37&amp;$C$61),0)</f>
        <v>#NUM!</v>
      </c>
      <c r="U37" s="69" t="e">
        <f ca="1">INDEX(D$65:INDIRECT("D"&amp;$C$61),$T37)</f>
        <v>#NUM!</v>
      </c>
      <c r="V37" s="69" t="e">
        <f ca="1">INDEX(INDIRECT(("'MemberID'!$C$6:C"&amp;MemberID!$C$1)),MATCH(U37,INDIRECT(("'MemberID'!$G$6:G"&amp;MemberID!$C$1)),0))</f>
        <v>#NUM!</v>
      </c>
      <c r="W37" s="69" t="e">
        <f ca="1">INDEX(E$65:INDIRECT("E"&amp;$C$61),$T37)</f>
        <v>#NUM!</v>
      </c>
      <c r="X37" t="e">
        <f ca="1">INDEX(F$65:INDIRECT("F"&amp;$C$61),$T37)</f>
        <v>#NUM!</v>
      </c>
      <c r="Y37" t="e">
        <f ca="1">INDEX(G$65:INDIRECT("G"&amp;$C$61),$T37)</f>
        <v>#NUM!</v>
      </c>
      <c r="Z37" t="e">
        <f ca="1">INDEX(H$65:INDIRECT("H"&amp;$C$61),$T37)</f>
        <v>#NUM!</v>
      </c>
      <c r="AA37" t="e">
        <f ca="1">INDEX(I$65:INDIRECT("I"&amp;$C$61),$T37)</f>
        <v>#NUM!</v>
      </c>
      <c r="AB37" t="e">
        <f ca="1">INDEX(J$65:INDIRECT("J"&amp;$C$61),$T37)</f>
        <v>#NUM!</v>
      </c>
      <c r="AC37" t="e">
        <f ca="1">INDEX(K$65:INDIRECT("K"&amp;$C$61),$T37)</f>
        <v>#NUM!</v>
      </c>
      <c r="AD37" t="e">
        <f ca="1">INDEX(L$65:INDIRECT("L"&amp;$C$61),$T37)</f>
        <v>#NUM!</v>
      </c>
      <c r="AE37" s="23" t="e">
        <f t="array" aca="1" ref="AE37" ca="1">IF(ISBLANK($AE$11),LARGE(IF($E$65:INDIRECT("E"&amp;$C$61)=$AE$10,M$65:INDIRECT(AE$13&amp;$C$61)),$AH37),IF(ISBLANK($AE$10),LARGE(IF($D$65:INDIRECT("D"&amp;$C$61)=$AE$11,M$65:INDIRECT(AE$13&amp;$C$61)),$AH37),LARGE(IF(($E$65:INDIRECT("E"&amp;$C$61)=$AE$10)*($D$65:INDIRECT("D"&amp;$C$61)=$AE$11),M$65:INDIRECT(AE$13&amp;$C$61)),$AH37)))</f>
        <v>#NUM!</v>
      </c>
      <c r="AF37" t="e">
        <f ca="1">INDEX(N$65:INDIRECT("N"&amp;$C$61),$T37)</f>
        <v>#NUM!</v>
      </c>
      <c r="AG37" t="e">
        <f ca="1">INDEX(O$65:INDIRECT("O"&amp;$C$61),$T37)</f>
        <v>#NUM!</v>
      </c>
      <c r="AH37" s="69">
        <v>2</v>
      </c>
      <c r="AI37" s="69" t="str">
        <f>AI36</f>
        <v>M</v>
      </c>
      <c r="AJ37" s="69" t="str">
        <f>AJ36</f>
        <v>T</v>
      </c>
    </row>
    <row r="38" spans="1:52" x14ac:dyDescent="0.25">
      <c r="A38" s="73" t="s">
        <v>71</v>
      </c>
      <c r="B38" s="69" t="s">
        <v>34</v>
      </c>
      <c r="C38" s="73" t="e">
        <f ca="1">AC3</f>
        <v>#NUM!</v>
      </c>
      <c r="D38" s="69" t="e">
        <f ca="1">INDEX(D$65:INDIRECT("D"&amp;$C$61),$C38)</f>
        <v>#NUM!</v>
      </c>
      <c r="E38" s="69" t="e">
        <f ca="1">INDEX(INDIRECT(("'MemberID'!$C$6:C"&amp;MemberID!$C$1)),MATCH(D38,INDIRECT(("'MemberID'!$G$6:G"&amp;MemberID!$C$1)),0))</f>
        <v>#NUM!</v>
      </c>
      <c r="F38" s="69" t="e">
        <f ca="1">INDEX(E$65:INDIRECT("E"&amp;$C$61),$C38)</f>
        <v>#NUM!</v>
      </c>
      <c r="G38" t="e">
        <f ca="1">INDEX(F$65:INDIRECT("F"&amp;$C$61),$C38)</f>
        <v>#NUM!</v>
      </c>
      <c r="H38" t="e">
        <f ca="1">INDEX(G$65:INDIRECT("G"&amp;$C$61),$C38)</f>
        <v>#NUM!</v>
      </c>
      <c r="I38" t="e">
        <f ca="1">INDEX(H$65:INDIRECT("H"&amp;$C$61),$C38)</f>
        <v>#NUM!</v>
      </c>
      <c r="J38" t="e">
        <f ca="1">INDEX(I$65:INDIRECT("I"&amp;$C$61),$C38)</f>
        <v>#NUM!</v>
      </c>
      <c r="K38" s="7" t="e">
        <f ca="1">INDEX(J$65:INDIRECT("J"&amp;$C$61),$C38)</f>
        <v>#NUM!</v>
      </c>
      <c r="L38" t="e">
        <f ca="1">INDEX(K$65:INDIRECT("K"&amp;$C$61),$C38)</f>
        <v>#NUM!</v>
      </c>
      <c r="M38" t="e">
        <f ca="1">INDEX(L$65:INDIRECT("L"&amp;$C$61),$C38)</f>
        <v>#NUM!</v>
      </c>
      <c r="N38" s="23" t="e">
        <f ca="1">INDEX(M$65:INDIRECT("M"&amp;$C$61),$C38)</f>
        <v>#NUM!</v>
      </c>
      <c r="O38" t="e">
        <f ca="1">INDEX(N$65:INDIRECT("N"&amp;$C$61),$C38)</f>
        <v>#NUM!</v>
      </c>
      <c r="P38" t="e">
        <f ca="1">INDEX(O$65:INDIRECT("O"&amp;$C$61),$C38)</f>
        <v>#NUM!</v>
      </c>
      <c r="Q38" s="104"/>
      <c r="R38" s="73" t="s">
        <v>71</v>
      </c>
      <c r="S38" s="69" t="s">
        <v>34</v>
      </c>
      <c r="T38" s="73" t="e">
        <f t="array" aca="1" ref="T38" ca="1">MATCH(IF(ISBLANK($AE$11),LARGE(IF($E$65:INDIRECT("E"&amp;$C$61)=$AE$10,INDIRECT(AJ38&amp;65):INDIRECT(AJ38&amp;$C$61)),$AH38),IF(ISBLANK($AE$10),LARGE(IF($D$65:INDIRECT("D"&amp;$C$61)=$AE$11,INDIRECT(AJ38&amp;65):INDIRECT(AJ38&amp;$C$61)),$AH38),LARGE(IF(($E$65:INDIRECT("E"&amp;$C$61)=$AE$10)*($D$65:INDIRECT("D"&amp;$C$61)=$AE$11),INDIRECT(AJ38&amp;65):INDIRECT(AJ38&amp;$C$61)),$AH38))),INDIRECT(AJ38&amp;65):INDIRECT(AJ38&amp;$C$61),0)</f>
        <v>#NUM!</v>
      </c>
      <c r="U38" s="69" t="e">
        <f ca="1">INDEX(D$65:INDIRECT("D"&amp;$C$61),$T38)</f>
        <v>#NUM!</v>
      </c>
      <c r="V38" s="69" t="e">
        <f ca="1">INDEX(INDIRECT(("'MemberID'!$C$6:C"&amp;MemberID!$C$1)),MATCH(U38,INDIRECT(("'MemberID'!$G$6:G"&amp;MemberID!$C$1)),0))</f>
        <v>#NUM!</v>
      </c>
      <c r="W38" s="69" t="e">
        <f ca="1">INDEX(E$65:INDIRECT("E"&amp;$C$61),$T38)</f>
        <v>#NUM!</v>
      </c>
      <c r="X38" t="e">
        <f ca="1">INDEX(F$65:INDIRECT("F"&amp;$C$61),$T38)</f>
        <v>#NUM!</v>
      </c>
      <c r="Y38" t="e">
        <f ca="1">INDEX(G$65:INDIRECT("G"&amp;$C$61),$T38)</f>
        <v>#NUM!</v>
      </c>
      <c r="Z38" t="e">
        <f ca="1">INDEX(H$65:INDIRECT("H"&amp;$C$61),$T38)</f>
        <v>#NUM!</v>
      </c>
      <c r="AA38" t="e">
        <f ca="1">INDEX(I$65:INDIRECT("I"&amp;$C$61),$T38)</f>
        <v>#NUM!</v>
      </c>
      <c r="AB38" t="e">
        <f ca="1">INDEX(J$65:INDIRECT("J"&amp;$C$61),$T38)</f>
        <v>#NUM!</v>
      </c>
      <c r="AC38" t="e">
        <f ca="1">INDEX(K$65:INDIRECT("K"&amp;$C$61),$T38)</f>
        <v>#NUM!</v>
      </c>
      <c r="AD38" t="e">
        <f ca="1">INDEX(L$65:INDIRECT("L"&amp;$C$61),$T38)</f>
        <v>#NUM!</v>
      </c>
      <c r="AE38" s="23" t="e">
        <f t="array" aca="1" ref="AE38" ca="1">IF(ISBLANK($AE$11),LARGE(IF($E$65:INDIRECT("E"&amp;$C$61)=$AE$10,M$65:INDIRECT(AE$13&amp;$C$61)),$AH38),IF(ISBLANK($AE$10),LARGE(IF($D$65:INDIRECT("D"&amp;$C$61)=$AE$11,M$65:INDIRECT(AE$13&amp;$C$61)),$AH38),LARGE(IF(($E$65:INDIRECT("E"&amp;$C$61)=$AE$10)*($D$65:INDIRECT("D"&amp;$C$61)=$AE$11),M$65:INDIRECT(AE$13&amp;$C$61)),$AH38)))</f>
        <v>#NUM!</v>
      </c>
      <c r="AF38" t="e">
        <f ca="1">INDEX(N$65:INDIRECT("N"&amp;$C$61),$T38)</f>
        <v>#NUM!</v>
      </c>
      <c r="AG38" t="e">
        <f ca="1">INDEX(O$65:INDIRECT("O"&amp;$C$61),$T38)</f>
        <v>#NUM!</v>
      </c>
      <c r="AH38" s="69">
        <v>3</v>
      </c>
      <c r="AI38" s="69" t="str">
        <f t="shared" ref="AI38:AJ41" si="3">AI37</f>
        <v>M</v>
      </c>
      <c r="AJ38" s="69" t="str">
        <f t="shared" si="3"/>
        <v>T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74" t="s">
        <v>72</v>
      </c>
      <c r="B39" s="69" t="s">
        <v>34</v>
      </c>
      <c r="C39" s="74" t="e">
        <f ca="1">M6</f>
        <v>#N/A</v>
      </c>
      <c r="D39" s="69" t="e">
        <f ca="1">INDEX(D$65:INDIRECT("D"&amp;$C$61),$C39)</f>
        <v>#N/A</v>
      </c>
      <c r="E39" s="69" t="e">
        <f ca="1">INDEX(INDIRECT(("'MemberID'!$C$6:C"&amp;MemberID!$C$1)),MATCH(D39,INDIRECT(("'MemberID'!$G$6:G"&amp;MemberID!$C$1)),0))</f>
        <v>#N/A</v>
      </c>
      <c r="F39" s="69" t="e">
        <f ca="1">INDEX(E$65:INDIRECT("E"&amp;$C$61),$C39)</f>
        <v>#N/A</v>
      </c>
      <c r="G39" t="e">
        <f ca="1">INDEX(F$65:INDIRECT("F"&amp;$C$61),$C39)</f>
        <v>#N/A</v>
      </c>
      <c r="H39" t="e">
        <f ca="1">INDEX(G$65:INDIRECT("G"&amp;$C$61),$C39)</f>
        <v>#N/A</v>
      </c>
      <c r="I39" t="e">
        <f ca="1">INDEX(H$65:INDIRECT("H"&amp;$C$61),$C39)</f>
        <v>#N/A</v>
      </c>
      <c r="J39" t="e">
        <f ca="1">INDEX(I$65:INDIRECT("I"&amp;$C$61),$C39)</f>
        <v>#N/A</v>
      </c>
      <c r="K39" s="7" t="e">
        <f ca="1">INDEX(J$65:INDIRECT("J"&amp;$C$61),$C39)</f>
        <v>#N/A</v>
      </c>
      <c r="L39" t="e">
        <f ca="1">INDEX(K$65:INDIRECT("K"&amp;$C$61),$C39)</f>
        <v>#N/A</v>
      </c>
      <c r="M39" t="e">
        <f ca="1">INDEX(L$65:INDIRECT("L"&amp;$C$61),$C39)</f>
        <v>#N/A</v>
      </c>
      <c r="N39" s="23" t="e">
        <f ca="1">INDEX(M$65:INDIRECT("M"&amp;$C$61),$C39)</f>
        <v>#N/A</v>
      </c>
      <c r="O39" t="e">
        <f ca="1">INDEX(N$65:INDIRECT("N"&amp;$C$61),$C39)</f>
        <v>#N/A</v>
      </c>
      <c r="P39" t="e">
        <f ca="1">INDEX(O$65:INDIRECT("O"&amp;$C$61),$C39)</f>
        <v>#N/A</v>
      </c>
      <c r="Q39" s="104"/>
      <c r="R39" s="74" t="s">
        <v>72</v>
      </c>
      <c r="S39" s="69" t="s">
        <v>34</v>
      </c>
      <c r="T39" s="74" t="e">
        <f t="array" aca="1" ref="T39" ca="1">MATCH(IF(ISBLANK($AE$11),SMALL(IF($E$65:INDIRECT("E"&amp;$C$61)=$AE$10,INDIRECT(AJ39&amp;65):INDIRECT(AJ39&amp;$C$61)),$AH39),IF(ISBLANK($AE$10),SMALL(IF($D$65:INDIRECT("D"&amp;$C$61)=$AE$11,INDIRECT(AJ39&amp;65):INDIRECT(AJ39&amp;$C$61)),$AH39),SMALL(IF(($E$65:INDIRECT("E"&amp;$C$61)=$AE$10)*($D$65:INDIRECT("D"&amp;$C$61)=$AE$11),INDIRECT(AJ39&amp;65):INDIRECT(AJ39&amp;$C$61)),$AH39))),INDIRECT(AJ39&amp;65):INDIRECT(AJ39&amp;$C$61),0)</f>
        <v>#NUM!</v>
      </c>
      <c r="U39" s="69" t="e">
        <f ca="1">INDEX(D$65:INDIRECT("D"&amp;$C$61),$T39)</f>
        <v>#NUM!</v>
      </c>
      <c r="V39" s="69" t="e">
        <f ca="1">INDEX(INDIRECT(("'MemberID'!$C$6:C"&amp;MemberID!$C$1)),MATCH(U39,INDIRECT(("'MemberID'!$G$6:G"&amp;MemberID!$C$1)),0))</f>
        <v>#NUM!</v>
      </c>
      <c r="W39" s="69" t="e">
        <f ca="1">INDEX(E$65:INDIRECT("E"&amp;$C$61),$T39)</f>
        <v>#NUM!</v>
      </c>
      <c r="X39" t="e">
        <f ca="1">INDEX(F$65:INDIRECT("F"&amp;$C$61),$T39)</f>
        <v>#NUM!</v>
      </c>
      <c r="Y39" t="e">
        <f ca="1">INDEX(G$65:INDIRECT("G"&amp;$C$61),$T39)</f>
        <v>#NUM!</v>
      </c>
      <c r="Z39" t="e">
        <f ca="1">INDEX(H$65:INDIRECT("H"&amp;$C$61),$T39)</f>
        <v>#NUM!</v>
      </c>
      <c r="AA39" t="e">
        <f ca="1">INDEX(I$65:INDIRECT("I"&amp;$C$61),$T39)</f>
        <v>#NUM!</v>
      </c>
      <c r="AB39" t="e">
        <f ca="1">INDEX(J$65:INDIRECT("J"&amp;$C$61),$T39)</f>
        <v>#NUM!</v>
      </c>
      <c r="AC39" t="e">
        <f ca="1">INDEX(K$65:INDIRECT("K"&amp;$C$61),$T39)</f>
        <v>#NUM!</v>
      </c>
      <c r="AD39" t="e">
        <f ca="1">INDEX(L$65:INDIRECT("L"&amp;$C$61),$T39)</f>
        <v>#NUM!</v>
      </c>
      <c r="AE39" s="23" t="e">
        <f t="array" aca="1" ref="AE39" ca="1">IF(ISBLANK($AE$11),SMALL(IF($E$65:INDIRECT("E"&amp;$C$61)=$AE$10,M$65:INDIRECT(AE$13&amp;$C$61)),$AH39),IF(ISBLANK($AE$10),SMALL(IF($D$65:INDIRECT("D"&amp;$C$61)=$AE$11,M$65:INDIRECT(AE$13&amp;$C$61)),$AH39),SMALL(IF(($E$65:INDIRECT("E"&amp;$C$61)=$AE$10)*($D$65:INDIRECT("D"&amp;$C$61)=$AE$11),M$65:INDIRECT(AE$13&amp;$C$61)),$AH39)))</f>
        <v>#NUM!</v>
      </c>
      <c r="AF39" t="e">
        <f ca="1">INDEX(N$65:INDIRECT("N"&amp;$C$61),$T39)</f>
        <v>#NUM!</v>
      </c>
      <c r="AG39" t="e">
        <f ca="1">INDEX(O$65:INDIRECT("O"&amp;$C$61),$T39)</f>
        <v>#NUM!</v>
      </c>
      <c r="AH39" s="69">
        <v>1</v>
      </c>
      <c r="AI39" s="69" t="str">
        <f t="shared" si="3"/>
        <v>M</v>
      </c>
      <c r="AJ39" s="69" t="str">
        <f t="shared" si="3"/>
        <v>T</v>
      </c>
    </row>
    <row r="40" spans="1:52" x14ac:dyDescent="0.25">
      <c r="A40" s="74" t="s">
        <v>73</v>
      </c>
      <c r="B40" s="69" t="s">
        <v>34</v>
      </c>
      <c r="C40" s="74" t="e">
        <f ca="1">U6</f>
        <v>#NUM!</v>
      </c>
      <c r="D40" s="69" t="e">
        <f ca="1">INDEX(D$65:INDIRECT("D"&amp;$C$61),$C40)</f>
        <v>#NUM!</v>
      </c>
      <c r="E40" s="69" t="e">
        <f ca="1">INDEX(INDIRECT(("'MemberID'!$C$6:C"&amp;MemberID!$C$1)),MATCH(D40,INDIRECT(("'MemberID'!$G$6:G"&amp;MemberID!$C$1)),0))</f>
        <v>#NUM!</v>
      </c>
      <c r="F40" s="69" t="e">
        <f ca="1">INDEX(E$65:INDIRECT("E"&amp;$C$61),$C40)</f>
        <v>#NUM!</v>
      </c>
      <c r="G40" t="e">
        <f ca="1">INDEX(F$65:INDIRECT("F"&amp;$C$61),$C40)</f>
        <v>#NUM!</v>
      </c>
      <c r="H40" t="e">
        <f ca="1">INDEX(G$65:INDIRECT("G"&amp;$C$61),$C40)</f>
        <v>#NUM!</v>
      </c>
      <c r="I40" t="e">
        <f ca="1">INDEX(H$65:INDIRECT("H"&amp;$C$61),$C40)</f>
        <v>#NUM!</v>
      </c>
      <c r="J40" t="e">
        <f ca="1">INDEX(I$65:INDIRECT("I"&amp;$C$61),$C40)</f>
        <v>#NUM!</v>
      </c>
      <c r="K40" s="7" t="e">
        <f ca="1">INDEX(J$65:INDIRECT("J"&amp;$C$61),$C40)</f>
        <v>#NUM!</v>
      </c>
      <c r="L40" t="e">
        <f ca="1">INDEX(K$65:INDIRECT("K"&amp;$C$61),$C40)</f>
        <v>#NUM!</v>
      </c>
      <c r="M40" t="e">
        <f ca="1">INDEX(L$65:INDIRECT("L"&amp;$C$61),$C40)</f>
        <v>#NUM!</v>
      </c>
      <c r="N40" s="23" t="e">
        <f ca="1">INDEX(M$65:INDIRECT("M"&amp;$C$61),$C40)</f>
        <v>#NUM!</v>
      </c>
      <c r="O40" t="e">
        <f ca="1">INDEX(N$65:INDIRECT("N"&amp;$C$61),$C40)</f>
        <v>#NUM!</v>
      </c>
      <c r="P40" t="e">
        <f ca="1">INDEX(O$65:INDIRECT("O"&amp;$C$61),$C40)</f>
        <v>#NUM!</v>
      </c>
      <c r="Q40" s="104"/>
      <c r="R40" s="74" t="s">
        <v>73</v>
      </c>
      <c r="S40" s="69" t="s">
        <v>34</v>
      </c>
      <c r="T40" s="74" t="e">
        <f t="array" aca="1" ref="T40" ca="1">MATCH(IF(ISBLANK($AE$11),SMALL(IF($E$65:INDIRECT("E"&amp;$C$61)=$AE$10,INDIRECT(AJ40&amp;65):INDIRECT(AJ40&amp;$C$61)),$AH40),IF(ISBLANK($AE$10),SMALL(IF($D$65:INDIRECT("D"&amp;$C$61)=$AE$11,INDIRECT(AJ40&amp;65):INDIRECT(AJ40&amp;$C$61)),$AH40),SMALL(IF(($E$65:INDIRECT("E"&amp;$C$61)=$AE$10)*($D$65:INDIRECT("D"&amp;$C$61)=$AE$11),INDIRECT(AJ40&amp;65):INDIRECT(AJ40&amp;$C$61)),$AH40))),INDIRECT(AJ40&amp;65):INDIRECT(AJ40&amp;$C$61),0)</f>
        <v>#NUM!</v>
      </c>
      <c r="U40" s="69" t="e">
        <f ca="1">INDEX(D$65:INDIRECT("D"&amp;$C$61),$T40)</f>
        <v>#NUM!</v>
      </c>
      <c r="V40" s="69" t="e">
        <f ca="1">INDEX(INDIRECT(("'MemberID'!$C$6:C"&amp;MemberID!$C$1)),MATCH(U40,INDIRECT(("'MemberID'!$G$6:G"&amp;MemberID!$C$1)),0))</f>
        <v>#NUM!</v>
      </c>
      <c r="W40" s="69" t="e">
        <f ca="1">INDEX(E$65:INDIRECT("E"&amp;$C$61),$T40)</f>
        <v>#NUM!</v>
      </c>
      <c r="X40" t="e">
        <f ca="1">INDEX(F$65:INDIRECT("F"&amp;$C$61),$T40)</f>
        <v>#NUM!</v>
      </c>
      <c r="Y40" t="e">
        <f ca="1">INDEX(G$65:INDIRECT("G"&amp;$C$61),$T40)</f>
        <v>#NUM!</v>
      </c>
      <c r="Z40" t="e">
        <f ca="1">INDEX(H$65:INDIRECT("H"&amp;$C$61),$T40)</f>
        <v>#NUM!</v>
      </c>
      <c r="AA40" t="e">
        <f ca="1">INDEX(I$65:INDIRECT("I"&amp;$C$61),$T40)</f>
        <v>#NUM!</v>
      </c>
      <c r="AB40" t="e">
        <f ca="1">INDEX(J$65:INDIRECT("J"&amp;$C$61),$T40)</f>
        <v>#NUM!</v>
      </c>
      <c r="AC40" t="e">
        <f ca="1">INDEX(K$65:INDIRECT("K"&amp;$C$61),$T40)</f>
        <v>#NUM!</v>
      </c>
      <c r="AD40" t="e">
        <f ca="1">INDEX(L$65:INDIRECT("L"&amp;$C$61),$T40)</f>
        <v>#NUM!</v>
      </c>
      <c r="AE40" s="23" t="e">
        <f t="array" aca="1" ref="AE40" ca="1">IF(ISBLANK($AE$11),SMALL(IF($E$65:INDIRECT("E"&amp;$C$61)=$AE$10,M$65:INDIRECT(AE$13&amp;$C$61)),$AH40),IF(ISBLANK($AE$10),SMALL(IF($D$65:INDIRECT("D"&amp;$C$61)=$AE$11,M$65:INDIRECT(AE$13&amp;$C$61)),$AH40),SMALL(IF(($E$65:INDIRECT("E"&amp;$C$61)=$AE$10)*($D$65:INDIRECT("D"&amp;$C$61)=$AE$11),M$65:INDIRECT(AE$13&amp;$C$61)),$AH40)))</f>
        <v>#NUM!</v>
      </c>
      <c r="AF40" t="e">
        <f ca="1">INDEX(N$65:INDIRECT("N"&amp;$C$61),$T40)</f>
        <v>#NUM!</v>
      </c>
      <c r="AG40" t="e">
        <f ca="1">INDEX(O$65:INDIRECT("O"&amp;$C$61),$T40)</f>
        <v>#NUM!</v>
      </c>
      <c r="AH40" s="69">
        <v>2</v>
      </c>
      <c r="AI40" s="69" t="str">
        <f t="shared" si="3"/>
        <v>M</v>
      </c>
      <c r="AJ40" s="69" t="str">
        <f t="shared" si="3"/>
        <v>T</v>
      </c>
    </row>
    <row r="41" spans="1:52" x14ac:dyDescent="0.25">
      <c r="A41" s="74" t="s">
        <v>74</v>
      </c>
      <c r="B41" s="69" t="s">
        <v>34</v>
      </c>
      <c r="C41" s="74" t="e">
        <f ca="1">AC6</f>
        <v>#NUM!</v>
      </c>
      <c r="D41" s="69" t="e">
        <f ca="1">INDEX(D$65:INDIRECT("D"&amp;$C$61),$C41)</f>
        <v>#NUM!</v>
      </c>
      <c r="E41" s="69" t="e">
        <f ca="1">INDEX(INDIRECT(("'MemberID'!$C$6:C"&amp;MemberID!$C$1)),MATCH(D41,INDIRECT(("'MemberID'!$G$6:G"&amp;MemberID!$C$1)),0))</f>
        <v>#NUM!</v>
      </c>
      <c r="F41" s="69" t="e">
        <f ca="1">INDEX(E$65:INDIRECT("E"&amp;$C$61),$C41)</f>
        <v>#NUM!</v>
      </c>
      <c r="G41" t="e">
        <f ca="1">INDEX(F$65:INDIRECT("F"&amp;$C$61),$C41)</f>
        <v>#NUM!</v>
      </c>
      <c r="H41" t="e">
        <f ca="1">INDEX(G$65:INDIRECT("G"&amp;$C$61),$C41)</f>
        <v>#NUM!</v>
      </c>
      <c r="I41" t="e">
        <f ca="1">INDEX(H$65:INDIRECT("H"&amp;$C$61),$C41)</f>
        <v>#NUM!</v>
      </c>
      <c r="J41" t="e">
        <f ca="1">INDEX(I$65:INDIRECT("I"&amp;$C$61),$C41)</f>
        <v>#NUM!</v>
      </c>
      <c r="K41" s="7" t="e">
        <f ca="1">INDEX(J$65:INDIRECT("J"&amp;$C$61),$C41)</f>
        <v>#NUM!</v>
      </c>
      <c r="L41" t="e">
        <f ca="1">INDEX(K$65:INDIRECT("K"&amp;$C$61),$C41)</f>
        <v>#NUM!</v>
      </c>
      <c r="M41" t="e">
        <f ca="1">INDEX(L$65:INDIRECT("L"&amp;$C$61),$C41)</f>
        <v>#NUM!</v>
      </c>
      <c r="N41" s="23" t="e">
        <f ca="1">INDEX(M$65:INDIRECT("M"&amp;$C$61),$C41)</f>
        <v>#NUM!</v>
      </c>
      <c r="O41" t="e">
        <f ca="1">INDEX(N$65:INDIRECT("N"&amp;$C$61),$C41)</f>
        <v>#NUM!</v>
      </c>
      <c r="P41" t="e">
        <f ca="1">INDEX(O$65:INDIRECT("O"&amp;$C$61),$C41)</f>
        <v>#NUM!</v>
      </c>
      <c r="Q41" s="104"/>
      <c r="R41" s="74" t="s">
        <v>74</v>
      </c>
      <c r="S41" s="69" t="s">
        <v>34</v>
      </c>
      <c r="T41" s="74" t="e">
        <f t="array" aca="1" ref="T41" ca="1">MATCH(IF(ISBLANK($AE$11),SMALL(IF($E$65:INDIRECT("E"&amp;$C$61)=$AE$10,INDIRECT(AJ41&amp;65):INDIRECT(AJ41&amp;$C$61)),$AH41),IF(ISBLANK($AE$10),SMALL(IF($D$65:INDIRECT("D"&amp;$C$61)=$AE$11,INDIRECT(AJ41&amp;65):INDIRECT(AJ41&amp;$C$61)),$AH41),SMALL(IF(($E$65:INDIRECT("E"&amp;$C$61)=$AE$10)*($D$65:INDIRECT("D"&amp;$C$61)=$AE$11),INDIRECT(AJ41&amp;65):INDIRECT(AJ41&amp;$C$61)),$AH41))),INDIRECT(AJ41&amp;65):INDIRECT(AJ41&amp;$C$61),0)</f>
        <v>#NUM!</v>
      </c>
      <c r="U41" s="69" t="e">
        <f ca="1">INDEX(D$65:INDIRECT("D"&amp;$C$61),$T41)</f>
        <v>#NUM!</v>
      </c>
      <c r="V41" s="69" t="e">
        <f ca="1">INDEX(INDIRECT(("'MemberID'!$C$6:C"&amp;MemberID!$C$1)),MATCH(U41,INDIRECT(("'MemberID'!$G$6:G"&amp;MemberID!$C$1)),0))</f>
        <v>#NUM!</v>
      </c>
      <c r="W41" s="69" t="e">
        <f ca="1">INDEX(E$65:INDIRECT("E"&amp;$C$61),$T41)</f>
        <v>#NUM!</v>
      </c>
      <c r="X41" t="e">
        <f ca="1">INDEX(F$65:INDIRECT("F"&amp;$C$61),$T41)</f>
        <v>#NUM!</v>
      </c>
      <c r="Y41" t="e">
        <f ca="1">INDEX(G$65:INDIRECT("G"&amp;$C$61),$T41)</f>
        <v>#NUM!</v>
      </c>
      <c r="Z41" t="e">
        <f ca="1">INDEX(H$65:INDIRECT("H"&amp;$C$61),$T41)</f>
        <v>#NUM!</v>
      </c>
      <c r="AA41" t="e">
        <f ca="1">INDEX(I$65:INDIRECT("I"&amp;$C$61),$T41)</f>
        <v>#NUM!</v>
      </c>
      <c r="AB41" t="e">
        <f ca="1">INDEX(J$65:INDIRECT("J"&amp;$C$61),$T41)</f>
        <v>#NUM!</v>
      </c>
      <c r="AC41" t="e">
        <f ca="1">INDEX(K$65:INDIRECT("K"&amp;$C$61),$T41)</f>
        <v>#NUM!</v>
      </c>
      <c r="AD41" t="e">
        <f ca="1">INDEX(L$65:INDIRECT("L"&amp;$C$61),$T41)</f>
        <v>#NUM!</v>
      </c>
      <c r="AE41" s="23" t="e">
        <f t="array" aca="1" ref="AE41" ca="1">IF(ISBLANK($AE$11),SMALL(IF($E$65:INDIRECT("E"&amp;$C$61)=$AE$10,M$65:INDIRECT(AE$13&amp;$C$61)),$AH41),IF(ISBLANK($AE$10),SMALL(IF($D$65:INDIRECT("D"&amp;$C$61)=$AE$11,M$65:INDIRECT(AE$13&amp;$C$61)),$AH41),SMALL(IF(($E$65:INDIRECT("E"&amp;$C$61)=$AE$10)*($D$65:INDIRECT("D"&amp;$C$61)=$AE$11),M$65:INDIRECT(AE$13&amp;$C$61)),$AH41)))</f>
        <v>#NUM!</v>
      </c>
      <c r="AF41" t="e">
        <f ca="1">INDEX(N$65:INDIRECT("N"&amp;$C$61),$T41)</f>
        <v>#NUM!</v>
      </c>
      <c r="AG41" t="e">
        <f ca="1">INDEX(O$65:INDIRECT("O"&amp;$C$61),$T41)</f>
        <v>#NUM!</v>
      </c>
      <c r="AH41" s="69">
        <v>3</v>
      </c>
      <c r="AI41" s="69" t="str">
        <f t="shared" si="3"/>
        <v>M</v>
      </c>
      <c r="AJ41" s="69" t="str">
        <f t="shared" si="3"/>
        <v>T</v>
      </c>
      <c r="AL41" s="86"/>
    </row>
    <row r="42" spans="1:52" x14ac:dyDescent="0.25">
      <c r="A42" s="5"/>
      <c r="B42" s="69"/>
      <c r="C42" s="69"/>
      <c r="D42" s="69"/>
      <c r="E42" s="69"/>
      <c r="F42" s="69"/>
      <c r="K42" s="7"/>
      <c r="Q42" s="104"/>
      <c r="R42" s="5"/>
      <c r="S42" s="69"/>
      <c r="T42" s="69"/>
      <c r="V42" s="69"/>
      <c r="W42" s="69"/>
      <c r="AH42" s="69"/>
      <c r="AI42" s="69"/>
      <c r="AJ42" s="69"/>
    </row>
    <row r="43" spans="1:52" x14ac:dyDescent="0.25">
      <c r="A43" s="73" t="s">
        <v>69</v>
      </c>
      <c r="B43" s="69" t="s">
        <v>35</v>
      </c>
      <c r="C43" s="73" t="e">
        <f ca="1">N3</f>
        <v>#N/A</v>
      </c>
      <c r="D43" s="69" t="e">
        <f ca="1">INDEX(D$65:INDIRECT("D"&amp;$C$61),$C43)</f>
        <v>#N/A</v>
      </c>
      <c r="E43" s="69" t="e">
        <f ca="1">INDEX(INDIRECT(("'MemberID'!$C$6:C"&amp;MemberID!$C$1)),MATCH(D43,INDIRECT(("'MemberID'!$G$6:G"&amp;MemberID!$C$1)),0))</f>
        <v>#N/A</v>
      </c>
      <c r="F43" s="69" t="e">
        <f ca="1">INDEX(E$65:INDIRECT("E"&amp;$C$61),$C43)</f>
        <v>#N/A</v>
      </c>
      <c r="G43" t="e">
        <f ca="1">INDEX(F$65:INDIRECT("F"&amp;$C$61),$C43)</f>
        <v>#N/A</v>
      </c>
      <c r="H43" t="e">
        <f ca="1">INDEX(G$65:INDIRECT("G"&amp;$C$61),$C43)</f>
        <v>#N/A</v>
      </c>
      <c r="I43" t="e">
        <f ca="1">INDEX(H$65:INDIRECT("H"&amp;$C$61),$C43)</f>
        <v>#N/A</v>
      </c>
      <c r="J43" t="e">
        <f ca="1">INDEX(I$65:INDIRECT("I"&amp;$C$61),$C43)</f>
        <v>#N/A</v>
      </c>
      <c r="K43" s="7" t="e">
        <f ca="1">INDEX(J$65:INDIRECT("J"&amp;$C$61),$C43)</f>
        <v>#N/A</v>
      </c>
      <c r="L43" t="e">
        <f ca="1">INDEX(K$65:INDIRECT("K"&amp;$C$61),$C43)</f>
        <v>#N/A</v>
      </c>
      <c r="M43" t="e">
        <f ca="1">INDEX(L$65:INDIRECT("L"&amp;$C$61),$C43)</f>
        <v>#N/A</v>
      </c>
      <c r="N43" t="e">
        <f ca="1">INDEX(M$65:INDIRECT("M"&amp;$C$61),$C43)</f>
        <v>#N/A</v>
      </c>
      <c r="O43" s="23" t="e">
        <f ca="1">INDEX(N$65:INDIRECT("N"&amp;$C$61),$C43)</f>
        <v>#N/A</v>
      </c>
      <c r="P43" t="e">
        <f ca="1">INDEX(O$65:INDIRECT("O"&amp;$C$61),$C43)</f>
        <v>#N/A</v>
      </c>
      <c r="Q43" s="104"/>
      <c r="R43" s="73" t="s">
        <v>69</v>
      </c>
      <c r="S43" s="69" t="s">
        <v>35</v>
      </c>
      <c r="T43" s="73" t="e">
        <f t="array" aca="1" ref="T43" ca="1">MATCH(IF(ISBLANK($AE$11),LARGE(IF($E$65:INDIRECT("E"&amp;$C$61)=$AE$10,INDIRECT(AJ43&amp;65):INDIRECT(AJ43&amp;$C$61)),$AH43),IF(ISBLANK($AE$10),LARGE(IF($D$65:INDIRECT("D"&amp;$C$61)=$AE$11,INDIRECT(AJ43&amp;65):INDIRECT(AJ43&amp;$C$61)),$AH43),LARGE(IF(($E$65:INDIRECT("E"&amp;$C$61)=$AE$10)*($D$65:INDIRECT("D"&amp;$C$61)=$AE$11),INDIRECT(AJ43&amp;65):INDIRECT(AJ43&amp;$C$61)),$AH43))),INDIRECT(AJ43&amp;65):INDIRECT(AJ43&amp;$C$61),0)</f>
        <v>#NUM!</v>
      </c>
      <c r="U43" s="69" t="e">
        <f ca="1">INDEX(D$65:INDIRECT("D"&amp;$C$61),$T43)</f>
        <v>#NUM!</v>
      </c>
      <c r="V43" s="69" t="e">
        <f ca="1">INDEX(INDIRECT(("'MemberID'!$C$6:C"&amp;MemberID!$C$1)),MATCH(U43,INDIRECT(("'MemberID'!$G$6:G"&amp;MemberID!$C$1)),0))</f>
        <v>#NUM!</v>
      </c>
      <c r="W43" s="69" t="e">
        <f ca="1">INDEX(E$65:INDIRECT("E"&amp;$C$61),$T43)</f>
        <v>#NUM!</v>
      </c>
      <c r="X43" t="e">
        <f ca="1">INDEX(F$65:INDIRECT("F"&amp;$C$61),$T43)</f>
        <v>#NUM!</v>
      </c>
      <c r="Y43" t="e">
        <f ca="1">INDEX(G$65:INDIRECT("G"&amp;$C$61),$T43)</f>
        <v>#NUM!</v>
      </c>
      <c r="Z43" t="e">
        <f ca="1">INDEX(H$65:INDIRECT("H"&amp;$C$61),$T43)</f>
        <v>#NUM!</v>
      </c>
      <c r="AA43" t="e">
        <f ca="1">INDEX(I$65:INDIRECT("I"&amp;$C$61),$T43)</f>
        <v>#NUM!</v>
      </c>
      <c r="AB43" t="e">
        <f ca="1">INDEX(J$65:INDIRECT("J"&amp;$C$61),$T43)</f>
        <v>#NUM!</v>
      </c>
      <c r="AC43" t="e">
        <f ca="1">INDEX(K$65:INDIRECT("K"&amp;$C$61),$T43)</f>
        <v>#NUM!</v>
      </c>
      <c r="AD43" t="e">
        <f ca="1">INDEX(L$65:INDIRECT("L"&amp;$C$61),$T43)</f>
        <v>#NUM!</v>
      </c>
      <c r="AE43" t="e">
        <f ca="1">INDEX(M$65:INDIRECT("M"&amp;$C$61),$T43)</f>
        <v>#NUM!</v>
      </c>
      <c r="AF43" s="23" t="e">
        <f t="array" aca="1" ref="AF43" ca="1">IF(ISBLANK($AE$11),LARGE(IF($E$65:INDIRECT("E"&amp;$C$61)=$AE$10,N$65:INDIRECT(AF$13&amp;$C$61)),$AH43),IF(ISBLANK($AE$10),LARGE(IF($D$65:INDIRECT("D"&amp;$C$61)=$AE$11,N$65:INDIRECT(AF$13&amp;$C$61)),$AH43),LARGE(IF(($E$65:INDIRECT("E"&amp;$C$61)=$AE$10)*($D$65:INDIRECT("D"&amp;$C$61)=$AE$11),N$65:INDIRECT(AF$13&amp;$C$61)),$AH43)))</f>
        <v>#NUM!</v>
      </c>
      <c r="AG43" t="e">
        <f ca="1">INDEX(O$65:INDIRECT("O"&amp;$C$61),$T43)</f>
        <v>#NUM!</v>
      </c>
      <c r="AH43" s="69">
        <v>1</v>
      </c>
      <c r="AI43" s="69" t="s">
        <v>154</v>
      </c>
      <c r="AJ43" s="69" t="s">
        <v>196</v>
      </c>
    </row>
    <row r="44" spans="1:52" x14ac:dyDescent="0.25">
      <c r="A44" s="73" t="s">
        <v>70</v>
      </c>
      <c r="B44" s="69" t="s">
        <v>35</v>
      </c>
      <c r="C44" s="73" t="e">
        <f ca="1">V3</f>
        <v>#NUM!</v>
      </c>
      <c r="D44" s="69" t="e">
        <f ca="1">INDEX(D$65:INDIRECT("D"&amp;$C$61),$C44)</f>
        <v>#NUM!</v>
      </c>
      <c r="E44" s="69" t="e">
        <f ca="1">INDEX(INDIRECT(("'MemberID'!$C$6:C"&amp;MemberID!$C$1)),MATCH(D44,INDIRECT(("'MemberID'!$G$6:G"&amp;MemberID!$C$1)),0))</f>
        <v>#NUM!</v>
      </c>
      <c r="F44" s="69" t="e">
        <f ca="1">INDEX(E$65:INDIRECT("E"&amp;$C$61),$C44)</f>
        <v>#NUM!</v>
      </c>
      <c r="G44" t="e">
        <f ca="1">INDEX(F$65:INDIRECT("F"&amp;$C$61),$C44)</f>
        <v>#NUM!</v>
      </c>
      <c r="H44" t="e">
        <f ca="1">INDEX(G$65:INDIRECT("G"&amp;$C$61),$C44)</f>
        <v>#NUM!</v>
      </c>
      <c r="I44" t="e">
        <f ca="1">INDEX(H$65:INDIRECT("H"&amp;$C$61),$C44)</f>
        <v>#NUM!</v>
      </c>
      <c r="J44" t="e">
        <f ca="1">INDEX(I$65:INDIRECT("I"&amp;$C$61),$C44)</f>
        <v>#NUM!</v>
      </c>
      <c r="K44" s="7" t="e">
        <f ca="1">INDEX(J$65:INDIRECT("J"&amp;$C$61),$C44)</f>
        <v>#NUM!</v>
      </c>
      <c r="L44" t="e">
        <f ca="1">INDEX(K$65:INDIRECT("K"&amp;$C$61),$C44)</f>
        <v>#NUM!</v>
      </c>
      <c r="M44" t="e">
        <f ca="1">INDEX(L$65:INDIRECT("L"&amp;$C$61),$C44)</f>
        <v>#NUM!</v>
      </c>
      <c r="N44" t="e">
        <f ca="1">INDEX(M$65:INDIRECT("M"&amp;$C$61),$C44)</f>
        <v>#NUM!</v>
      </c>
      <c r="O44" s="23" t="e">
        <f ca="1">INDEX(N$65:INDIRECT("N"&amp;$C$61),$C44)</f>
        <v>#NUM!</v>
      </c>
      <c r="P44" t="e">
        <f ca="1">INDEX(O$65:INDIRECT("O"&amp;$C$61),$C44)</f>
        <v>#NUM!</v>
      </c>
      <c r="Q44" s="104"/>
      <c r="R44" s="73" t="s">
        <v>70</v>
      </c>
      <c r="S44" s="69" t="s">
        <v>35</v>
      </c>
      <c r="T44" s="73" t="e">
        <f t="array" aca="1" ref="T44" ca="1">MATCH(IF(ISBLANK($AE$11),LARGE(IF($E$65:INDIRECT("E"&amp;$C$61)=$AE$10,INDIRECT(AJ44&amp;65):INDIRECT(AJ44&amp;$C$61)),$AH44),IF(ISBLANK($AE$10),LARGE(IF($D$65:INDIRECT("D"&amp;$C$61)=$AE$11,INDIRECT(AJ44&amp;65):INDIRECT(AJ44&amp;$C$61)),$AH44),LARGE(IF(($E$65:INDIRECT("E"&amp;$C$61)=$AE$10)*($D$65:INDIRECT("D"&amp;$C$61)=$AE$11),INDIRECT(AJ44&amp;65):INDIRECT(AJ44&amp;$C$61)),$AH44))),INDIRECT(AJ44&amp;65):INDIRECT(AJ44&amp;$C$61),0)</f>
        <v>#NUM!</v>
      </c>
      <c r="U44" s="69" t="e">
        <f ca="1">INDEX(D$65:INDIRECT("D"&amp;$C$61),$T44)</f>
        <v>#NUM!</v>
      </c>
      <c r="V44" s="69" t="e">
        <f ca="1">INDEX(INDIRECT(("'MemberID'!$C$6:C"&amp;MemberID!$C$1)),MATCH(U44,INDIRECT(("'MemberID'!$G$6:G"&amp;MemberID!$C$1)),0))</f>
        <v>#NUM!</v>
      </c>
      <c r="W44" s="69" t="e">
        <f ca="1">INDEX(E$65:INDIRECT("E"&amp;$C$61),$T44)</f>
        <v>#NUM!</v>
      </c>
      <c r="X44" t="e">
        <f ca="1">INDEX(F$65:INDIRECT("F"&amp;$C$61),$T44)</f>
        <v>#NUM!</v>
      </c>
      <c r="Y44" t="e">
        <f ca="1">INDEX(G$65:INDIRECT("G"&amp;$C$61),$T44)</f>
        <v>#NUM!</v>
      </c>
      <c r="Z44" t="e">
        <f ca="1">INDEX(H$65:INDIRECT("H"&amp;$C$61),$T44)</f>
        <v>#NUM!</v>
      </c>
      <c r="AA44" t="e">
        <f ca="1">INDEX(I$65:INDIRECT("I"&amp;$C$61),$T44)</f>
        <v>#NUM!</v>
      </c>
      <c r="AB44" t="e">
        <f ca="1">INDEX(J$65:INDIRECT("J"&amp;$C$61),$T44)</f>
        <v>#NUM!</v>
      </c>
      <c r="AC44" t="e">
        <f ca="1">INDEX(K$65:INDIRECT("K"&amp;$C$61),$T44)</f>
        <v>#NUM!</v>
      </c>
      <c r="AD44" t="e">
        <f ca="1">INDEX(L$65:INDIRECT("L"&amp;$C$61),$T44)</f>
        <v>#NUM!</v>
      </c>
      <c r="AE44" t="e">
        <f ca="1">INDEX(M$65:INDIRECT("M"&amp;$C$61),$T44)</f>
        <v>#NUM!</v>
      </c>
      <c r="AF44" s="23" t="e">
        <f t="array" aca="1" ref="AF44" ca="1">IF(ISBLANK($AE$11),LARGE(IF($E$65:INDIRECT("E"&amp;$C$61)=$AE$10,N$65:INDIRECT(AF$13&amp;$C$61)),$AH44),IF(ISBLANK($AE$10),LARGE(IF($D$65:INDIRECT("D"&amp;$C$61)=$AE$11,N$65:INDIRECT(AF$13&amp;$C$61)),$AH44),LARGE(IF(($E$65:INDIRECT("E"&amp;$C$61)=$AE$10)*($D$65:INDIRECT("D"&amp;$C$61)=$AE$11),N$65:INDIRECT(AF$13&amp;$C$61)),$AH44)))</f>
        <v>#NUM!</v>
      </c>
      <c r="AG44" t="e">
        <f ca="1">INDEX(O$65:INDIRECT("O"&amp;$C$61),$T44)</f>
        <v>#NUM!</v>
      </c>
      <c r="AH44" s="69">
        <v>2</v>
      </c>
      <c r="AI44" s="69" t="str">
        <f>AI43</f>
        <v>N</v>
      </c>
      <c r="AJ44" s="69" t="str">
        <f>AJ43</f>
        <v>U</v>
      </c>
    </row>
    <row r="45" spans="1:52" x14ac:dyDescent="0.25">
      <c r="A45" s="73" t="s">
        <v>71</v>
      </c>
      <c r="B45" s="69" t="s">
        <v>35</v>
      </c>
      <c r="C45" s="73" t="e">
        <f ca="1">AD3</f>
        <v>#NUM!</v>
      </c>
      <c r="D45" s="69" t="e">
        <f ca="1">INDEX(D$65:INDIRECT("D"&amp;$C$61),$C45)</f>
        <v>#NUM!</v>
      </c>
      <c r="E45" s="69" t="e">
        <f ca="1">INDEX(INDIRECT(("'MemberID'!$C$6:C"&amp;MemberID!$C$1)),MATCH(D45,INDIRECT(("'MemberID'!$G$6:G"&amp;MemberID!$C$1)),0))</f>
        <v>#NUM!</v>
      </c>
      <c r="F45" s="69" t="e">
        <f ca="1">INDEX(E$65:INDIRECT("E"&amp;$C$61),$C45)</f>
        <v>#NUM!</v>
      </c>
      <c r="G45" t="e">
        <f ca="1">INDEX(F$65:INDIRECT("F"&amp;$C$61),$C45)</f>
        <v>#NUM!</v>
      </c>
      <c r="H45" t="e">
        <f ca="1">INDEX(G$65:INDIRECT("G"&amp;$C$61),$C45)</f>
        <v>#NUM!</v>
      </c>
      <c r="I45" t="e">
        <f ca="1">INDEX(H$65:INDIRECT("H"&amp;$C$61),$C45)</f>
        <v>#NUM!</v>
      </c>
      <c r="J45" t="e">
        <f ca="1">INDEX(I$65:INDIRECT("I"&amp;$C$61),$C45)</f>
        <v>#NUM!</v>
      </c>
      <c r="K45" s="7" t="e">
        <f ca="1">INDEX(J$65:INDIRECT("J"&amp;$C$61),$C45)</f>
        <v>#NUM!</v>
      </c>
      <c r="L45" t="e">
        <f ca="1">INDEX(K$65:INDIRECT("K"&amp;$C$61),$C45)</f>
        <v>#NUM!</v>
      </c>
      <c r="M45" t="e">
        <f ca="1">INDEX(L$65:INDIRECT("L"&amp;$C$61),$C45)</f>
        <v>#NUM!</v>
      </c>
      <c r="N45" t="e">
        <f ca="1">INDEX(M$65:INDIRECT("M"&amp;$C$61),$C45)</f>
        <v>#NUM!</v>
      </c>
      <c r="O45" s="23" t="e">
        <f ca="1">INDEX(N$65:INDIRECT("N"&amp;$C$61),$C45)</f>
        <v>#NUM!</v>
      </c>
      <c r="P45" t="e">
        <f ca="1">INDEX(O$65:INDIRECT("O"&amp;$C$61),$C45)</f>
        <v>#NUM!</v>
      </c>
      <c r="Q45" s="104"/>
      <c r="R45" s="73" t="s">
        <v>71</v>
      </c>
      <c r="S45" s="69" t="s">
        <v>35</v>
      </c>
      <c r="T45" s="73" t="e">
        <f t="array" aca="1" ref="T45" ca="1">MATCH(IF(ISBLANK($AE$11),LARGE(IF($E$65:INDIRECT("E"&amp;$C$61)=$AE$10,INDIRECT(AJ45&amp;65):INDIRECT(AJ45&amp;$C$61)),$AH45),IF(ISBLANK($AE$10),LARGE(IF($D$65:INDIRECT("D"&amp;$C$61)=$AE$11,INDIRECT(AJ45&amp;65):INDIRECT(AJ45&amp;$C$61)),$AH45),LARGE(IF(($E$65:INDIRECT("E"&amp;$C$61)=$AE$10)*($D$65:INDIRECT("D"&amp;$C$61)=$AE$11),INDIRECT(AJ45&amp;65):INDIRECT(AJ45&amp;$C$61)),$AH45))),INDIRECT(AJ45&amp;65):INDIRECT(AJ45&amp;$C$61),0)</f>
        <v>#NUM!</v>
      </c>
      <c r="U45" s="69" t="e">
        <f ca="1">INDEX(D$65:INDIRECT("D"&amp;$C$61),$T45)</f>
        <v>#NUM!</v>
      </c>
      <c r="V45" s="69" t="e">
        <f ca="1">INDEX(INDIRECT(("'MemberID'!$C$6:C"&amp;MemberID!$C$1)),MATCH(U45,INDIRECT(("'MemberID'!$G$6:G"&amp;MemberID!$C$1)),0))</f>
        <v>#NUM!</v>
      </c>
      <c r="W45" s="69" t="e">
        <f ca="1">INDEX(E$65:INDIRECT("E"&amp;$C$61),$T45)</f>
        <v>#NUM!</v>
      </c>
      <c r="X45" t="e">
        <f ca="1">INDEX(F$65:INDIRECT("F"&amp;$C$61),$T45)</f>
        <v>#NUM!</v>
      </c>
      <c r="Y45" t="e">
        <f ca="1">INDEX(G$65:INDIRECT("G"&amp;$C$61),$T45)</f>
        <v>#NUM!</v>
      </c>
      <c r="Z45" t="e">
        <f ca="1">INDEX(H$65:INDIRECT("H"&amp;$C$61),$T45)</f>
        <v>#NUM!</v>
      </c>
      <c r="AA45" t="e">
        <f ca="1">INDEX(I$65:INDIRECT("I"&amp;$C$61),$T45)</f>
        <v>#NUM!</v>
      </c>
      <c r="AB45" t="e">
        <f ca="1">INDEX(J$65:INDIRECT("J"&amp;$C$61),$T45)</f>
        <v>#NUM!</v>
      </c>
      <c r="AC45" t="e">
        <f ca="1">INDEX(K$65:INDIRECT("K"&amp;$C$61),$T45)</f>
        <v>#NUM!</v>
      </c>
      <c r="AD45" t="e">
        <f ca="1">INDEX(L$65:INDIRECT("L"&amp;$C$61),$T45)</f>
        <v>#NUM!</v>
      </c>
      <c r="AE45" t="e">
        <f ca="1">INDEX(M$65:INDIRECT("M"&amp;$C$61),$T45)</f>
        <v>#NUM!</v>
      </c>
      <c r="AF45" s="23" t="e">
        <f t="array" aca="1" ref="AF45" ca="1">IF(ISBLANK($AE$11),LARGE(IF($E$65:INDIRECT("E"&amp;$C$61)=$AE$10,N$65:INDIRECT(AF$13&amp;$C$61)),$AH45),IF(ISBLANK($AE$10),LARGE(IF($D$65:INDIRECT("D"&amp;$C$61)=$AE$11,N$65:INDIRECT(AF$13&amp;$C$61)),$AH45),LARGE(IF(($E$65:INDIRECT("E"&amp;$C$61)=$AE$10)*($D$65:INDIRECT("D"&amp;$C$61)=$AE$11),N$65:INDIRECT(AF$13&amp;$C$61)),$AH45)))</f>
        <v>#NUM!</v>
      </c>
      <c r="AG45" t="e">
        <f ca="1">INDEX(O$65:INDIRECT("O"&amp;$C$61),$T45)</f>
        <v>#NUM!</v>
      </c>
      <c r="AH45" s="69">
        <v>3</v>
      </c>
      <c r="AI45" s="69" t="str">
        <f t="shared" ref="AI45:AJ48" si="4">AI44</f>
        <v>N</v>
      </c>
      <c r="AJ45" s="69" t="str">
        <f t="shared" si="4"/>
        <v>U</v>
      </c>
    </row>
    <row r="46" spans="1:52" x14ac:dyDescent="0.25">
      <c r="A46" s="74" t="s">
        <v>72</v>
      </c>
      <c r="B46" s="69" t="s">
        <v>35</v>
      </c>
      <c r="C46" s="74" t="e">
        <f ca="1">N6</f>
        <v>#N/A</v>
      </c>
      <c r="D46" s="69" t="e">
        <f ca="1">INDEX(D$65:INDIRECT("D"&amp;$C$61),$C46)</f>
        <v>#N/A</v>
      </c>
      <c r="E46" s="69" t="e">
        <f ca="1">INDEX(INDIRECT(("'MemberID'!$C$6:C"&amp;MemberID!$C$1)),MATCH(D46,INDIRECT(("'MemberID'!$G$6:G"&amp;MemberID!$C$1)),0))</f>
        <v>#N/A</v>
      </c>
      <c r="F46" s="69" t="e">
        <f ca="1">INDEX(E$65:INDIRECT("E"&amp;$C$61),$C46)</f>
        <v>#N/A</v>
      </c>
      <c r="G46" t="e">
        <f ca="1">INDEX(F$65:INDIRECT("F"&amp;$C$61),$C46)</f>
        <v>#N/A</v>
      </c>
      <c r="H46" t="e">
        <f ca="1">INDEX(G$65:INDIRECT("G"&amp;$C$61),$C46)</f>
        <v>#N/A</v>
      </c>
      <c r="I46" t="e">
        <f ca="1">INDEX(H$65:INDIRECT("H"&amp;$C$61),$C46)</f>
        <v>#N/A</v>
      </c>
      <c r="J46" t="e">
        <f ca="1">INDEX(I$65:INDIRECT("I"&amp;$C$61),$C46)</f>
        <v>#N/A</v>
      </c>
      <c r="K46" s="7" t="e">
        <f ca="1">INDEX(J$65:INDIRECT("J"&amp;$C$61),$C46)</f>
        <v>#N/A</v>
      </c>
      <c r="L46" t="e">
        <f ca="1">INDEX(K$65:INDIRECT("K"&amp;$C$61),$C46)</f>
        <v>#N/A</v>
      </c>
      <c r="M46" t="e">
        <f ca="1">INDEX(L$65:INDIRECT("L"&amp;$C$61),$C46)</f>
        <v>#N/A</v>
      </c>
      <c r="N46" t="e">
        <f ca="1">INDEX(M$65:INDIRECT("M"&amp;$C$61),$C46)</f>
        <v>#N/A</v>
      </c>
      <c r="O46" s="23" t="e">
        <f ca="1">INDEX(N$65:INDIRECT("N"&amp;$C$61),$C46)</f>
        <v>#N/A</v>
      </c>
      <c r="P46" t="e">
        <f ca="1">INDEX(O$65:INDIRECT("O"&amp;$C$61),$C46)</f>
        <v>#N/A</v>
      </c>
      <c r="Q46" s="104"/>
      <c r="R46" s="74" t="s">
        <v>72</v>
      </c>
      <c r="S46" s="69" t="s">
        <v>35</v>
      </c>
      <c r="T46" s="74" t="e">
        <f t="array" aca="1" ref="T46" ca="1">MATCH(IF(ISBLANK($AE$11),SMALL(IF($E$65:INDIRECT("E"&amp;$C$61)=$AE$10,INDIRECT(AJ46&amp;65):INDIRECT(AJ46&amp;$C$61)),$AH46),IF(ISBLANK($AE$10),SMALL(IF($D$65:INDIRECT("D"&amp;$C$61)=$AE$11,INDIRECT(AJ46&amp;65):INDIRECT(AJ46&amp;$C$61)),$AH46),SMALL(IF(($E$65:INDIRECT("E"&amp;$C$61)=$AE$10)*($D$65:INDIRECT("D"&amp;$C$61)=$AE$11),INDIRECT(AJ46&amp;65):INDIRECT(AJ46&amp;$C$61)),$AH46))),INDIRECT(AJ46&amp;65):INDIRECT(AJ46&amp;$C$61),0)</f>
        <v>#NUM!</v>
      </c>
      <c r="U46" s="69" t="e">
        <f ca="1">INDEX(D$65:INDIRECT("D"&amp;$C$61),$T46)</f>
        <v>#NUM!</v>
      </c>
      <c r="V46" s="69" t="e">
        <f ca="1">INDEX(INDIRECT(("'MemberID'!$C$6:C"&amp;MemberID!$C$1)),MATCH(U46,INDIRECT(("'MemberID'!$G$6:G"&amp;MemberID!$C$1)),0))</f>
        <v>#NUM!</v>
      </c>
      <c r="W46" s="69" t="e">
        <f ca="1">INDEX(E$65:INDIRECT("E"&amp;$C$61),$T46)</f>
        <v>#NUM!</v>
      </c>
      <c r="X46" t="e">
        <f ca="1">INDEX(F$65:INDIRECT("F"&amp;$C$61),$T46)</f>
        <v>#NUM!</v>
      </c>
      <c r="Y46" t="e">
        <f ca="1">INDEX(G$65:INDIRECT("G"&amp;$C$61),$T46)</f>
        <v>#NUM!</v>
      </c>
      <c r="Z46" t="e">
        <f ca="1">INDEX(H$65:INDIRECT("H"&amp;$C$61),$T46)</f>
        <v>#NUM!</v>
      </c>
      <c r="AA46" t="e">
        <f ca="1">INDEX(I$65:INDIRECT("I"&amp;$C$61),$T46)</f>
        <v>#NUM!</v>
      </c>
      <c r="AB46" t="e">
        <f ca="1">INDEX(J$65:INDIRECT("J"&amp;$C$61),$T46)</f>
        <v>#NUM!</v>
      </c>
      <c r="AC46" t="e">
        <f ca="1">INDEX(K$65:INDIRECT("K"&amp;$C$61),$T46)</f>
        <v>#NUM!</v>
      </c>
      <c r="AD46" t="e">
        <f ca="1">INDEX(L$65:INDIRECT("L"&amp;$C$61),$T46)</f>
        <v>#NUM!</v>
      </c>
      <c r="AE46" t="e">
        <f ca="1">INDEX(M$65:INDIRECT("M"&amp;$C$61),$T46)</f>
        <v>#NUM!</v>
      </c>
      <c r="AF46" s="23" t="e">
        <f t="array" aca="1" ref="AF46" ca="1">IF(ISBLANK($AE$11),SMALL(IF($E$65:INDIRECT("E"&amp;$C$61)=$AE$10,N$65:INDIRECT(AF$13&amp;$C$61)),$AH46),IF(ISBLANK($AE$10),SMALL(IF($D$65:INDIRECT("D"&amp;$C$61)=$AE$11,N$65:INDIRECT(AF$13&amp;$C$61)),$AH46),SMALL(IF(($E$65:INDIRECT("E"&amp;$C$61)=$AE$10)*($D$65:INDIRECT("D"&amp;$C$61)=$AE$11),N$65:INDIRECT(AF$13&amp;$C$61)),$AH46)))</f>
        <v>#NUM!</v>
      </c>
      <c r="AG46" t="e">
        <f ca="1">INDEX(O$65:INDIRECT("O"&amp;$C$61),$T46)</f>
        <v>#NUM!</v>
      </c>
      <c r="AH46" s="69">
        <v>1</v>
      </c>
      <c r="AI46" s="69" t="str">
        <f t="shared" si="4"/>
        <v>N</v>
      </c>
      <c r="AJ46" s="69" t="str">
        <f t="shared" si="4"/>
        <v>U</v>
      </c>
    </row>
    <row r="47" spans="1:52" x14ac:dyDescent="0.25">
      <c r="A47" s="74" t="s">
        <v>73</v>
      </c>
      <c r="B47" s="69" t="s">
        <v>35</v>
      </c>
      <c r="C47" s="74" t="e">
        <f ca="1">V6</f>
        <v>#NUM!</v>
      </c>
      <c r="D47" s="69" t="e">
        <f ca="1">INDEX(D$65:INDIRECT("D"&amp;$C$61),$C47)</f>
        <v>#NUM!</v>
      </c>
      <c r="E47" s="69" t="e">
        <f ca="1">INDEX(INDIRECT(("'MemberID'!$C$6:C"&amp;MemberID!$C$1)),MATCH(D47,INDIRECT(("'MemberID'!$G$6:G"&amp;MemberID!$C$1)),0))</f>
        <v>#NUM!</v>
      </c>
      <c r="F47" s="69" t="e">
        <f ca="1">INDEX(E$65:INDIRECT("E"&amp;$C$61),$C47)</f>
        <v>#NUM!</v>
      </c>
      <c r="G47" t="e">
        <f ca="1">INDEX(F$65:INDIRECT("F"&amp;$C$61),$C47)</f>
        <v>#NUM!</v>
      </c>
      <c r="H47" t="e">
        <f ca="1">INDEX(G$65:INDIRECT("G"&amp;$C$61),$C47)</f>
        <v>#NUM!</v>
      </c>
      <c r="I47" t="e">
        <f ca="1">INDEX(H$65:INDIRECT("H"&amp;$C$61),$C47)</f>
        <v>#NUM!</v>
      </c>
      <c r="J47" t="e">
        <f ca="1">INDEX(I$65:INDIRECT("I"&amp;$C$61),$C47)</f>
        <v>#NUM!</v>
      </c>
      <c r="K47" s="7" t="e">
        <f ca="1">INDEX(J$65:INDIRECT("J"&amp;$C$61),$C47)</f>
        <v>#NUM!</v>
      </c>
      <c r="L47" t="e">
        <f ca="1">INDEX(K$65:INDIRECT("K"&amp;$C$61),$C47)</f>
        <v>#NUM!</v>
      </c>
      <c r="M47" t="e">
        <f ca="1">INDEX(L$65:INDIRECT("L"&amp;$C$61),$C47)</f>
        <v>#NUM!</v>
      </c>
      <c r="N47" t="e">
        <f ca="1">INDEX(M$65:INDIRECT("M"&amp;$C$61),$C47)</f>
        <v>#NUM!</v>
      </c>
      <c r="O47" s="23" t="e">
        <f ca="1">INDEX(N$65:INDIRECT("N"&amp;$C$61),$C47)</f>
        <v>#NUM!</v>
      </c>
      <c r="P47" t="e">
        <f ca="1">INDEX(O$65:INDIRECT("O"&amp;$C$61),$C47)</f>
        <v>#NUM!</v>
      </c>
      <c r="Q47" s="104"/>
      <c r="R47" s="74" t="s">
        <v>73</v>
      </c>
      <c r="S47" s="69" t="s">
        <v>35</v>
      </c>
      <c r="T47" s="74" t="e">
        <f t="array" aca="1" ref="T47" ca="1">MATCH(IF(ISBLANK($AE$11),SMALL(IF($E$65:INDIRECT("E"&amp;$C$61)=$AE$10,INDIRECT(AJ47&amp;65):INDIRECT(AJ47&amp;$C$61)),$AH47),IF(ISBLANK($AE$10),SMALL(IF($D$65:INDIRECT("D"&amp;$C$61)=$AE$11,INDIRECT(AJ47&amp;65):INDIRECT(AJ47&amp;$C$61)),$AH47),SMALL(IF(($E$65:INDIRECT("E"&amp;$C$61)=$AE$10)*($D$65:INDIRECT("D"&amp;$C$61)=$AE$11),INDIRECT(AJ47&amp;65):INDIRECT(AJ47&amp;$C$61)),$AH47))),INDIRECT(AJ47&amp;65):INDIRECT(AJ47&amp;$C$61),0)</f>
        <v>#NUM!</v>
      </c>
      <c r="U47" s="69" t="e">
        <f ca="1">INDEX(D$65:INDIRECT("D"&amp;$C$61),$T47)</f>
        <v>#NUM!</v>
      </c>
      <c r="V47" s="69" t="e">
        <f ca="1">INDEX(INDIRECT(("'MemberID'!$C$6:C"&amp;MemberID!$C$1)),MATCH(U47,INDIRECT(("'MemberID'!$G$6:G"&amp;MemberID!$C$1)),0))</f>
        <v>#NUM!</v>
      </c>
      <c r="W47" s="69" t="e">
        <f ca="1">INDEX(E$65:INDIRECT("E"&amp;$C$61),$T47)</f>
        <v>#NUM!</v>
      </c>
      <c r="X47" t="e">
        <f ca="1">INDEX(F$65:INDIRECT("F"&amp;$C$61),$T47)</f>
        <v>#NUM!</v>
      </c>
      <c r="Y47" t="e">
        <f ca="1">INDEX(G$65:INDIRECT("G"&amp;$C$61),$T47)</f>
        <v>#NUM!</v>
      </c>
      <c r="Z47" t="e">
        <f ca="1">INDEX(H$65:INDIRECT("H"&amp;$C$61),$T47)</f>
        <v>#NUM!</v>
      </c>
      <c r="AA47" t="e">
        <f ca="1">INDEX(I$65:INDIRECT("I"&amp;$C$61),$T47)</f>
        <v>#NUM!</v>
      </c>
      <c r="AB47" t="e">
        <f ca="1">INDEX(J$65:INDIRECT("J"&amp;$C$61),$T47)</f>
        <v>#NUM!</v>
      </c>
      <c r="AC47" t="e">
        <f ca="1">INDEX(K$65:INDIRECT("K"&amp;$C$61),$T47)</f>
        <v>#NUM!</v>
      </c>
      <c r="AD47" t="e">
        <f ca="1">INDEX(L$65:INDIRECT("L"&amp;$C$61),$T47)</f>
        <v>#NUM!</v>
      </c>
      <c r="AE47" t="e">
        <f ca="1">INDEX(M$65:INDIRECT("M"&amp;$C$61),$T47)</f>
        <v>#NUM!</v>
      </c>
      <c r="AF47" s="23" t="e">
        <f t="array" aca="1" ref="AF47" ca="1">IF(ISBLANK($AE$11),SMALL(IF($E$65:INDIRECT("E"&amp;$C$61)=$AE$10,N$65:INDIRECT(AF$13&amp;$C$61)),$AH47),IF(ISBLANK($AE$10),SMALL(IF($D$65:INDIRECT("D"&amp;$C$61)=$AE$11,N$65:INDIRECT(AF$13&amp;$C$61)),$AH47),SMALL(IF(($E$65:INDIRECT("E"&amp;$C$61)=$AE$10)*($D$65:INDIRECT("D"&amp;$C$61)=$AE$11),N$65:INDIRECT(AF$13&amp;$C$61)),$AH47)))</f>
        <v>#NUM!</v>
      </c>
      <c r="AG47" t="e">
        <f ca="1">INDEX(O$65:INDIRECT("O"&amp;$C$61),$T47)</f>
        <v>#NUM!</v>
      </c>
      <c r="AH47" s="69">
        <v>2</v>
      </c>
      <c r="AI47" s="69" t="str">
        <f t="shared" si="4"/>
        <v>N</v>
      </c>
      <c r="AJ47" s="69" t="str">
        <f t="shared" si="4"/>
        <v>U</v>
      </c>
    </row>
    <row r="48" spans="1:52" x14ac:dyDescent="0.25">
      <c r="A48" s="74" t="s">
        <v>74</v>
      </c>
      <c r="B48" s="69" t="s">
        <v>35</v>
      </c>
      <c r="C48" s="74" t="e">
        <f ca="1">AD6</f>
        <v>#NUM!</v>
      </c>
      <c r="D48" s="69" t="e">
        <f ca="1">INDEX(D$65:INDIRECT("D"&amp;$C$61),$C48)</f>
        <v>#NUM!</v>
      </c>
      <c r="E48" s="69" t="e">
        <f ca="1">INDEX(INDIRECT(("'MemberID'!$C$6:C"&amp;MemberID!$C$1)),MATCH(D48,INDIRECT(("'MemberID'!$G$6:G"&amp;MemberID!$C$1)),0))</f>
        <v>#NUM!</v>
      </c>
      <c r="F48" s="69" t="e">
        <f ca="1">INDEX(E$65:INDIRECT("E"&amp;$C$61),$C48)</f>
        <v>#NUM!</v>
      </c>
      <c r="G48" t="e">
        <f ca="1">INDEX(F$65:INDIRECT("F"&amp;$C$61),$C48)</f>
        <v>#NUM!</v>
      </c>
      <c r="H48" t="e">
        <f ca="1">INDEX(G$65:INDIRECT("G"&amp;$C$61),$C48)</f>
        <v>#NUM!</v>
      </c>
      <c r="I48" t="e">
        <f ca="1">INDEX(H$65:INDIRECT("H"&amp;$C$61),$C48)</f>
        <v>#NUM!</v>
      </c>
      <c r="J48" t="e">
        <f ca="1">INDEX(I$65:INDIRECT("I"&amp;$C$61),$C48)</f>
        <v>#NUM!</v>
      </c>
      <c r="K48" s="7" t="e">
        <f ca="1">INDEX(J$65:INDIRECT("J"&amp;$C$61),$C48)</f>
        <v>#NUM!</v>
      </c>
      <c r="L48" t="e">
        <f ca="1">INDEX(K$65:INDIRECT("K"&amp;$C$61),$C48)</f>
        <v>#NUM!</v>
      </c>
      <c r="M48" t="e">
        <f ca="1">INDEX(L$65:INDIRECT("L"&amp;$C$61),$C48)</f>
        <v>#NUM!</v>
      </c>
      <c r="N48" t="e">
        <f ca="1">INDEX(M$65:INDIRECT("M"&amp;$C$61),$C48)</f>
        <v>#NUM!</v>
      </c>
      <c r="O48" s="23" t="e">
        <f ca="1">INDEX(N$65:INDIRECT("N"&amp;$C$61),$C48)</f>
        <v>#NUM!</v>
      </c>
      <c r="P48" t="e">
        <f ca="1">INDEX(O$65:INDIRECT("O"&amp;$C$61),$C48)</f>
        <v>#NUM!</v>
      </c>
      <c r="Q48" s="104"/>
      <c r="R48" s="74" t="s">
        <v>74</v>
      </c>
      <c r="S48" s="69" t="s">
        <v>35</v>
      </c>
      <c r="T48" s="74" t="e">
        <f t="array" aca="1" ref="T48" ca="1">MATCH(IF(ISBLANK($AE$11),SMALL(IF($E$65:INDIRECT("E"&amp;$C$61)=$AE$10,INDIRECT(AJ48&amp;65):INDIRECT(AJ48&amp;$C$61)),$AH48),IF(ISBLANK($AE$10),SMALL(IF($D$65:INDIRECT("D"&amp;$C$61)=$AE$11,INDIRECT(AJ48&amp;65):INDIRECT(AJ48&amp;$C$61)),$AH48),SMALL(IF(($E$65:INDIRECT("E"&amp;$C$61)=$AE$10)*($D$65:INDIRECT("D"&amp;$C$61)=$AE$11),INDIRECT(AJ48&amp;65):INDIRECT(AJ48&amp;$C$61)),$AH48))),INDIRECT(AJ48&amp;65):INDIRECT(AJ48&amp;$C$61),0)</f>
        <v>#NUM!</v>
      </c>
      <c r="U48" s="69" t="e">
        <f ca="1">INDEX(D$65:INDIRECT("D"&amp;$C$61),$T48)</f>
        <v>#NUM!</v>
      </c>
      <c r="V48" s="69" t="e">
        <f ca="1">INDEX(INDIRECT(("'MemberID'!$C$6:C"&amp;MemberID!$C$1)),MATCH(U48,INDIRECT(("'MemberID'!$G$6:G"&amp;MemberID!$C$1)),0))</f>
        <v>#NUM!</v>
      </c>
      <c r="W48" s="69" t="e">
        <f ca="1">INDEX(E$65:INDIRECT("E"&amp;$C$61),$T48)</f>
        <v>#NUM!</v>
      </c>
      <c r="X48" t="e">
        <f ca="1">INDEX(F$65:INDIRECT("F"&amp;$C$61),$T48)</f>
        <v>#NUM!</v>
      </c>
      <c r="Y48" t="e">
        <f ca="1">INDEX(G$65:INDIRECT("G"&amp;$C$61),$T48)</f>
        <v>#NUM!</v>
      </c>
      <c r="Z48" t="e">
        <f ca="1">INDEX(H$65:INDIRECT("H"&amp;$C$61),$T48)</f>
        <v>#NUM!</v>
      </c>
      <c r="AA48" t="e">
        <f ca="1">INDEX(I$65:INDIRECT("I"&amp;$C$61),$T48)</f>
        <v>#NUM!</v>
      </c>
      <c r="AB48" t="e">
        <f ca="1">INDEX(J$65:INDIRECT("J"&amp;$C$61),$T48)</f>
        <v>#NUM!</v>
      </c>
      <c r="AC48" t="e">
        <f ca="1">INDEX(K$65:INDIRECT("K"&amp;$C$61),$T48)</f>
        <v>#NUM!</v>
      </c>
      <c r="AD48" t="e">
        <f ca="1">INDEX(L$65:INDIRECT("L"&amp;$C$61),$T48)</f>
        <v>#NUM!</v>
      </c>
      <c r="AE48" t="e">
        <f ca="1">INDEX(M$65:INDIRECT("M"&amp;$C$61),$T48)</f>
        <v>#NUM!</v>
      </c>
      <c r="AF48" s="23" t="e">
        <f t="array" aca="1" ref="AF48" ca="1">IF(ISBLANK($AE$11),SMALL(IF($E$65:INDIRECT("E"&amp;$C$61)=$AE$10,N$65:INDIRECT(AF$13&amp;$C$61)),$AH48),IF(ISBLANK($AE$10),SMALL(IF($D$65:INDIRECT("D"&amp;$C$61)=$AE$11,N$65:INDIRECT(AF$13&amp;$C$61)),$AH48),SMALL(IF(($E$65:INDIRECT("E"&amp;$C$61)=$AE$10)*($D$65:INDIRECT("D"&amp;$C$61)=$AE$11),N$65:INDIRECT(AF$13&amp;$C$61)),$AH48)))</f>
        <v>#NUM!</v>
      </c>
      <c r="AG48" t="e">
        <f ca="1">INDEX(O$65:INDIRECT("O"&amp;$C$61),$T48)</f>
        <v>#NUM!</v>
      </c>
      <c r="AH48" s="69">
        <v>3</v>
      </c>
      <c r="AI48" s="69" t="str">
        <f t="shared" si="4"/>
        <v>N</v>
      </c>
      <c r="AJ48" s="69" t="str">
        <f t="shared" si="4"/>
        <v>U</v>
      </c>
    </row>
    <row r="49" spans="1:36" x14ac:dyDescent="0.25">
      <c r="B49" s="69"/>
      <c r="C49" s="69"/>
      <c r="D49" s="69"/>
      <c r="E49" s="69"/>
      <c r="F49" s="69"/>
      <c r="K49" s="7"/>
      <c r="Q49" s="104"/>
      <c r="S49" s="69"/>
      <c r="T49" s="69"/>
      <c r="V49" s="69"/>
      <c r="W49" s="69"/>
      <c r="AH49" s="69"/>
      <c r="AI49" s="69"/>
      <c r="AJ49" s="69"/>
    </row>
    <row r="50" spans="1:36" x14ac:dyDescent="0.25">
      <c r="A50" s="73" t="s">
        <v>69</v>
      </c>
      <c r="B50" s="69" t="s">
        <v>36</v>
      </c>
      <c r="C50" s="73" t="e">
        <f ca="1">O3</f>
        <v>#N/A</v>
      </c>
      <c r="D50" s="69" t="e">
        <f ca="1">INDEX(D$65:INDIRECT("D"&amp;$C$61),$C50)</f>
        <v>#N/A</v>
      </c>
      <c r="E50" s="69" t="e">
        <f ca="1">INDEX(INDIRECT(("'MemberID'!$C$6:C"&amp;MemberID!$C$1)),MATCH(D50,INDIRECT(("'MemberID'!$G$6:G"&amp;MemberID!$C$1)),0))</f>
        <v>#N/A</v>
      </c>
      <c r="F50" s="69" t="e">
        <f ca="1">INDEX(E$65:INDIRECT("E"&amp;$C$61),$C50)</f>
        <v>#N/A</v>
      </c>
      <c r="G50" t="e">
        <f ca="1">INDEX(F$65:INDIRECT("F"&amp;$C$61),$C50)</f>
        <v>#N/A</v>
      </c>
      <c r="H50" t="e">
        <f ca="1">INDEX(G$65:INDIRECT("G"&amp;$C$61),$C50)</f>
        <v>#N/A</v>
      </c>
      <c r="I50" t="e">
        <f ca="1">INDEX(H$65:INDIRECT("H"&amp;$C$61),$C50)</f>
        <v>#N/A</v>
      </c>
      <c r="J50" t="e">
        <f ca="1">INDEX(I$65:INDIRECT("I"&amp;$C$61),$C50)</f>
        <v>#N/A</v>
      </c>
      <c r="K50" s="7" t="e">
        <f ca="1">INDEX(J$65:INDIRECT("J"&amp;$C$61),$C50)</f>
        <v>#N/A</v>
      </c>
      <c r="L50" t="e">
        <f ca="1">INDEX(K$65:INDIRECT("K"&amp;$C$61),$C50)</f>
        <v>#N/A</v>
      </c>
      <c r="M50" t="e">
        <f ca="1">INDEX(L$65:INDIRECT("L"&amp;$C$61),$C50)</f>
        <v>#N/A</v>
      </c>
      <c r="N50" t="e">
        <f ca="1">INDEX(M$65:INDIRECT("M"&amp;$C$61),$C50)</f>
        <v>#N/A</v>
      </c>
      <c r="O50" t="e">
        <f ca="1">INDEX(N$65:INDIRECT("N"&amp;$C$61),$C50)</f>
        <v>#N/A</v>
      </c>
      <c r="P50" s="23" t="e">
        <f ca="1">INDEX(O$65:INDIRECT("O"&amp;$C$61),$C50)</f>
        <v>#N/A</v>
      </c>
      <c r="Q50" s="104"/>
      <c r="R50" s="73" t="s">
        <v>69</v>
      </c>
      <c r="S50" s="69" t="s">
        <v>36</v>
      </c>
      <c r="T50" s="73" t="e">
        <f t="array" aca="1" ref="T50" ca="1">MATCH(IF(ISBLANK($AE$11),LARGE(IF($E$65:INDIRECT("E"&amp;$C$61)=$AE$10,INDIRECT(AJ50&amp;65):INDIRECT(AJ50&amp;$C$61)),$AH50),IF(ISBLANK($AE$10),LARGE(IF($D$65:INDIRECT("D"&amp;$C$61)=$AE$11,INDIRECT(AJ50&amp;65):INDIRECT(AJ50&amp;$C$61)),$AH50),LARGE(IF(($E$65:INDIRECT("E"&amp;$C$61)=$AE$10)*($D$65:INDIRECT("D"&amp;$C$61)=$AE$11),INDIRECT(AJ50&amp;65):INDIRECT(AJ50&amp;$C$61)),$AH50))),INDIRECT(AJ50&amp;65):INDIRECT(AJ50&amp;$C$61),0)</f>
        <v>#NUM!</v>
      </c>
      <c r="U50" s="69" t="e">
        <f ca="1">INDEX(D$65:INDIRECT("D"&amp;$C$61),$T50)</f>
        <v>#NUM!</v>
      </c>
      <c r="V50" s="69" t="e">
        <f ca="1">INDEX(INDIRECT(("'MemberID'!$C$6:C"&amp;MemberID!$C$1)),MATCH(U50,INDIRECT(("'MemberID'!$G$6:G"&amp;MemberID!$C$1)),0))</f>
        <v>#NUM!</v>
      </c>
      <c r="W50" s="69" t="e">
        <f ca="1">INDEX(E$65:INDIRECT("E"&amp;$C$61),$T50)</f>
        <v>#NUM!</v>
      </c>
      <c r="X50" t="e">
        <f ca="1">INDEX(F$65:INDIRECT("F"&amp;$C$61),$T50)</f>
        <v>#NUM!</v>
      </c>
      <c r="Y50" t="e">
        <f ca="1">INDEX(G$65:INDIRECT("G"&amp;$C$61),$T50)</f>
        <v>#NUM!</v>
      </c>
      <c r="Z50" t="e">
        <f ca="1">INDEX(H$65:INDIRECT("H"&amp;$C$61),$T50)</f>
        <v>#NUM!</v>
      </c>
      <c r="AA50" t="e">
        <f ca="1">INDEX(I$65:INDIRECT("I"&amp;$C$61),$T50)</f>
        <v>#NUM!</v>
      </c>
      <c r="AB50" t="e">
        <f ca="1">INDEX(J$65:INDIRECT("J"&amp;$C$61),$T50)</f>
        <v>#NUM!</v>
      </c>
      <c r="AC50" t="e">
        <f ca="1">INDEX(K$65:INDIRECT("K"&amp;$C$61),$T50)</f>
        <v>#NUM!</v>
      </c>
      <c r="AD50" t="e">
        <f ca="1">INDEX(L$65:INDIRECT("L"&amp;$C$61),$T50)</f>
        <v>#NUM!</v>
      </c>
      <c r="AE50" t="e">
        <f ca="1">INDEX(M$65:INDIRECT("M"&amp;$C$61),$T50)</f>
        <v>#NUM!</v>
      </c>
      <c r="AF50" t="e">
        <f ca="1">INDEX(N$65:INDIRECT("N"&amp;$C$61),$T50)</f>
        <v>#NUM!</v>
      </c>
      <c r="AG50" s="23" t="e">
        <f t="array" aca="1" ref="AG50" ca="1">IF(ISBLANK($AE$11),LARGE(IF($E$65:INDIRECT("E"&amp;$C$61)=$AE$10,O$65:INDIRECT(AG$13&amp;$C$61)),$AH50),IF(ISBLANK($AE$10),LARGE(IF($D$65:INDIRECT("D"&amp;$C$61)=$AE$11,O$65:INDIRECT(AG$13&amp;$C$61)),$AH50),LARGE(IF(($E$65:INDIRECT("E"&amp;$C$61)=$AE$10)*($D$65:INDIRECT("D"&amp;$C$61)=$AE$11),O$65:INDIRECT(AG$13&amp;$C$61)),$AH50)))</f>
        <v>#NUM!</v>
      </c>
      <c r="AH50" s="69">
        <v>1</v>
      </c>
      <c r="AI50" s="69" t="s">
        <v>155</v>
      </c>
      <c r="AJ50" s="69" t="s">
        <v>197</v>
      </c>
    </row>
    <row r="51" spans="1:36" x14ac:dyDescent="0.25">
      <c r="A51" s="73" t="s">
        <v>70</v>
      </c>
      <c r="B51" s="69" t="s">
        <v>36</v>
      </c>
      <c r="C51" s="73" t="e">
        <f ca="1">W3</f>
        <v>#NUM!</v>
      </c>
      <c r="D51" s="69" t="e">
        <f ca="1">INDEX(D$65:INDIRECT("D"&amp;$C$61),$C51)</f>
        <v>#NUM!</v>
      </c>
      <c r="E51" s="69" t="e">
        <f ca="1">INDEX(INDIRECT(("'MemberID'!$C$6:C"&amp;MemberID!$C$1)),MATCH(D51,INDIRECT(("'MemberID'!$G$6:G"&amp;MemberID!$C$1)),0))</f>
        <v>#NUM!</v>
      </c>
      <c r="F51" s="69" t="e">
        <f ca="1">INDEX(E$65:INDIRECT("E"&amp;$C$61),$C51)</f>
        <v>#NUM!</v>
      </c>
      <c r="G51" t="e">
        <f ca="1">INDEX(F$65:INDIRECT("F"&amp;$C$61),$C51)</f>
        <v>#NUM!</v>
      </c>
      <c r="H51" t="e">
        <f ca="1">INDEX(G$65:INDIRECT("G"&amp;$C$61),$C51)</f>
        <v>#NUM!</v>
      </c>
      <c r="I51" t="e">
        <f ca="1">INDEX(H$65:INDIRECT("H"&amp;$C$61),$C51)</f>
        <v>#NUM!</v>
      </c>
      <c r="J51" t="e">
        <f ca="1">INDEX(I$65:INDIRECT("I"&amp;$C$61),$C51)</f>
        <v>#NUM!</v>
      </c>
      <c r="K51" s="7" t="e">
        <f ca="1">INDEX(J$65:INDIRECT("J"&amp;$C$61),$C51)</f>
        <v>#NUM!</v>
      </c>
      <c r="L51" t="e">
        <f ca="1">INDEX(K$65:INDIRECT("K"&amp;$C$61),$C51)</f>
        <v>#NUM!</v>
      </c>
      <c r="M51" t="e">
        <f ca="1">INDEX(L$65:INDIRECT("L"&amp;$C$61),$C51)</f>
        <v>#NUM!</v>
      </c>
      <c r="N51" t="e">
        <f ca="1">INDEX(M$65:INDIRECT("M"&amp;$C$61),$C51)</f>
        <v>#NUM!</v>
      </c>
      <c r="O51" t="e">
        <f ca="1">INDEX(N$65:INDIRECT("N"&amp;$C$61),$C51)</f>
        <v>#NUM!</v>
      </c>
      <c r="P51" s="23" t="e">
        <f ca="1">INDEX(O$65:INDIRECT("O"&amp;$C$61),$C51)</f>
        <v>#NUM!</v>
      </c>
      <c r="Q51" s="104"/>
      <c r="R51" s="73" t="s">
        <v>70</v>
      </c>
      <c r="S51" s="69" t="s">
        <v>36</v>
      </c>
      <c r="T51" s="73" t="e">
        <f t="array" aca="1" ref="T51" ca="1">MATCH(IF(ISBLANK($AE$11),LARGE(IF($E$65:INDIRECT("E"&amp;$C$61)=$AE$10,INDIRECT(AJ51&amp;65):INDIRECT(AJ51&amp;$C$61)),$AH51),IF(ISBLANK($AE$10),LARGE(IF($D$65:INDIRECT("D"&amp;$C$61)=$AE$11,INDIRECT(AJ51&amp;65):INDIRECT(AJ51&amp;$C$61)),$AH51),LARGE(IF(($E$65:INDIRECT("E"&amp;$C$61)=$AE$10)*($D$65:INDIRECT("D"&amp;$C$61)=$AE$11),INDIRECT(AJ51&amp;65):INDIRECT(AJ51&amp;$C$61)),$AH51))),INDIRECT(AJ51&amp;65):INDIRECT(AJ51&amp;$C$61),0)</f>
        <v>#NUM!</v>
      </c>
      <c r="U51" s="69" t="e">
        <f ca="1">INDEX(D$65:INDIRECT("D"&amp;$C$61),$T51)</f>
        <v>#NUM!</v>
      </c>
      <c r="V51" s="69" t="e">
        <f ca="1">INDEX(INDIRECT(("'MemberID'!$C$6:C"&amp;MemberID!$C$1)),MATCH(U51,INDIRECT(("'MemberID'!$G$6:G"&amp;MemberID!$C$1)),0))</f>
        <v>#NUM!</v>
      </c>
      <c r="W51" s="69" t="e">
        <f ca="1">INDEX(E$65:INDIRECT("E"&amp;$C$61),$T51)</f>
        <v>#NUM!</v>
      </c>
      <c r="X51" t="e">
        <f ca="1">INDEX(F$65:INDIRECT("F"&amp;$C$61),$T51)</f>
        <v>#NUM!</v>
      </c>
      <c r="Y51" t="e">
        <f ca="1">INDEX(G$65:INDIRECT("G"&amp;$C$61),$T51)</f>
        <v>#NUM!</v>
      </c>
      <c r="Z51" t="e">
        <f ca="1">INDEX(H$65:INDIRECT("H"&amp;$C$61),$T51)</f>
        <v>#NUM!</v>
      </c>
      <c r="AA51" t="e">
        <f ca="1">INDEX(I$65:INDIRECT("I"&amp;$C$61),$T51)</f>
        <v>#NUM!</v>
      </c>
      <c r="AB51" t="e">
        <f ca="1">INDEX(J$65:INDIRECT("J"&amp;$C$61),$T51)</f>
        <v>#NUM!</v>
      </c>
      <c r="AC51" t="e">
        <f ca="1">INDEX(K$65:INDIRECT("K"&amp;$C$61),$T51)</f>
        <v>#NUM!</v>
      </c>
      <c r="AD51" t="e">
        <f ca="1">INDEX(L$65:INDIRECT("L"&amp;$C$61),$T51)</f>
        <v>#NUM!</v>
      </c>
      <c r="AE51" t="e">
        <f ca="1">INDEX(M$65:INDIRECT("M"&amp;$C$61),$T51)</f>
        <v>#NUM!</v>
      </c>
      <c r="AF51" t="e">
        <f ca="1">INDEX(N$65:INDIRECT("N"&amp;$C$61),$T51)</f>
        <v>#NUM!</v>
      </c>
      <c r="AG51" s="23" t="e">
        <f t="array" aca="1" ref="AG51" ca="1">IF(ISBLANK($AE$11),LARGE(IF($E$65:INDIRECT("E"&amp;$C$61)=$AE$10,O$65:INDIRECT(AG$13&amp;$C$61)),$AH51),IF(ISBLANK($AE$10),LARGE(IF($D$65:INDIRECT("D"&amp;$C$61)=$AE$11,O$65:INDIRECT(AG$13&amp;$C$61)),$AH51),LARGE(IF(($E$65:INDIRECT("E"&amp;$C$61)=$AE$10)*($D$65:INDIRECT("D"&amp;$C$61)=$AE$11),O$65:INDIRECT(AG$13&amp;$C$61)),$AH51)))</f>
        <v>#NUM!</v>
      </c>
      <c r="AH51" s="69">
        <v>2</v>
      </c>
      <c r="AI51" s="69" t="str">
        <f>AI50</f>
        <v>O</v>
      </c>
      <c r="AJ51" s="69" t="str">
        <f>AJ50</f>
        <v>V</v>
      </c>
    </row>
    <row r="52" spans="1:36" x14ac:dyDescent="0.25">
      <c r="A52" s="73" t="s">
        <v>71</v>
      </c>
      <c r="B52" s="69" t="s">
        <v>36</v>
      </c>
      <c r="C52" s="73" t="e">
        <f ca="1">AE3</f>
        <v>#NUM!</v>
      </c>
      <c r="D52" s="69" t="e">
        <f ca="1">INDEX(D$65:INDIRECT("D"&amp;$C$61),$C52)</f>
        <v>#NUM!</v>
      </c>
      <c r="E52" s="69" t="e">
        <f ca="1">INDEX(INDIRECT(("'MemberID'!$C$6:C"&amp;MemberID!$C$1)),MATCH(D52,INDIRECT(("'MemberID'!$G$6:G"&amp;MemberID!$C$1)),0))</f>
        <v>#NUM!</v>
      </c>
      <c r="F52" s="69" t="e">
        <f ca="1">INDEX(E$65:INDIRECT("E"&amp;$C$61),$C52)</f>
        <v>#NUM!</v>
      </c>
      <c r="G52" t="e">
        <f ca="1">INDEX(F$65:INDIRECT("F"&amp;$C$61),$C52)</f>
        <v>#NUM!</v>
      </c>
      <c r="H52" t="e">
        <f ca="1">INDEX(G$65:INDIRECT("G"&amp;$C$61),$C52)</f>
        <v>#NUM!</v>
      </c>
      <c r="I52" t="e">
        <f ca="1">INDEX(H$65:INDIRECT("H"&amp;$C$61),$C52)</f>
        <v>#NUM!</v>
      </c>
      <c r="J52" t="e">
        <f ca="1">INDEX(I$65:INDIRECT("I"&amp;$C$61),$C52)</f>
        <v>#NUM!</v>
      </c>
      <c r="K52" s="7" t="e">
        <f ca="1">INDEX(J$65:INDIRECT("J"&amp;$C$61),$C52)</f>
        <v>#NUM!</v>
      </c>
      <c r="L52" t="e">
        <f ca="1">INDEX(K$65:INDIRECT("K"&amp;$C$61),$C52)</f>
        <v>#NUM!</v>
      </c>
      <c r="M52" t="e">
        <f ca="1">INDEX(L$65:INDIRECT("L"&amp;$C$61),$C52)</f>
        <v>#NUM!</v>
      </c>
      <c r="N52" t="e">
        <f ca="1">INDEX(M$65:INDIRECT("M"&amp;$C$61),$C52)</f>
        <v>#NUM!</v>
      </c>
      <c r="O52" t="e">
        <f ca="1">INDEX(N$65:INDIRECT("N"&amp;$C$61),$C52)</f>
        <v>#NUM!</v>
      </c>
      <c r="P52" s="23" t="e">
        <f ca="1">INDEX(O$65:INDIRECT("O"&amp;$C$61),$C52)</f>
        <v>#NUM!</v>
      </c>
      <c r="Q52" s="104"/>
      <c r="R52" s="73" t="s">
        <v>71</v>
      </c>
      <c r="S52" s="69" t="s">
        <v>36</v>
      </c>
      <c r="T52" s="73" t="e">
        <f t="array" aca="1" ref="T52" ca="1">MATCH(IF(ISBLANK($AE$11),LARGE(IF($E$65:INDIRECT("E"&amp;$C$61)=$AE$10,INDIRECT(AJ52&amp;65):INDIRECT(AJ52&amp;$C$61)),$AH52),IF(ISBLANK($AE$10),LARGE(IF($D$65:INDIRECT("D"&amp;$C$61)=$AE$11,INDIRECT(AJ52&amp;65):INDIRECT(AJ52&amp;$C$61)),$AH52),LARGE(IF(($E$65:INDIRECT("E"&amp;$C$61)=$AE$10)*($D$65:INDIRECT("D"&amp;$C$61)=$AE$11),INDIRECT(AJ52&amp;65):INDIRECT(AJ52&amp;$C$61)),$AH52))),INDIRECT(AJ52&amp;65):INDIRECT(AJ52&amp;$C$61),0)</f>
        <v>#NUM!</v>
      </c>
      <c r="U52" s="69" t="e">
        <f ca="1">INDEX(D$65:INDIRECT("D"&amp;$C$61),$T52)</f>
        <v>#NUM!</v>
      </c>
      <c r="V52" s="69" t="e">
        <f ca="1">INDEX(INDIRECT(("'MemberID'!$C$6:C"&amp;MemberID!$C$1)),MATCH(U52,INDIRECT(("'MemberID'!$G$6:G"&amp;MemberID!$C$1)),0))</f>
        <v>#NUM!</v>
      </c>
      <c r="W52" s="69" t="e">
        <f ca="1">INDEX(E$65:INDIRECT("E"&amp;$C$61),$T52)</f>
        <v>#NUM!</v>
      </c>
      <c r="X52" t="e">
        <f ca="1">INDEX(F$65:INDIRECT("F"&amp;$C$61),$T52)</f>
        <v>#NUM!</v>
      </c>
      <c r="Y52" t="e">
        <f ca="1">INDEX(G$65:INDIRECT("G"&amp;$C$61),$T52)</f>
        <v>#NUM!</v>
      </c>
      <c r="Z52" t="e">
        <f ca="1">INDEX(H$65:INDIRECT("H"&amp;$C$61),$T52)</f>
        <v>#NUM!</v>
      </c>
      <c r="AA52" t="e">
        <f ca="1">INDEX(I$65:INDIRECT("I"&amp;$C$61),$T52)</f>
        <v>#NUM!</v>
      </c>
      <c r="AB52" t="e">
        <f ca="1">INDEX(J$65:INDIRECT("J"&amp;$C$61),$T52)</f>
        <v>#NUM!</v>
      </c>
      <c r="AC52" t="e">
        <f ca="1">INDEX(K$65:INDIRECT("K"&amp;$C$61),$T52)</f>
        <v>#NUM!</v>
      </c>
      <c r="AD52" t="e">
        <f ca="1">INDEX(L$65:INDIRECT("L"&amp;$C$61),$T52)</f>
        <v>#NUM!</v>
      </c>
      <c r="AE52" t="e">
        <f ca="1">INDEX(M$65:INDIRECT("M"&amp;$C$61),$T52)</f>
        <v>#NUM!</v>
      </c>
      <c r="AF52" t="e">
        <f ca="1">INDEX(N$65:INDIRECT("N"&amp;$C$61),$T52)</f>
        <v>#NUM!</v>
      </c>
      <c r="AG52" s="23" t="e">
        <f t="array" aca="1" ref="AG52" ca="1">IF(ISBLANK($AE$11),LARGE(IF($E$65:INDIRECT("E"&amp;$C$61)=$AE$10,O$65:INDIRECT(AG$13&amp;$C$61)),$AH52),IF(ISBLANK($AE$10),LARGE(IF($D$65:INDIRECT("D"&amp;$C$61)=$AE$11,O$65:INDIRECT(AG$13&amp;$C$61)),$AH52),LARGE(IF(($E$65:INDIRECT("E"&amp;$C$61)=$AE$10)*($D$65:INDIRECT("D"&amp;$C$61)=$AE$11),O$65:INDIRECT(AG$13&amp;$C$61)),$AH52)))</f>
        <v>#NUM!</v>
      </c>
      <c r="AH52" s="69">
        <v>3</v>
      </c>
      <c r="AI52" s="69" t="str">
        <f t="shared" ref="AI52:AJ55" si="5">AI51</f>
        <v>O</v>
      </c>
      <c r="AJ52" s="69" t="str">
        <f t="shared" si="5"/>
        <v>V</v>
      </c>
    </row>
    <row r="53" spans="1:36" x14ac:dyDescent="0.25">
      <c r="A53" s="74" t="s">
        <v>72</v>
      </c>
      <c r="B53" s="69" t="s">
        <v>36</v>
      </c>
      <c r="C53" s="74" t="e">
        <f ca="1">O6</f>
        <v>#N/A</v>
      </c>
      <c r="D53" s="69" t="e">
        <f ca="1">INDEX(D$65:INDIRECT("D"&amp;$C$61),$C53)</f>
        <v>#N/A</v>
      </c>
      <c r="E53" s="69" t="e">
        <f ca="1">INDEX(INDIRECT(("'MemberID'!$C$6:C"&amp;MemberID!$C$1)),MATCH(D53,INDIRECT(("'MemberID'!$G$6:G"&amp;MemberID!$C$1)),0))</f>
        <v>#N/A</v>
      </c>
      <c r="F53" s="69" t="e">
        <f ca="1">INDEX(E$65:INDIRECT("E"&amp;$C$61),$C53)</f>
        <v>#N/A</v>
      </c>
      <c r="G53" t="e">
        <f ca="1">INDEX(F$65:INDIRECT("F"&amp;$C$61),$C53)</f>
        <v>#N/A</v>
      </c>
      <c r="H53" t="e">
        <f ca="1">INDEX(G$65:INDIRECT("G"&amp;$C$61),$C53)</f>
        <v>#N/A</v>
      </c>
      <c r="I53" t="e">
        <f ca="1">INDEX(H$65:INDIRECT("H"&amp;$C$61),$C53)</f>
        <v>#N/A</v>
      </c>
      <c r="J53" t="e">
        <f ca="1">INDEX(I$65:INDIRECT("I"&amp;$C$61),$C53)</f>
        <v>#N/A</v>
      </c>
      <c r="K53" s="7" t="e">
        <f ca="1">INDEX(J$65:INDIRECT("J"&amp;$C$61),$C53)</f>
        <v>#N/A</v>
      </c>
      <c r="L53" t="e">
        <f ca="1">INDEX(K$65:INDIRECT("K"&amp;$C$61),$C53)</f>
        <v>#N/A</v>
      </c>
      <c r="M53" t="e">
        <f ca="1">INDEX(L$65:INDIRECT("L"&amp;$C$61),$C53)</f>
        <v>#N/A</v>
      </c>
      <c r="N53" t="e">
        <f ca="1">INDEX(M$65:INDIRECT("M"&amp;$C$61),$C53)</f>
        <v>#N/A</v>
      </c>
      <c r="O53" t="e">
        <f ca="1">INDEX(N$65:INDIRECT("N"&amp;$C$61),$C53)</f>
        <v>#N/A</v>
      </c>
      <c r="P53" s="23" t="e">
        <f ca="1">INDEX(O$65:INDIRECT("O"&amp;$C$61),$C53)</f>
        <v>#N/A</v>
      </c>
      <c r="Q53" s="104"/>
      <c r="R53" s="74" t="s">
        <v>72</v>
      </c>
      <c r="S53" s="69" t="s">
        <v>36</v>
      </c>
      <c r="T53" s="74" t="e">
        <f t="array" aca="1" ref="T53" ca="1">MATCH(IF(ISBLANK($AE$11),SMALL(IF($E$65:INDIRECT("E"&amp;$C$61)=$AE$10,INDIRECT(AJ53&amp;65):INDIRECT(AJ53&amp;$C$61)),$AH53),IF(ISBLANK($AE$10),SMALL(IF($D$65:INDIRECT("D"&amp;$C$61)=$AE$11,INDIRECT(AJ53&amp;65):INDIRECT(AJ53&amp;$C$61)),$AH53),SMALL(IF(($E$65:INDIRECT("E"&amp;$C$61)=$AE$10)*($D$65:INDIRECT("D"&amp;$C$61)=$AE$11),INDIRECT(AJ53&amp;65):INDIRECT(AJ53&amp;$C$61)),$AH53))),INDIRECT(AJ53&amp;65):INDIRECT(AJ53&amp;$C$61),0)</f>
        <v>#NUM!</v>
      </c>
      <c r="U53" s="69" t="e">
        <f ca="1">INDEX(D$65:INDIRECT("D"&amp;$C$61),$T53)</f>
        <v>#NUM!</v>
      </c>
      <c r="V53" s="69" t="e">
        <f ca="1">INDEX(INDIRECT(("'MemberID'!$C$6:C"&amp;MemberID!$C$1)),MATCH(U53,INDIRECT(("'MemberID'!$G$6:G"&amp;MemberID!$C$1)),0))</f>
        <v>#NUM!</v>
      </c>
      <c r="W53" s="69" t="e">
        <f ca="1">INDEX(E$65:INDIRECT("E"&amp;$C$61),$T53)</f>
        <v>#NUM!</v>
      </c>
      <c r="X53" t="e">
        <f ca="1">INDEX(F$65:INDIRECT("F"&amp;$C$61),$T53)</f>
        <v>#NUM!</v>
      </c>
      <c r="Y53" t="e">
        <f ca="1">INDEX(G$65:INDIRECT("G"&amp;$C$61),$T53)</f>
        <v>#NUM!</v>
      </c>
      <c r="Z53" t="e">
        <f ca="1">INDEX(H$65:INDIRECT("H"&amp;$C$61),$T53)</f>
        <v>#NUM!</v>
      </c>
      <c r="AA53" t="e">
        <f ca="1">INDEX(I$65:INDIRECT("I"&amp;$C$61),$T53)</f>
        <v>#NUM!</v>
      </c>
      <c r="AB53" t="e">
        <f ca="1">INDEX(J$65:INDIRECT("J"&amp;$C$61),$T53)</f>
        <v>#NUM!</v>
      </c>
      <c r="AC53" t="e">
        <f ca="1">INDEX(K$65:INDIRECT("K"&amp;$C$61),$T53)</f>
        <v>#NUM!</v>
      </c>
      <c r="AD53" t="e">
        <f ca="1">INDEX(L$65:INDIRECT("L"&amp;$C$61),$T53)</f>
        <v>#NUM!</v>
      </c>
      <c r="AE53" t="e">
        <f ca="1">INDEX(M$65:INDIRECT("M"&amp;$C$61),$T53)</f>
        <v>#NUM!</v>
      </c>
      <c r="AF53" t="e">
        <f ca="1">INDEX(N$65:INDIRECT("N"&amp;$C$61),$T53)</f>
        <v>#NUM!</v>
      </c>
      <c r="AG53" s="23" t="e">
        <f t="array" aca="1" ref="AG53" ca="1">IF(ISBLANK($AE$11),SMALL(IF($E$65:INDIRECT("E"&amp;$C$61)=$AE$10,O$65:INDIRECT(AG$13&amp;$C$61)),$AH53),IF(ISBLANK($AE$10),SMALL(IF($D$65:INDIRECT("D"&amp;$C$61)=$AE$11,O$65:INDIRECT(AG$13&amp;$C$61)),$AH53),SMALL(IF(($E$65:INDIRECT("E"&amp;$C$61)=$AE$10)*($D$65:INDIRECT("D"&amp;$C$61)=$AE$11),O$65:INDIRECT(AG$13&amp;$C$61)),$AH53)))</f>
        <v>#NUM!</v>
      </c>
      <c r="AH53" s="69">
        <v>1</v>
      </c>
      <c r="AI53" s="69" t="str">
        <f t="shared" si="5"/>
        <v>O</v>
      </c>
      <c r="AJ53" s="69" t="str">
        <f t="shared" si="5"/>
        <v>V</v>
      </c>
    </row>
    <row r="54" spans="1:36" x14ac:dyDescent="0.25">
      <c r="A54" s="74" t="s">
        <v>73</v>
      </c>
      <c r="B54" s="69" t="s">
        <v>36</v>
      </c>
      <c r="C54" s="74" t="e">
        <f ca="1">W6</f>
        <v>#NUM!</v>
      </c>
      <c r="D54" s="69" t="e">
        <f ca="1">INDEX(D$65:INDIRECT("D"&amp;$C$61),$C54)</f>
        <v>#NUM!</v>
      </c>
      <c r="E54" s="69" t="e">
        <f ca="1">INDEX(INDIRECT(("'MemberID'!$C$6:C"&amp;MemberID!$C$1)),MATCH(D54,INDIRECT(("'MemberID'!$G$6:G"&amp;MemberID!$C$1)),0))</f>
        <v>#NUM!</v>
      </c>
      <c r="F54" s="69" t="e">
        <f ca="1">INDEX(E$65:INDIRECT("E"&amp;$C$61),$C54)</f>
        <v>#NUM!</v>
      </c>
      <c r="G54" t="e">
        <f ca="1">INDEX(F$65:INDIRECT("F"&amp;$C$61),$C54)</f>
        <v>#NUM!</v>
      </c>
      <c r="H54" t="e">
        <f ca="1">INDEX(G$65:INDIRECT("G"&amp;$C$61),$C54)</f>
        <v>#NUM!</v>
      </c>
      <c r="I54" t="e">
        <f ca="1">INDEX(H$65:INDIRECT("H"&amp;$C$61),$C54)</f>
        <v>#NUM!</v>
      </c>
      <c r="J54" t="e">
        <f ca="1">INDEX(I$65:INDIRECT("I"&amp;$C$61),$C54)</f>
        <v>#NUM!</v>
      </c>
      <c r="K54" s="7" t="e">
        <f ca="1">INDEX(J$65:INDIRECT("J"&amp;$C$61),$C54)</f>
        <v>#NUM!</v>
      </c>
      <c r="L54" t="e">
        <f ca="1">INDEX(K$65:INDIRECT("K"&amp;$C$61),$C54)</f>
        <v>#NUM!</v>
      </c>
      <c r="M54" t="e">
        <f ca="1">INDEX(L$65:INDIRECT("L"&amp;$C$61),$C54)</f>
        <v>#NUM!</v>
      </c>
      <c r="N54" t="e">
        <f ca="1">INDEX(M$65:INDIRECT("M"&amp;$C$61),$C54)</f>
        <v>#NUM!</v>
      </c>
      <c r="O54" t="e">
        <f ca="1">INDEX(N$65:INDIRECT("N"&amp;$C$61),$C54)</f>
        <v>#NUM!</v>
      </c>
      <c r="P54" s="23" t="e">
        <f ca="1">INDEX(O$65:INDIRECT("O"&amp;$C$61),$C54)</f>
        <v>#NUM!</v>
      </c>
      <c r="Q54" s="104"/>
      <c r="R54" s="74" t="s">
        <v>73</v>
      </c>
      <c r="S54" s="69" t="s">
        <v>36</v>
      </c>
      <c r="T54" s="74" t="e">
        <f t="array" aca="1" ref="T54" ca="1">MATCH(IF(ISBLANK($AE$11),SMALL(IF($E$65:INDIRECT("E"&amp;$C$61)=$AE$10,INDIRECT(AJ54&amp;65):INDIRECT(AJ54&amp;$C$61)),$AH54),IF(ISBLANK($AE$10),SMALL(IF($D$65:INDIRECT("D"&amp;$C$61)=$AE$11,INDIRECT(AJ54&amp;65):INDIRECT(AJ54&amp;$C$61)),$AH54),SMALL(IF(($E$65:INDIRECT("E"&amp;$C$61)=$AE$10)*($D$65:INDIRECT("D"&amp;$C$61)=$AE$11),INDIRECT(AJ54&amp;65):INDIRECT(AJ54&amp;$C$61)),$AH54))),INDIRECT(AJ54&amp;65):INDIRECT(AJ54&amp;$C$61),0)</f>
        <v>#NUM!</v>
      </c>
      <c r="U54" s="69" t="e">
        <f ca="1">INDEX(D$65:INDIRECT("D"&amp;$C$61),$T54)</f>
        <v>#NUM!</v>
      </c>
      <c r="V54" s="69" t="e">
        <f ca="1">INDEX(INDIRECT(("'MemberID'!$C$6:C"&amp;MemberID!$C$1)),MATCH(U54,INDIRECT(("'MemberID'!$G$6:G"&amp;MemberID!$C$1)),0))</f>
        <v>#NUM!</v>
      </c>
      <c r="W54" s="69" t="e">
        <f ca="1">INDEX(E$65:INDIRECT("E"&amp;$C$61),$T54)</f>
        <v>#NUM!</v>
      </c>
      <c r="X54" t="e">
        <f ca="1">INDEX(F$65:INDIRECT("F"&amp;$C$61),$T54)</f>
        <v>#NUM!</v>
      </c>
      <c r="Y54" t="e">
        <f ca="1">INDEX(G$65:INDIRECT("G"&amp;$C$61),$T54)</f>
        <v>#NUM!</v>
      </c>
      <c r="Z54" t="e">
        <f ca="1">INDEX(H$65:INDIRECT("H"&amp;$C$61),$T54)</f>
        <v>#NUM!</v>
      </c>
      <c r="AA54" t="e">
        <f ca="1">INDEX(I$65:INDIRECT("I"&amp;$C$61),$T54)</f>
        <v>#NUM!</v>
      </c>
      <c r="AB54" t="e">
        <f ca="1">INDEX(J$65:INDIRECT("J"&amp;$C$61),$T54)</f>
        <v>#NUM!</v>
      </c>
      <c r="AC54" t="e">
        <f ca="1">INDEX(K$65:INDIRECT("K"&amp;$C$61),$T54)</f>
        <v>#NUM!</v>
      </c>
      <c r="AD54" t="e">
        <f ca="1">INDEX(L$65:INDIRECT("L"&amp;$C$61),$T54)</f>
        <v>#NUM!</v>
      </c>
      <c r="AE54" t="e">
        <f ca="1">INDEX(M$65:INDIRECT("M"&amp;$C$61),$T54)</f>
        <v>#NUM!</v>
      </c>
      <c r="AF54" t="e">
        <f ca="1">INDEX(N$65:INDIRECT("N"&amp;$C$61),$T54)</f>
        <v>#NUM!</v>
      </c>
      <c r="AG54" s="23" t="e">
        <f t="array" aca="1" ref="AG54" ca="1">IF(ISBLANK($AE$11),SMALL(IF($E$65:INDIRECT("E"&amp;$C$61)=$AE$10,O$65:INDIRECT(AG$13&amp;$C$61)),$AH54),IF(ISBLANK($AE$10),SMALL(IF($D$65:INDIRECT("D"&amp;$C$61)=$AE$11,O$65:INDIRECT(AG$13&amp;$C$61)),$AH54),SMALL(IF(($E$65:INDIRECT("E"&amp;$C$61)=$AE$10)*($D$65:INDIRECT("D"&amp;$C$61)=$AE$11),O$65:INDIRECT(AG$13&amp;$C$61)),$AH54)))</f>
        <v>#NUM!</v>
      </c>
      <c r="AH54" s="69">
        <v>2</v>
      </c>
      <c r="AI54" s="69" t="str">
        <f t="shared" si="5"/>
        <v>O</v>
      </c>
      <c r="AJ54" s="69" t="str">
        <f t="shared" si="5"/>
        <v>V</v>
      </c>
    </row>
    <row r="55" spans="1:36" x14ac:dyDescent="0.25">
      <c r="A55" s="74" t="s">
        <v>74</v>
      </c>
      <c r="B55" s="69" t="s">
        <v>36</v>
      </c>
      <c r="C55" s="74" t="e">
        <f ca="1">AE6</f>
        <v>#NUM!</v>
      </c>
      <c r="D55" s="69" t="e">
        <f ca="1">INDEX(D$65:INDIRECT("D"&amp;$C$61),$C55)</f>
        <v>#NUM!</v>
      </c>
      <c r="E55" s="69" t="e">
        <f ca="1">INDEX(INDIRECT(("'MemberID'!$C$6:C"&amp;MemberID!$C$1)),MATCH(D55,INDIRECT(("'MemberID'!$G$6:G"&amp;MemberID!$C$1)),0))</f>
        <v>#NUM!</v>
      </c>
      <c r="F55" s="69" t="e">
        <f ca="1">INDEX(E$65:INDIRECT("E"&amp;$C$61),$C55)</f>
        <v>#NUM!</v>
      </c>
      <c r="G55" t="e">
        <f ca="1">INDEX(F$65:INDIRECT("F"&amp;$C$61),$C55)</f>
        <v>#NUM!</v>
      </c>
      <c r="H55" t="e">
        <f ca="1">INDEX(G$65:INDIRECT("G"&amp;$C$61),$C55)</f>
        <v>#NUM!</v>
      </c>
      <c r="I55" t="e">
        <f ca="1">INDEX(H$65:INDIRECT("H"&amp;$C$61),$C55)</f>
        <v>#NUM!</v>
      </c>
      <c r="J55" t="e">
        <f ca="1">INDEX(I$65:INDIRECT("I"&amp;$C$61),$C55)</f>
        <v>#NUM!</v>
      </c>
      <c r="K55" s="7" t="e">
        <f ca="1">INDEX(J$65:INDIRECT("J"&amp;$C$61),$C55)</f>
        <v>#NUM!</v>
      </c>
      <c r="L55" t="e">
        <f ca="1">INDEX(K$65:INDIRECT("K"&amp;$C$61),$C55)</f>
        <v>#NUM!</v>
      </c>
      <c r="M55" t="e">
        <f ca="1">INDEX(L$65:INDIRECT("L"&amp;$C$61),$C55)</f>
        <v>#NUM!</v>
      </c>
      <c r="N55" t="e">
        <f ca="1">INDEX(M$65:INDIRECT("M"&amp;$C$61),$C55)</f>
        <v>#NUM!</v>
      </c>
      <c r="O55" t="e">
        <f ca="1">INDEX(N$65:INDIRECT("N"&amp;$C$61),$C55)</f>
        <v>#NUM!</v>
      </c>
      <c r="P55" s="23" t="e">
        <f ca="1">INDEX(O$65:INDIRECT("O"&amp;$C$61),$C55)</f>
        <v>#NUM!</v>
      </c>
      <c r="Q55" s="104"/>
      <c r="R55" s="74" t="s">
        <v>74</v>
      </c>
      <c r="S55" s="69" t="s">
        <v>36</v>
      </c>
      <c r="T55" s="74" t="e">
        <f t="array" aca="1" ref="T55" ca="1">MATCH(IF(ISBLANK($AE$11),SMALL(IF($E$65:INDIRECT("E"&amp;$C$61)=$AE$10,INDIRECT(AJ55&amp;65):INDIRECT(AJ55&amp;$C$61)),$AH55),IF(ISBLANK($AE$10),SMALL(IF($D$65:INDIRECT("D"&amp;$C$61)=$AE$11,INDIRECT(AJ55&amp;65):INDIRECT(AJ55&amp;$C$61)),$AH55),SMALL(IF(($E$65:INDIRECT("E"&amp;$C$61)=$AE$10)*($D$65:INDIRECT("D"&amp;$C$61)=$AE$11),INDIRECT(AJ55&amp;65):INDIRECT(AJ55&amp;$C$61)),$AH55))),INDIRECT(AJ55&amp;65):INDIRECT(AJ55&amp;$C$61),0)</f>
        <v>#NUM!</v>
      </c>
      <c r="U55" s="69" t="e">
        <f ca="1">INDEX(D$65:INDIRECT("D"&amp;$C$61),$T55)</f>
        <v>#NUM!</v>
      </c>
      <c r="V55" s="69" t="e">
        <f ca="1">INDEX(INDIRECT(("'MemberID'!$C$6:C"&amp;MemberID!$C$1)),MATCH(U55,INDIRECT(("'MemberID'!$G$6:G"&amp;MemberID!$C$1)),0))</f>
        <v>#NUM!</v>
      </c>
      <c r="W55" s="69" t="e">
        <f ca="1">INDEX(E$65:INDIRECT("E"&amp;$C$61),$T55)</f>
        <v>#NUM!</v>
      </c>
      <c r="X55" t="e">
        <f ca="1">INDEX(F$65:INDIRECT("F"&amp;$C$61),$T55)</f>
        <v>#NUM!</v>
      </c>
      <c r="Y55" t="e">
        <f ca="1">INDEX(G$65:INDIRECT("G"&amp;$C$61),$T55)</f>
        <v>#NUM!</v>
      </c>
      <c r="Z55" t="e">
        <f ca="1">INDEX(H$65:INDIRECT("H"&amp;$C$61),$T55)</f>
        <v>#NUM!</v>
      </c>
      <c r="AA55" t="e">
        <f ca="1">INDEX(I$65:INDIRECT("I"&amp;$C$61),$T55)</f>
        <v>#NUM!</v>
      </c>
      <c r="AB55" t="e">
        <f ca="1">INDEX(J$65:INDIRECT("J"&amp;$C$61),$T55)</f>
        <v>#NUM!</v>
      </c>
      <c r="AC55" t="e">
        <f ca="1">INDEX(K$65:INDIRECT("K"&amp;$C$61),$T55)</f>
        <v>#NUM!</v>
      </c>
      <c r="AD55" t="e">
        <f ca="1">INDEX(L$65:INDIRECT("L"&amp;$C$61),$T55)</f>
        <v>#NUM!</v>
      </c>
      <c r="AE55" t="e">
        <f ca="1">INDEX(M$65:INDIRECT("M"&amp;$C$61),$T55)</f>
        <v>#NUM!</v>
      </c>
      <c r="AF55" t="e">
        <f ca="1">INDEX(N$65:INDIRECT("N"&amp;$C$61),$T55)</f>
        <v>#NUM!</v>
      </c>
      <c r="AG55" s="23" t="e">
        <f t="array" aca="1" ref="AG55" ca="1">IF(ISBLANK($AE$11),SMALL(IF($E$65:INDIRECT("E"&amp;$C$61)=$AE$10,O$65:INDIRECT(AG$13&amp;$C$61)),$AH55),IF(ISBLANK($AE$10),SMALL(IF($D$65:INDIRECT("D"&amp;$C$61)=$AE$11,O$65:INDIRECT(AG$13&amp;$C$61)),$AH55),SMALL(IF(($E$65:INDIRECT("E"&amp;$C$61)=$AE$10)*($D$65:INDIRECT("D"&amp;$C$61)=$AE$11),O$65:INDIRECT(AG$13&amp;$C$61)),$AH55)))</f>
        <v>#NUM!</v>
      </c>
      <c r="AH55" s="69">
        <v>3</v>
      </c>
      <c r="AI55" s="69" t="str">
        <f t="shared" si="5"/>
        <v>O</v>
      </c>
      <c r="AJ55" s="69" t="str">
        <f t="shared" si="5"/>
        <v>V</v>
      </c>
    </row>
    <row r="56" spans="1:36" x14ac:dyDescent="0.25">
      <c r="Q56" s="104"/>
    </row>
    <row r="57" spans="1:36" x14ac:dyDescent="0.25">
      <c r="E57" s="57"/>
      <c r="F57" s="57"/>
      <c r="G57" s="57"/>
      <c r="H57" s="57"/>
      <c r="Q57" s="104"/>
    </row>
    <row r="58" spans="1:36" x14ac:dyDescent="0.25">
      <c r="D58" s="7"/>
      <c r="E58" s="77"/>
      <c r="F58" s="77"/>
      <c r="G58" s="77"/>
      <c r="H58" s="77"/>
      <c r="I58" s="7"/>
      <c r="J58" s="7"/>
      <c r="K58" s="7"/>
      <c r="L58" s="7"/>
      <c r="M58" s="7"/>
      <c r="N58" s="7"/>
      <c r="O58" s="7"/>
      <c r="Q58" s="105"/>
      <c r="R58" s="7"/>
      <c r="S58" s="7"/>
      <c r="T58" s="7"/>
      <c r="U58" s="7"/>
      <c r="V58" s="7"/>
      <c r="W58" s="7"/>
      <c r="X58" s="7"/>
    </row>
    <row r="59" spans="1:36" x14ac:dyDescent="0.25">
      <c r="D59" s="66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8"/>
      <c r="Q59" s="105"/>
      <c r="R59" s="7"/>
      <c r="S59" s="7"/>
      <c r="T59" s="7"/>
      <c r="U59" s="7"/>
      <c r="V59" s="7"/>
      <c r="W59" s="7"/>
      <c r="X59" s="7"/>
    </row>
    <row r="60" spans="1:36" x14ac:dyDescent="0.25">
      <c r="D60" s="66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8"/>
      <c r="Q60" s="105"/>
      <c r="R60" s="7"/>
      <c r="S60" s="7"/>
      <c r="T60" s="7"/>
      <c r="U60" s="7"/>
      <c r="V60" s="7"/>
      <c r="W60" s="7"/>
      <c r="X60" s="7"/>
    </row>
    <row r="61" spans="1:36" x14ac:dyDescent="0.25">
      <c r="B61" t="s">
        <v>23</v>
      </c>
      <c r="C61" s="23">
        <f>LOOKUP(2,1/(NOT(ISBLANK(D:D))),ROW(D:D))</f>
        <v>64</v>
      </c>
      <c r="D61" s="66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8"/>
      <c r="Q61" s="105"/>
      <c r="R61" s="7"/>
      <c r="S61" s="7"/>
      <c r="T61" s="7"/>
      <c r="U61" s="7"/>
      <c r="V61" s="7"/>
      <c r="W61" s="7"/>
      <c r="X61" s="7"/>
    </row>
    <row r="62" spans="1:36" x14ac:dyDescent="0.25">
      <c r="Q62" s="104"/>
    </row>
    <row r="63" spans="1:36" x14ac:dyDescent="0.25">
      <c r="C63" s="7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Q63" s="22" t="s">
        <v>168</v>
      </c>
      <c r="R63" s="22"/>
      <c r="S63" s="22"/>
      <c r="T63" s="22"/>
      <c r="U63" s="22"/>
      <c r="V63" s="22"/>
    </row>
    <row r="64" spans="1:36" x14ac:dyDescent="0.25">
      <c r="C64" s="7"/>
      <c r="D64" t="s">
        <v>0</v>
      </c>
      <c r="E64" s="28" t="s">
        <v>191</v>
      </c>
      <c r="F64" s="28" t="s">
        <v>192</v>
      </c>
      <c r="G64" s="28" t="s">
        <v>193</v>
      </c>
      <c r="H64" s="28" t="s">
        <v>194</v>
      </c>
      <c r="I64" t="s">
        <v>129</v>
      </c>
      <c r="J64" t="s">
        <v>5</v>
      </c>
      <c r="K64" t="s">
        <v>6</v>
      </c>
      <c r="L64" t="s">
        <v>7</v>
      </c>
      <c r="M64" t="s">
        <v>8</v>
      </c>
      <c r="N64" t="s">
        <v>9</v>
      </c>
      <c r="O64" t="s">
        <v>10</v>
      </c>
      <c r="Q64" s="69" t="s">
        <v>140</v>
      </c>
      <c r="R64" s="69" t="s">
        <v>141</v>
      </c>
      <c r="S64" s="69" t="s">
        <v>142</v>
      </c>
      <c r="T64" s="69" t="s">
        <v>143</v>
      </c>
      <c r="U64" s="69" t="s">
        <v>144</v>
      </c>
      <c r="V64" s="69" t="s">
        <v>145</v>
      </c>
    </row>
    <row r="65" spans="30:49" x14ac:dyDescent="0.25">
      <c r="AD65" s="1"/>
      <c r="AE65" s="1"/>
      <c r="AO65" s="1"/>
      <c r="AP65" s="1"/>
      <c r="AQ65" s="1"/>
      <c r="AR65" s="1"/>
      <c r="AS65" s="1"/>
      <c r="AT65" s="1"/>
      <c r="AU65" s="1"/>
      <c r="AW65" s="1"/>
    </row>
  </sheetData>
  <dataValidations count="2">
    <dataValidation type="list" showInputMessage="1" showErrorMessage="1" sqref="AE11" xr:uid="{308C061E-2D81-4E90-A1C6-2A57B23BE7AB}">
      <formula1>MemberList</formula1>
    </dataValidation>
    <dataValidation type="list" showInputMessage="1" showErrorMessage="1" sqref="AE10" xr:uid="{4587DF28-77E3-45D7-9EA8-50D4AD8400AB}">
      <formula1>StationList</formula1>
    </dataValidation>
  </dataValidation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3E541-090C-4BB1-9162-D43CFAF5BFCB}">
  <sheetPr codeName="Sheet65"/>
  <dimension ref="A1:AZ64"/>
  <sheetViews>
    <sheetView zoomScale="70" zoomScaleNormal="70" workbookViewId="0"/>
  </sheetViews>
  <sheetFormatPr defaultRowHeight="15" x14ac:dyDescent="0.25"/>
  <cols>
    <col min="1" max="1" width="10.28515625" customWidth="1"/>
    <col min="2" max="2" width="11.7109375" customWidth="1"/>
    <col min="3" max="3" width="13.42578125" bestFit="1" customWidth="1"/>
    <col min="4" max="4" width="8.85546875" customWidth="1"/>
    <col min="5" max="6" width="14.85546875" bestFit="1" customWidth="1"/>
    <col min="7" max="8" width="20.5703125" bestFit="1" customWidth="1"/>
    <col min="9" max="10" width="35.7109375" customWidth="1"/>
    <col min="11" max="11" width="17.28515625" bestFit="1" customWidth="1"/>
    <col min="12" max="13" width="15.85546875" bestFit="1" customWidth="1"/>
    <col min="14" max="15" width="19.140625" bestFit="1" customWidth="1"/>
    <col min="16" max="16" width="18.85546875" customWidth="1"/>
    <col min="17" max="17" width="15.85546875" customWidth="1"/>
    <col min="18" max="21" width="15.85546875" bestFit="1" customWidth="1"/>
    <col min="22" max="22" width="16.85546875" bestFit="1" customWidth="1"/>
    <col min="23" max="23" width="16.7109375" bestFit="1" customWidth="1"/>
    <col min="24" max="24" width="13" bestFit="1" customWidth="1"/>
    <col min="25" max="25" width="20.5703125" bestFit="1" customWidth="1"/>
    <col min="26" max="26" width="14.85546875" bestFit="1" customWidth="1"/>
    <col min="27" max="27" width="35.7109375" customWidth="1"/>
    <col min="28" max="29" width="15.85546875" bestFit="1" customWidth="1"/>
    <col min="30" max="30" width="16.85546875" bestFit="1" customWidth="1"/>
    <col min="31" max="31" width="16.85546875" customWidth="1"/>
    <col min="32" max="33" width="15.85546875" bestFit="1" customWidth="1"/>
    <col min="34" max="34" width="12.5703125" customWidth="1"/>
    <col min="35" max="36" width="14.42578125" customWidth="1"/>
  </cols>
  <sheetData>
    <row r="1" spans="1:38" x14ac:dyDescent="0.25">
      <c r="A1" s="26" t="str">
        <f>'MODEL INTRO'!M19</f>
        <v>S2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</row>
    <row r="2" spans="1:38" x14ac:dyDescent="0.25">
      <c r="A2" s="27" t="str">
        <f>'STR1 Forces'!A2</f>
        <v>Column Forces</v>
      </c>
      <c r="I2" s="103" t="s">
        <v>63</v>
      </c>
      <c r="J2" s="25">
        <f ca="1">MAX(J$65:INDIRECT("G"&amp;$C$61))</f>
        <v>0</v>
      </c>
      <c r="K2" s="25">
        <f ca="1">MAX(K$65:INDIRECT("H"&amp;$C$61))</f>
        <v>0</v>
      </c>
      <c r="L2" s="25">
        <f ca="1">MAX(L$65:INDIRECT("I"&amp;$C$61))</f>
        <v>0</v>
      </c>
      <c r="M2" s="25">
        <f ca="1">MAX(M$65:INDIRECT("J"&amp;$C$61))</f>
        <v>0</v>
      </c>
      <c r="N2" s="25">
        <f ca="1">MAX(N$65:INDIRECT("K"&amp;$C$61))</f>
        <v>0</v>
      </c>
      <c r="O2" s="25">
        <f ca="1">MAX(O$65:INDIRECT("L"&amp;$C$61))</f>
        <v>0</v>
      </c>
      <c r="Q2" s="103" t="s">
        <v>64</v>
      </c>
      <c r="R2" s="25" t="e">
        <f ca="1">LARGE(J$65:INDIRECT("G"&amp;$C$61),2)</f>
        <v>#NUM!</v>
      </c>
      <c r="S2" s="25" t="e">
        <f ca="1">LARGE(K$65:INDIRECT("H"&amp;$C$61),2)</f>
        <v>#NUM!</v>
      </c>
      <c r="T2" s="25" t="e">
        <f ca="1">LARGE(L$65:INDIRECT("I"&amp;$C$61),2)</f>
        <v>#NUM!</v>
      </c>
      <c r="U2" s="25" t="e">
        <f ca="1">LARGE(M$65:INDIRECT("J"&amp;$C$61),2)</f>
        <v>#NUM!</v>
      </c>
      <c r="V2" s="25" t="e">
        <f ca="1">LARGE(N$65:INDIRECT("K"&amp;$C$61),2)</f>
        <v>#NUM!</v>
      </c>
      <c r="W2" s="25" t="e">
        <f ca="1">LARGE(O$65:INDIRECT("L"&amp;$C$61),2)</f>
        <v>#NUM!</v>
      </c>
      <c r="Y2" s="103" t="s">
        <v>65</v>
      </c>
      <c r="Z2" s="25" t="e">
        <f ca="1">LARGE(J$65:INDIRECT("G"&amp;$C$61),3)</f>
        <v>#NUM!</v>
      </c>
      <c r="AA2" s="25" t="e">
        <f ca="1">LARGE(K$65:INDIRECT("H"&amp;$C$61),3)</f>
        <v>#NUM!</v>
      </c>
      <c r="AB2" s="25" t="e">
        <f ca="1">LARGE(L$65:INDIRECT("I"&amp;$C$61),3)</f>
        <v>#NUM!</v>
      </c>
      <c r="AC2" s="25" t="e">
        <f ca="1">LARGE(M$65:INDIRECT("J"&amp;$C$61),3)</f>
        <v>#NUM!</v>
      </c>
      <c r="AD2" s="25" t="e">
        <f ca="1">LARGE(N$65:INDIRECT("K"&amp;$C$61),3)</f>
        <v>#NUM!</v>
      </c>
      <c r="AE2" s="25" t="e">
        <f ca="1">LARGE(O$65:INDIRECT("L"&amp;$C$61),3)</f>
        <v>#NUM!</v>
      </c>
      <c r="AI2" s="24" t="s">
        <v>163</v>
      </c>
    </row>
    <row r="3" spans="1:38" x14ac:dyDescent="0.25">
      <c r="A3" s="27" t="s">
        <v>259</v>
      </c>
      <c r="I3" s="103" t="s">
        <v>30</v>
      </c>
      <c r="J3" s="56" t="e">
        <f ca="1">MATCH(MAX(Q$65:INDIRECT(AB14&amp;$C$61)),Q$65:INDIRECT(AB14&amp;$C$61),0)</f>
        <v>#N/A</v>
      </c>
      <c r="K3" s="56" t="e">
        <f ca="1">MATCH(MAX(R$65:INDIRECT(AC14&amp;$C$61)),R$65:INDIRECT(AC14&amp;$C$61),0)</f>
        <v>#N/A</v>
      </c>
      <c r="L3" s="56" t="e">
        <f ca="1">MATCH(MAX(S$65:INDIRECT(AD14&amp;$C$61)),S$65:INDIRECT(AD14&amp;$C$61),0)</f>
        <v>#N/A</v>
      </c>
      <c r="M3" s="56" t="e">
        <f ca="1">MATCH(MAX(T$65:INDIRECT(AE14&amp;$C$61)),T$65:INDIRECT(AE14&amp;$C$61),0)</f>
        <v>#N/A</v>
      </c>
      <c r="N3" s="56" t="e">
        <f ca="1">MATCH(MAX(U$65:INDIRECT(AF14&amp;$C$61)),U$65:INDIRECT(AF14&amp;$C$61),0)</f>
        <v>#N/A</v>
      </c>
      <c r="O3" s="56" t="e">
        <f ca="1">MATCH(MAX(V$65:INDIRECT(AG14&amp;$C$61)),V$65:INDIRECT(AG14&amp;$C$61),0)</f>
        <v>#N/A</v>
      </c>
      <c r="Q3" s="103" t="s">
        <v>30</v>
      </c>
      <c r="R3" s="56" t="e">
        <f ca="1">MATCH(LARGE(Q$65:INDIRECT(AB14&amp;$C$61),2),Q$65:INDIRECT(AB14&amp;$C$61),0)</f>
        <v>#NUM!</v>
      </c>
      <c r="S3" s="56" t="e">
        <f ca="1">MATCH(LARGE(R$65:INDIRECT(AC14&amp;$C$61),2),R$65:INDIRECT(AC14&amp;$C$61),0)</f>
        <v>#NUM!</v>
      </c>
      <c r="T3" s="56" t="e">
        <f ca="1">MATCH(LARGE(S$65:INDIRECT(AD14&amp;$C$61),2),S$65:INDIRECT(AD14&amp;$C$61),0)</f>
        <v>#NUM!</v>
      </c>
      <c r="U3" s="56" t="e">
        <f ca="1">MATCH(LARGE(T$65:INDIRECT(AE14&amp;$C$61),2),T$65:INDIRECT(AE14&amp;$C$61),0)</f>
        <v>#NUM!</v>
      </c>
      <c r="V3" s="56" t="e">
        <f ca="1">MATCH(LARGE(U$65:INDIRECT(AF14&amp;$C$61),2),U$65:INDIRECT(AF14&amp;$C$61),0)</f>
        <v>#NUM!</v>
      </c>
      <c r="W3" s="56" t="e">
        <f ca="1">MATCH(LARGE(V$65:INDIRECT(AG14&amp;$C$61),2),V$65:INDIRECT(AG14&amp;$C$61),0)</f>
        <v>#NUM!</v>
      </c>
      <c r="Y3" s="103" t="s">
        <v>30</v>
      </c>
      <c r="Z3" s="56" t="e">
        <f ca="1">MATCH(LARGE(Q$65:INDIRECT(AB14&amp;$C$61),3),Q$65:INDIRECT(AB14&amp;$C$61),0)</f>
        <v>#NUM!</v>
      </c>
      <c r="AA3" s="56" t="e">
        <f ca="1">MATCH(LARGE(R$65:INDIRECT(AC14&amp;$C$61),3),R$65:INDIRECT(AC14&amp;$C$61),0)</f>
        <v>#NUM!</v>
      </c>
      <c r="AB3" s="56" t="e">
        <f ca="1">MATCH(LARGE(S$65:INDIRECT(AD14&amp;$C$61),3),S$65:INDIRECT(AD14&amp;$C$61),0)</f>
        <v>#NUM!</v>
      </c>
      <c r="AC3" s="56" t="e">
        <f ca="1">MATCH(LARGE(T$65:INDIRECT(AE14&amp;$C$61),3),T$65:INDIRECT(AE14&amp;$C$61),0)</f>
        <v>#NUM!</v>
      </c>
      <c r="AD3" s="56" t="e">
        <f ca="1">MATCH(LARGE(U$65:INDIRECT(AF14&amp;$C$61),3),U$65:INDIRECT(AF14&amp;$C$61),0)</f>
        <v>#NUM!</v>
      </c>
      <c r="AE3" s="56" t="e">
        <f ca="1">MATCH(LARGE(V$65:INDIRECT(AG14&amp;$C$61),3),V$65:INDIRECT(AG14&amp;$C$61),0)</f>
        <v>#NUM!</v>
      </c>
      <c r="AI3" s="24" t="s">
        <v>164</v>
      </c>
      <c r="AJ3" s="71" t="s">
        <v>146</v>
      </c>
    </row>
    <row r="4" spans="1:38" x14ac:dyDescent="0.25">
      <c r="I4" s="103"/>
      <c r="J4" s="69"/>
      <c r="K4" s="69"/>
      <c r="L4" s="69"/>
      <c r="M4" s="69"/>
      <c r="N4" s="69"/>
      <c r="O4" s="69"/>
      <c r="Q4" s="103"/>
      <c r="R4" s="69"/>
      <c r="S4" s="69"/>
      <c r="T4" s="69"/>
      <c r="U4" s="69"/>
      <c r="V4" s="69"/>
      <c r="W4" s="69"/>
      <c r="Y4" s="103"/>
      <c r="Z4" s="69"/>
      <c r="AA4" s="69"/>
      <c r="AB4" s="69"/>
      <c r="AC4" s="69"/>
      <c r="AD4" s="69"/>
      <c r="AE4" s="69"/>
      <c r="AI4" s="24" t="s">
        <v>165</v>
      </c>
      <c r="AJ4" s="71" t="s">
        <v>147</v>
      </c>
    </row>
    <row r="5" spans="1:38" x14ac:dyDescent="0.25">
      <c r="I5" s="103" t="s">
        <v>66</v>
      </c>
      <c r="J5" s="25">
        <f ca="1">MIN(J$65:INDIRECT("G"&amp;$C$61))</f>
        <v>0</v>
      </c>
      <c r="K5" s="25">
        <f ca="1">MIN(K$65:INDIRECT("H"&amp;$C$61))</f>
        <v>0</v>
      </c>
      <c r="L5" s="25">
        <f ca="1">MIN(L$65:INDIRECT("I"&amp;$C$61))</f>
        <v>0</v>
      </c>
      <c r="M5" s="25">
        <f ca="1">MIN(M$65:INDIRECT("J"&amp;$C$61))</f>
        <v>0</v>
      </c>
      <c r="N5" s="25">
        <f ca="1">MIN(N$65:INDIRECT("K"&amp;$C$61))</f>
        <v>0</v>
      </c>
      <c r="O5" s="25">
        <f ca="1">MIN(O$65:INDIRECT("L"&amp;$C$61))</f>
        <v>0</v>
      </c>
      <c r="Q5" s="103" t="s">
        <v>67</v>
      </c>
      <c r="R5" s="25" t="e">
        <f ca="1">SMALL(J$65:INDIRECT("G"&amp;$C$61),2)</f>
        <v>#NUM!</v>
      </c>
      <c r="S5" s="25" t="e">
        <f ca="1">SMALL(K$65:INDIRECT("H"&amp;$C$61),2)</f>
        <v>#NUM!</v>
      </c>
      <c r="T5" s="25" t="e">
        <f ca="1">SMALL(L$65:INDIRECT("I"&amp;$C$61),2)</f>
        <v>#NUM!</v>
      </c>
      <c r="U5" s="25" t="e">
        <f ca="1">SMALL(M$65:INDIRECT("J"&amp;$C$61),2)</f>
        <v>#NUM!</v>
      </c>
      <c r="V5" s="25" t="e">
        <f ca="1">SMALL(N$65:INDIRECT("K"&amp;$C$61),2)</f>
        <v>#NUM!</v>
      </c>
      <c r="W5" s="25" t="e">
        <f ca="1">SMALL(O$65:INDIRECT("L"&amp;$C$61),2)</f>
        <v>#NUM!</v>
      </c>
      <c r="Y5" s="103" t="s">
        <v>68</v>
      </c>
      <c r="Z5" s="25" t="e">
        <f ca="1">SMALL(J$65:INDIRECT("G"&amp;$C$61),3)</f>
        <v>#NUM!</v>
      </c>
      <c r="AA5" s="25" t="e">
        <f ca="1">SMALL(K$65:INDIRECT("H"&amp;$C$61),3)</f>
        <v>#NUM!</v>
      </c>
      <c r="AB5" s="25" t="e">
        <f ca="1">SMALL(L$65:INDIRECT("I"&amp;$C$61),3)</f>
        <v>#NUM!</v>
      </c>
      <c r="AC5" s="25" t="e">
        <f ca="1">SMALL(M$65:INDIRECT("J"&amp;$C$61),3)</f>
        <v>#NUM!</v>
      </c>
      <c r="AD5" s="25" t="e">
        <f ca="1">SMALL(N$65:INDIRECT("K"&amp;$C$61),3)</f>
        <v>#NUM!</v>
      </c>
      <c r="AE5" s="25" t="e">
        <f ca="1">SMALL(O$65:INDIRECT("L"&amp;$C$61),3)</f>
        <v>#NUM!</v>
      </c>
      <c r="AI5" s="24" t="s">
        <v>166</v>
      </c>
      <c r="AJ5" s="70" t="s">
        <v>148</v>
      </c>
    </row>
    <row r="6" spans="1:38" x14ac:dyDescent="0.25">
      <c r="I6" s="103" t="s">
        <v>30</v>
      </c>
      <c r="J6" s="56" t="e">
        <f ca="1">MATCH(MIN(Q$65:INDIRECT(AB14&amp;$C$61)),Q$65:INDIRECT(AB14&amp;$C$61),0)</f>
        <v>#N/A</v>
      </c>
      <c r="K6" s="56" t="e">
        <f ca="1">MATCH(MIN(R$65:INDIRECT(AC14&amp;$C$61)),R$65:INDIRECT(AC14&amp;$C$61),0)</f>
        <v>#N/A</v>
      </c>
      <c r="L6" s="56" t="e">
        <f ca="1">MATCH(MIN(S$65:INDIRECT(AD14&amp;$C$61)),S$65:INDIRECT(AD14&amp;$C$61),0)</f>
        <v>#N/A</v>
      </c>
      <c r="M6" s="56" t="e">
        <f ca="1">MATCH(MIN(T$65:INDIRECT(AE14&amp;$C$61)),T$65:INDIRECT(AE14&amp;$C$61),0)</f>
        <v>#N/A</v>
      </c>
      <c r="N6" s="56" t="e">
        <f ca="1">MATCH(MIN(U$65:INDIRECT(AF14&amp;$C$61)),U$65:INDIRECT(AF14&amp;$C$61),0)</f>
        <v>#N/A</v>
      </c>
      <c r="O6" s="56" t="e">
        <f ca="1">MATCH(MIN(V$65:INDIRECT(AG14&amp;$C$61)),V$65:INDIRECT(AG14&amp;$C$61),0)</f>
        <v>#N/A</v>
      </c>
      <c r="Q6" s="103" t="s">
        <v>30</v>
      </c>
      <c r="R6" s="56" t="e">
        <f ca="1">MATCH(SMALL(Q$65:INDIRECT(AB14&amp;$C$61),2),Q$65:INDIRECT(AB14&amp;$C$61),0)</f>
        <v>#NUM!</v>
      </c>
      <c r="S6" s="56" t="e">
        <f ca="1">MATCH(SMALL(R$65:INDIRECT(AC14&amp;$C$61),2),R$65:INDIRECT(AC14&amp;$C$61),0)</f>
        <v>#NUM!</v>
      </c>
      <c r="T6" s="56" t="e">
        <f ca="1">MATCH(SMALL(S$65:INDIRECT(AD14&amp;$C$61),2),S$65:INDIRECT(AD14&amp;$C$61),0)</f>
        <v>#NUM!</v>
      </c>
      <c r="U6" s="56" t="e">
        <f ca="1">MATCH(SMALL(T$65:INDIRECT(AE14&amp;$C$61),2),T$65:INDIRECT(AE14&amp;$C$61),0)</f>
        <v>#NUM!</v>
      </c>
      <c r="V6" s="56" t="e">
        <f ca="1">MATCH(SMALL(U$65:INDIRECT(AF14&amp;$C$61),2),U$65:INDIRECT(AF14&amp;$C$61),0)</f>
        <v>#NUM!</v>
      </c>
      <c r="W6" s="56" t="e">
        <f ca="1">MATCH(SMALL(V$65:INDIRECT(AG14&amp;$C$61),2),V$65:INDIRECT(AG14&amp;$C$61),0)</f>
        <v>#NUM!</v>
      </c>
      <c r="Y6" s="103" t="s">
        <v>30</v>
      </c>
      <c r="Z6" s="56" t="e">
        <f ca="1">MATCH(SMALL(Q$65:INDIRECT(AB14&amp;$C$61),3),Q$65:INDIRECT(AB14&amp;$C$61),0)</f>
        <v>#NUM!</v>
      </c>
      <c r="AA6" s="56" t="e">
        <f ca="1">MATCH(SMALL(R$65:INDIRECT(AC14&amp;$C$61),3),R$65:INDIRECT(AC14&amp;$C$61),0)</f>
        <v>#NUM!</v>
      </c>
      <c r="AB6" s="56" t="e">
        <f ca="1">MATCH(SMALL(S$65:INDIRECT(AD14&amp;$C$61),3),S$65:INDIRECT(AD14&amp;$C$61),0)</f>
        <v>#NUM!</v>
      </c>
      <c r="AC6" s="56" t="e">
        <f ca="1">MATCH(SMALL(T$65:INDIRECT(AE14&amp;$C$61),3),T$65:INDIRECT(AE14&amp;$C$61),0)</f>
        <v>#NUM!</v>
      </c>
      <c r="AD6" s="56" t="e">
        <f ca="1">MATCH(SMALL(U$65:INDIRECT(AF14&amp;$C$61),3),U$65:INDIRECT(AF14&amp;$C$61),0)</f>
        <v>#NUM!</v>
      </c>
      <c r="AE6" s="56" t="e">
        <f ca="1">MATCH(SMALL(V$65:INDIRECT(AG14&amp;$C$61),3),V$65:INDIRECT(AG14&amp;$C$61),0)</f>
        <v>#NUM!</v>
      </c>
      <c r="AI6" s="24" t="s">
        <v>167</v>
      </c>
      <c r="AJ6" s="70" t="s">
        <v>159</v>
      </c>
    </row>
    <row r="7" spans="1:38" x14ac:dyDescent="0.25">
      <c r="Q7" s="104"/>
      <c r="AJ7" s="72" t="s">
        <v>160</v>
      </c>
    </row>
    <row r="8" spans="1:38" x14ac:dyDescent="0.25">
      <c r="Q8" s="104"/>
      <c r="AJ8" t="s">
        <v>161</v>
      </c>
    </row>
    <row r="9" spans="1:38" x14ac:dyDescent="0.25">
      <c r="Q9" s="104"/>
    </row>
    <row r="10" spans="1:38" x14ac:dyDescent="0.25">
      <c r="Q10" s="104"/>
      <c r="AC10" s="23"/>
      <c r="AD10" s="64" t="s">
        <v>176</v>
      </c>
      <c r="AE10" s="76">
        <v>0</v>
      </c>
      <c r="AF10" t="s">
        <v>183</v>
      </c>
    </row>
    <row r="11" spans="1:38" x14ac:dyDescent="0.25">
      <c r="Q11" s="104"/>
      <c r="AC11" s="23"/>
      <c r="AD11" s="64" t="s">
        <v>177</v>
      </c>
      <c r="AE11" s="76">
        <v>2983</v>
      </c>
    </row>
    <row r="12" spans="1:38" x14ac:dyDescent="0.25">
      <c r="D12" s="69" t="s">
        <v>0</v>
      </c>
      <c r="E12" s="69" t="s">
        <v>266</v>
      </c>
      <c r="F12" s="106" t="s">
        <v>191</v>
      </c>
      <c r="G12" s="28" t="s">
        <v>192</v>
      </c>
      <c r="H12" s="28" t="s">
        <v>193</v>
      </c>
      <c r="I12" s="28" t="s">
        <v>194</v>
      </c>
      <c r="J12" t="s">
        <v>129</v>
      </c>
      <c r="K12" t="s">
        <v>5</v>
      </c>
      <c r="L12" t="s">
        <v>6</v>
      </c>
      <c r="M12" t="s">
        <v>7</v>
      </c>
      <c r="N12" t="s">
        <v>8</v>
      </c>
      <c r="O12" t="s">
        <v>9</v>
      </c>
      <c r="P12" t="s">
        <v>10</v>
      </c>
      <c r="Q12" s="104"/>
      <c r="T12" s="69" t="s">
        <v>122</v>
      </c>
      <c r="U12" s="69" t="s">
        <v>0</v>
      </c>
      <c r="V12" s="69" t="s">
        <v>266</v>
      </c>
      <c r="W12" s="28" t="s">
        <v>191</v>
      </c>
      <c r="X12" s="28" t="s">
        <v>192</v>
      </c>
      <c r="Y12" s="28" t="s">
        <v>193</v>
      </c>
      <c r="Z12" s="28" t="s">
        <v>194</v>
      </c>
      <c r="AA12" s="69" t="s">
        <v>129</v>
      </c>
      <c r="AB12" s="69" t="s">
        <v>123</v>
      </c>
      <c r="AC12" s="69" t="s">
        <v>124</v>
      </c>
      <c r="AD12" s="69" t="s">
        <v>125</v>
      </c>
      <c r="AE12" s="69" t="s">
        <v>126</v>
      </c>
      <c r="AF12" s="69" t="s">
        <v>127</v>
      </c>
      <c r="AG12" s="69" t="s">
        <v>128</v>
      </c>
      <c r="AH12" s="69" t="s">
        <v>153</v>
      </c>
      <c r="AI12" s="69" t="s">
        <v>149</v>
      </c>
      <c r="AJ12" s="69" t="s">
        <v>162</v>
      </c>
      <c r="AL12" s="89"/>
    </row>
    <row r="13" spans="1:38" x14ac:dyDescent="0.25">
      <c r="D13" s="69"/>
      <c r="F13" s="69"/>
      <c r="Q13" s="104"/>
      <c r="T13" s="24"/>
      <c r="AB13" s="69" t="s">
        <v>150</v>
      </c>
      <c r="AC13" s="69" t="s">
        <v>151</v>
      </c>
      <c r="AD13" s="69" t="s">
        <v>152</v>
      </c>
      <c r="AE13" s="69" t="s">
        <v>198</v>
      </c>
      <c r="AF13" s="69" t="s">
        <v>154</v>
      </c>
      <c r="AG13" s="69" t="s">
        <v>155</v>
      </c>
      <c r="AH13" s="69"/>
      <c r="AI13" s="69"/>
      <c r="AJ13" s="69"/>
    </row>
    <row r="14" spans="1:38" x14ac:dyDescent="0.25">
      <c r="C14" s="24" t="s">
        <v>30</v>
      </c>
      <c r="D14" s="69"/>
      <c r="E14" s="69"/>
      <c r="F14" s="69"/>
      <c r="Q14" s="104"/>
      <c r="T14" s="24"/>
      <c r="V14" s="69"/>
      <c r="AB14" s="69" t="s">
        <v>156</v>
      </c>
      <c r="AC14" s="69" t="s">
        <v>157</v>
      </c>
      <c r="AD14" s="69" t="s">
        <v>158</v>
      </c>
      <c r="AE14" s="69" t="s">
        <v>195</v>
      </c>
      <c r="AF14" s="69" t="s">
        <v>196</v>
      </c>
      <c r="AG14" s="69" t="s">
        <v>197</v>
      </c>
      <c r="AH14" s="69"/>
      <c r="AI14" s="69"/>
      <c r="AJ14" s="69"/>
    </row>
    <row r="15" spans="1:38" x14ac:dyDescent="0.25">
      <c r="A15" s="73" t="s">
        <v>69</v>
      </c>
      <c r="B15" s="69" t="s">
        <v>31</v>
      </c>
      <c r="C15" s="73" t="e">
        <f ca="1">J3</f>
        <v>#N/A</v>
      </c>
      <c r="D15" s="69" t="e">
        <f ca="1">INDEX(D$65:INDIRECT("D"&amp;$C$61),$C15)</f>
        <v>#N/A</v>
      </c>
      <c r="E15" s="69" t="e">
        <f ca="1">INDEX(INDIRECT(("'MemberID'!$C$6:C"&amp;MemberID!$C$1)),MATCH(D15,INDIRECT(("'MemberID'!$G$6:G"&amp;MemberID!$C$1)),0))</f>
        <v>#N/A</v>
      </c>
      <c r="F15" s="69" t="e">
        <f ca="1">INDEX(E$65:INDIRECT("E"&amp;$C$61),$C15)</f>
        <v>#N/A</v>
      </c>
      <c r="G15" t="e">
        <f ca="1">INDEX(F$65:INDIRECT("F"&amp;$C$61),$C15)</f>
        <v>#N/A</v>
      </c>
      <c r="H15" t="e">
        <f ca="1">INDEX(G$65:INDIRECT("G"&amp;$C$61),$C15)</f>
        <v>#N/A</v>
      </c>
      <c r="I15" t="e">
        <f ca="1">INDEX(H$65:INDIRECT("H"&amp;$C$61),$C15)</f>
        <v>#N/A</v>
      </c>
      <c r="J15" t="e">
        <f ca="1">INDEX(I$65:INDIRECT("I"&amp;$C$61),$C15)</f>
        <v>#N/A</v>
      </c>
      <c r="K15" s="23" t="e">
        <f ca="1">INDEX(J$65:INDIRECT("J"&amp;$C$61),$C15)</f>
        <v>#N/A</v>
      </c>
      <c r="L15" t="e">
        <f ca="1">INDEX(K$65:INDIRECT("K"&amp;$C$61),$C15)</f>
        <v>#N/A</v>
      </c>
      <c r="M15" t="e">
        <f ca="1">INDEX(L$65:INDIRECT("L"&amp;$C$61),$C15)</f>
        <v>#N/A</v>
      </c>
      <c r="N15" t="e">
        <f ca="1">INDEX(M$65:INDIRECT("M"&amp;$C$61),$C15)</f>
        <v>#N/A</v>
      </c>
      <c r="O15" t="e">
        <f ca="1">INDEX(N$65:INDIRECT("N"&amp;$C$61),$C15)</f>
        <v>#N/A</v>
      </c>
      <c r="P15" t="e">
        <f ca="1">INDEX(O$65:INDIRECT("O"&amp;$C$61),$C15)</f>
        <v>#N/A</v>
      </c>
      <c r="Q15" s="104"/>
      <c r="R15" s="73" t="s">
        <v>69</v>
      </c>
      <c r="S15" s="69" t="s">
        <v>31</v>
      </c>
      <c r="T15" s="73" t="e">
        <f t="array" aca="1" ref="T15" ca="1">MATCH(IF(ISBLANK($AE$11),LARGE(IF($E$65:INDIRECT("E"&amp;$C$61)=$AE$10,INDIRECT(AJ15&amp;65):INDIRECT(AJ15&amp;$C$61)),$AH15),IF(ISBLANK($AE$10),LARGE(IF($D$65:INDIRECT("D"&amp;$C$61)=$AE$11,INDIRECT(AJ15&amp;65):INDIRECT(AJ15&amp;$C$61)),$AH15),LARGE(IF(($E$65:INDIRECT("E"&amp;$C$61)=$AE$10)*($D$65:INDIRECT("D"&amp;$C$61)=$AE$11),INDIRECT(AJ15&amp;65):INDIRECT(AJ15&amp;$C$61)),$AH15))),INDIRECT(AJ15&amp;65):INDIRECT(AJ15&amp;$C$61),0)</f>
        <v>#NUM!</v>
      </c>
      <c r="U15" s="69" t="e">
        <f ca="1">INDEX(D$65:INDIRECT("D"&amp;$C$61),$T15)</f>
        <v>#NUM!</v>
      </c>
      <c r="V15" s="69" t="e">
        <f ca="1">INDEX(INDIRECT(("'MemberID'!$C$6:C"&amp;MemberID!$C$1)),MATCH(U15,INDIRECT(("'MemberID'!$G$6:G"&amp;MemberID!$C$1)),0))</f>
        <v>#NUM!</v>
      </c>
      <c r="W15" s="69" t="e">
        <f ca="1">INDEX(E$65:INDIRECT("E"&amp;$C$61),$T15)</f>
        <v>#NUM!</v>
      </c>
      <c r="X15" t="e">
        <f ca="1">INDEX(F$65:INDIRECT("F"&amp;$C$61),$T15)</f>
        <v>#NUM!</v>
      </c>
      <c r="Y15" t="e">
        <f ca="1">INDEX(G$65:INDIRECT("G"&amp;$C$61),$T15)</f>
        <v>#NUM!</v>
      </c>
      <c r="Z15" t="e">
        <f ca="1">INDEX(H$65:INDIRECT("H"&amp;$C$61),$T15)</f>
        <v>#NUM!</v>
      </c>
      <c r="AA15" t="e">
        <f ca="1">INDEX(I$65:INDIRECT("I"&amp;$C$61),$T15)</f>
        <v>#NUM!</v>
      </c>
      <c r="AB15" s="23" t="e">
        <f t="array" aca="1" ref="AB15" ca="1">IF(ISBLANK($AE$11),LARGE(IF($E$65:INDIRECT("E"&amp;$C$61)=$AE$10,J$65:INDIRECT(AB$13&amp;$C$61)),$AH15),IF(ISBLANK($AE$10),LARGE(IF($D$65:INDIRECT("D"&amp;$C$61)=$AE$11,J$65:INDIRECT(AB$13&amp;$C$61)),$AH15),LARGE(IF(($E$65:INDIRECT("E"&amp;$C$61)=$AE$10)*($D$65:INDIRECT("D"&amp;$C$61)=$AE$11),J$65:INDIRECT(AB$13&amp;$C$61)),$AH15)))</f>
        <v>#NUM!</v>
      </c>
      <c r="AC15" t="e">
        <f ca="1">INDEX(K$65:INDIRECT("K"&amp;$C$61),$T15)</f>
        <v>#NUM!</v>
      </c>
      <c r="AD15" t="e">
        <f ca="1">INDEX(L$65:INDIRECT("L"&amp;$C$61),$T15)</f>
        <v>#NUM!</v>
      </c>
      <c r="AE15" t="e">
        <f ca="1">INDEX(M$65:INDIRECT("M"&amp;$C$61),$T15)</f>
        <v>#NUM!</v>
      </c>
      <c r="AF15" t="e">
        <f ca="1">INDEX(N$65:INDIRECT("N"&amp;$C$61),$T15)</f>
        <v>#NUM!</v>
      </c>
      <c r="AG15" t="e">
        <f ca="1">INDEX(O$65:INDIRECT("O"&amp;$C$61),$T15)</f>
        <v>#NUM!</v>
      </c>
      <c r="AH15" s="69">
        <v>1</v>
      </c>
      <c r="AI15" s="69" t="s">
        <v>150</v>
      </c>
      <c r="AJ15" s="69" t="s">
        <v>156</v>
      </c>
    </row>
    <row r="16" spans="1:38" x14ac:dyDescent="0.25">
      <c r="A16" s="73" t="s">
        <v>70</v>
      </c>
      <c r="B16" s="69" t="s">
        <v>31</v>
      </c>
      <c r="C16" s="73" t="e">
        <f ca="1">R3</f>
        <v>#NUM!</v>
      </c>
      <c r="D16" s="69" t="e">
        <f ca="1">INDEX(D$65:INDIRECT("D"&amp;$C$61),$C16)</f>
        <v>#NUM!</v>
      </c>
      <c r="E16" s="69" t="e">
        <f ca="1">INDEX(INDIRECT(("'MemberID'!$C$6:C"&amp;MemberID!$C$1)),MATCH(D16,INDIRECT(("'MemberID'!$G$6:G"&amp;MemberID!$C$1)),0))</f>
        <v>#NUM!</v>
      </c>
      <c r="F16" s="69" t="e">
        <f ca="1">INDEX(E$65:INDIRECT("E"&amp;$C$61),$C16)</f>
        <v>#NUM!</v>
      </c>
      <c r="G16" t="e">
        <f ca="1">INDEX(F$65:INDIRECT("F"&amp;$C$61),$C16)</f>
        <v>#NUM!</v>
      </c>
      <c r="H16" t="e">
        <f ca="1">INDEX(G$65:INDIRECT("G"&amp;$C$61),$C16)</f>
        <v>#NUM!</v>
      </c>
      <c r="I16" t="e">
        <f ca="1">INDEX(H$65:INDIRECT("H"&amp;$C$61),$C16)</f>
        <v>#NUM!</v>
      </c>
      <c r="J16" t="e">
        <f ca="1">INDEX(I$65:INDIRECT("I"&amp;$C$61),$C16)</f>
        <v>#NUM!</v>
      </c>
      <c r="K16" s="23" t="e">
        <f ca="1">INDEX(J$65:INDIRECT("J"&amp;$C$61),$C16)</f>
        <v>#NUM!</v>
      </c>
      <c r="L16" t="e">
        <f ca="1">INDEX(K$65:INDIRECT("K"&amp;$C$61),$C16)</f>
        <v>#NUM!</v>
      </c>
      <c r="M16" t="e">
        <f ca="1">INDEX(L$65:INDIRECT("L"&amp;$C$61),$C16)</f>
        <v>#NUM!</v>
      </c>
      <c r="N16" t="e">
        <f ca="1">INDEX(M$65:INDIRECT("M"&amp;$C$61),$C16)</f>
        <v>#NUM!</v>
      </c>
      <c r="O16" t="e">
        <f ca="1">INDEX(N$65:INDIRECT("N"&amp;$C$61),$C16)</f>
        <v>#NUM!</v>
      </c>
      <c r="P16" t="e">
        <f ca="1">INDEX(O$65:INDIRECT("O"&amp;$C$61),$C16)</f>
        <v>#NUM!</v>
      </c>
      <c r="Q16" s="104"/>
      <c r="R16" s="73" t="s">
        <v>70</v>
      </c>
      <c r="S16" s="69" t="s">
        <v>31</v>
      </c>
      <c r="T16" s="73" t="e">
        <f t="array" aca="1" ref="T16" ca="1">MATCH(IF(ISBLANK($AE$11),LARGE(IF($E$65:INDIRECT("E"&amp;$C$61)=$AE$10,INDIRECT(AJ16&amp;65):INDIRECT(AJ16&amp;$C$61)),$AH16),IF(ISBLANK($AE$10),LARGE(IF($D$65:INDIRECT("D"&amp;$C$61)=$AE$11,INDIRECT(AJ16&amp;65):INDIRECT(AJ16&amp;$C$61)),$AH16),LARGE(IF(($E$65:INDIRECT("E"&amp;$C$61)=$AE$10)*($D$65:INDIRECT("D"&amp;$C$61)=$AE$11),INDIRECT(AJ16&amp;65):INDIRECT(AJ16&amp;$C$61)),$AH16))),INDIRECT(AJ16&amp;65):INDIRECT(AJ16&amp;$C$61),0)</f>
        <v>#NUM!</v>
      </c>
      <c r="U16" s="69" t="e">
        <f ca="1">INDEX(D$65:INDIRECT("D"&amp;$C$61),$T16)</f>
        <v>#NUM!</v>
      </c>
      <c r="V16" s="69" t="e">
        <f ca="1">INDEX(INDIRECT(("'MemberID'!$C$6:C"&amp;MemberID!$C$1)),MATCH(U16,INDIRECT(("'MemberID'!$G$6:G"&amp;MemberID!$C$1)),0))</f>
        <v>#NUM!</v>
      </c>
      <c r="W16" s="69" t="e">
        <f ca="1">INDEX(E$65:INDIRECT("E"&amp;$C$61),$T16)</f>
        <v>#NUM!</v>
      </c>
      <c r="X16" t="e">
        <f ca="1">INDEX(F$65:INDIRECT("F"&amp;$C$61),$T16)</f>
        <v>#NUM!</v>
      </c>
      <c r="Y16" t="e">
        <f ca="1">INDEX(G$65:INDIRECT("G"&amp;$C$61),$T16)</f>
        <v>#NUM!</v>
      </c>
      <c r="Z16" t="e">
        <f ca="1">INDEX(H$65:INDIRECT("H"&amp;$C$61),$T16)</f>
        <v>#NUM!</v>
      </c>
      <c r="AA16" t="e">
        <f ca="1">INDEX(I$65:INDIRECT("I"&amp;$C$61),$T16)</f>
        <v>#NUM!</v>
      </c>
      <c r="AB16" s="23" t="e">
        <f t="array" aca="1" ref="AB16" ca="1">IF(ISBLANK($AE$11),LARGE(IF($E$65:INDIRECT("E"&amp;$C$61)=$AE$10,J$65:INDIRECT(AB$13&amp;$C$61)),$AH16),IF(ISBLANK($AE$10),LARGE(IF($D$65:INDIRECT("D"&amp;$C$61)=$AE$11,J$65:INDIRECT(AB$13&amp;$C$61)),$AH16),LARGE(IF(($E$65:INDIRECT("E"&amp;$C$61)=$AE$10)*($D$65:INDIRECT("D"&amp;$C$61)=$AE$11),J$65:INDIRECT(AB$13&amp;$C$61)),$AH16)))</f>
        <v>#NUM!</v>
      </c>
      <c r="AC16" t="e">
        <f ca="1">INDEX(K$65:INDIRECT("K"&amp;$C$61),$T16)</f>
        <v>#NUM!</v>
      </c>
      <c r="AD16" t="e">
        <f ca="1">INDEX(L$65:INDIRECT("L"&amp;$C$61),$T16)</f>
        <v>#NUM!</v>
      </c>
      <c r="AE16" t="e">
        <f ca="1">INDEX(M$65:INDIRECT("M"&amp;$C$61),$T16)</f>
        <v>#NUM!</v>
      </c>
      <c r="AF16" t="e">
        <f ca="1">INDEX(N$65:INDIRECT("N"&amp;$C$61),$T16)</f>
        <v>#NUM!</v>
      </c>
      <c r="AG16" t="e">
        <f ca="1">INDEX(O$65:INDIRECT("O"&amp;$C$61),$T16)</f>
        <v>#NUM!</v>
      </c>
      <c r="AH16" s="69">
        <v>2</v>
      </c>
      <c r="AI16" s="69" t="str">
        <f>AI15</f>
        <v>J</v>
      </c>
      <c r="AJ16" s="69" t="str">
        <f>AJ15</f>
        <v>Q</v>
      </c>
    </row>
    <row r="17" spans="1:36" x14ac:dyDescent="0.25">
      <c r="A17" s="73" t="s">
        <v>71</v>
      </c>
      <c r="B17" s="69" t="s">
        <v>31</v>
      </c>
      <c r="C17" s="73" t="e">
        <f ca="1">Z3</f>
        <v>#NUM!</v>
      </c>
      <c r="D17" s="69" t="e">
        <f ca="1">INDEX(D$65:INDIRECT("D"&amp;$C$61),$C17)</f>
        <v>#NUM!</v>
      </c>
      <c r="E17" s="69" t="e">
        <f ca="1">INDEX(INDIRECT(("'MemberID'!$C$6:C"&amp;MemberID!$C$1)),MATCH(D17,INDIRECT(("'MemberID'!$G$6:G"&amp;MemberID!$C$1)),0))</f>
        <v>#NUM!</v>
      </c>
      <c r="F17" s="69" t="e">
        <f ca="1">INDEX(E$65:INDIRECT("E"&amp;$C$61),$C17)</f>
        <v>#NUM!</v>
      </c>
      <c r="G17" t="e">
        <f ca="1">INDEX(F$65:INDIRECT("F"&amp;$C$61),$C17)</f>
        <v>#NUM!</v>
      </c>
      <c r="H17" t="e">
        <f ca="1">INDEX(G$65:INDIRECT("G"&amp;$C$61),$C17)</f>
        <v>#NUM!</v>
      </c>
      <c r="I17" t="e">
        <f ca="1">INDEX(H$65:INDIRECT("H"&amp;$C$61),$C17)</f>
        <v>#NUM!</v>
      </c>
      <c r="J17" t="e">
        <f ca="1">INDEX(I$65:INDIRECT("I"&amp;$C$61),$C17)</f>
        <v>#NUM!</v>
      </c>
      <c r="K17" s="23" t="e">
        <f ca="1">INDEX(J$65:INDIRECT("J"&amp;$C$61),$C17)</f>
        <v>#NUM!</v>
      </c>
      <c r="L17" t="e">
        <f ca="1">INDEX(K$65:INDIRECT("K"&amp;$C$61),$C17)</f>
        <v>#NUM!</v>
      </c>
      <c r="M17" t="e">
        <f ca="1">INDEX(L$65:INDIRECT("L"&amp;$C$61),$C17)</f>
        <v>#NUM!</v>
      </c>
      <c r="N17" t="e">
        <f ca="1">INDEX(M$65:INDIRECT("M"&amp;$C$61),$C17)</f>
        <v>#NUM!</v>
      </c>
      <c r="O17" t="e">
        <f ca="1">INDEX(N$65:INDIRECT("N"&amp;$C$61),$C17)</f>
        <v>#NUM!</v>
      </c>
      <c r="P17" t="e">
        <f ca="1">INDEX(O$65:INDIRECT("O"&amp;$C$61),$C17)</f>
        <v>#NUM!</v>
      </c>
      <c r="Q17" s="104"/>
      <c r="R17" s="73" t="s">
        <v>71</v>
      </c>
      <c r="S17" s="69" t="s">
        <v>31</v>
      </c>
      <c r="T17" s="73" t="e">
        <f t="array" aca="1" ref="T17" ca="1">MATCH(IF(ISBLANK($AE$11),LARGE(IF($E$65:INDIRECT("E"&amp;$C$61)=$AE$10,INDIRECT(AJ17&amp;65):INDIRECT(AJ17&amp;$C$61)),$AH17),IF(ISBLANK($AE$10),LARGE(IF($D$65:INDIRECT("D"&amp;$C$61)=$AE$11,INDIRECT(AJ17&amp;65):INDIRECT(AJ17&amp;$C$61)),$AH17),LARGE(IF(($E$65:INDIRECT("E"&amp;$C$61)=$AE$10)*($D$65:INDIRECT("D"&amp;$C$61)=$AE$11),INDIRECT(AJ17&amp;65):INDIRECT(AJ17&amp;$C$61)),$AH17))),INDIRECT(AJ17&amp;65):INDIRECT(AJ17&amp;$C$61),0)</f>
        <v>#NUM!</v>
      </c>
      <c r="U17" s="69" t="e">
        <f ca="1">INDEX(D$65:INDIRECT("D"&amp;$C$61),$T17)</f>
        <v>#NUM!</v>
      </c>
      <c r="V17" s="69" t="e">
        <f ca="1">INDEX(INDIRECT(("'MemberID'!$C$6:C"&amp;MemberID!$C$1)),MATCH(U17,INDIRECT(("'MemberID'!$G$6:G"&amp;MemberID!$C$1)),0))</f>
        <v>#NUM!</v>
      </c>
      <c r="W17" s="69" t="e">
        <f ca="1">INDEX(E$65:INDIRECT("E"&amp;$C$61),$T17)</f>
        <v>#NUM!</v>
      </c>
      <c r="X17" t="e">
        <f ca="1">INDEX(F$65:INDIRECT("F"&amp;$C$61),$T17)</f>
        <v>#NUM!</v>
      </c>
      <c r="Y17" t="e">
        <f ca="1">INDEX(G$65:INDIRECT("G"&amp;$C$61),$T17)</f>
        <v>#NUM!</v>
      </c>
      <c r="Z17" t="e">
        <f ca="1">INDEX(H$65:INDIRECT("H"&amp;$C$61),$T17)</f>
        <v>#NUM!</v>
      </c>
      <c r="AA17" t="e">
        <f ca="1">INDEX(I$65:INDIRECT("I"&amp;$C$61),$T17)</f>
        <v>#NUM!</v>
      </c>
      <c r="AB17" s="23" t="e">
        <f t="array" aca="1" ref="AB17" ca="1">IF(ISBLANK($AE$11),LARGE(IF($E$65:INDIRECT("E"&amp;$C$61)=$AE$10,J$65:INDIRECT(AB$13&amp;$C$61)),$AH17),IF(ISBLANK($AE$10),LARGE(IF($D$65:INDIRECT("D"&amp;$C$61)=$AE$11,J$65:INDIRECT(AB$13&amp;$C$61)),$AH17),LARGE(IF(($E$65:INDIRECT("E"&amp;$C$61)=$AE$10)*($D$65:INDIRECT("D"&amp;$C$61)=$AE$11),J$65:INDIRECT(AB$13&amp;$C$61)),$AH17)))</f>
        <v>#NUM!</v>
      </c>
      <c r="AC17" t="e">
        <f ca="1">INDEX(K$65:INDIRECT("K"&amp;$C$61),$T17)</f>
        <v>#NUM!</v>
      </c>
      <c r="AD17" t="e">
        <f ca="1">INDEX(L$65:INDIRECT("L"&amp;$C$61),$T17)</f>
        <v>#NUM!</v>
      </c>
      <c r="AE17" t="e">
        <f ca="1">INDEX(M$65:INDIRECT("M"&amp;$C$61),$T17)</f>
        <v>#NUM!</v>
      </c>
      <c r="AF17" t="e">
        <f ca="1">INDEX(N$65:INDIRECT("N"&amp;$C$61),$T17)</f>
        <v>#NUM!</v>
      </c>
      <c r="AG17" t="e">
        <f ca="1">INDEX(O$65:INDIRECT("O"&amp;$C$61),$T17)</f>
        <v>#NUM!</v>
      </c>
      <c r="AH17" s="69">
        <v>3</v>
      </c>
      <c r="AI17" s="69" t="str">
        <f t="shared" ref="AI17:AJ20" si="0">AI16</f>
        <v>J</v>
      </c>
      <c r="AJ17" s="69" t="str">
        <f t="shared" si="0"/>
        <v>Q</v>
      </c>
    </row>
    <row r="18" spans="1:36" x14ac:dyDescent="0.25">
      <c r="A18" s="74" t="s">
        <v>72</v>
      </c>
      <c r="B18" s="69" t="s">
        <v>31</v>
      </c>
      <c r="C18" s="74" t="e">
        <f ca="1">J6</f>
        <v>#N/A</v>
      </c>
      <c r="D18" s="69" t="e">
        <f ca="1">INDEX(D$65:INDIRECT("D"&amp;$C$61),$C18)</f>
        <v>#N/A</v>
      </c>
      <c r="E18" s="69" t="e">
        <f ca="1">INDEX(INDIRECT(("'MemberID'!$C$6:C"&amp;MemberID!$C$1)),MATCH(D18,INDIRECT(("'MemberID'!$G$6:G"&amp;MemberID!$C$1)),0))</f>
        <v>#N/A</v>
      </c>
      <c r="F18" s="69" t="e">
        <f ca="1">INDEX(E$65:INDIRECT("E"&amp;$C$61),$C18)</f>
        <v>#N/A</v>
      </c>
      <c r="G18" t="e">
        <f ca="1">INDEX(F$65:INDIRECT("F"&amp;$C$61),$C18)</f>
        <v>#N/A</v>
      </c>
      <c r="H18" t="e">
        <f ca="1">INDEX(G$65:INDIRECT("G"&amp;$C$61),$C18)</f>
        <v>#N/A</v>
      </c>
      <c r="I18" t="e">
        <f ca="1">INDEX(H$65:INDIRECT("H"&amp;$C$61),$C18)</f>
        <v>#N/A</v>
      </c>
      <c r="J18" t="e">
        <f ca="1">INDEX(I$65:INDIRECT("I"&amp;$C$61),$C18)</f>
        <v>#N/A</v>
      </c>
      <c r="K18" s="23" t="e">
        <f ca="1">INDEX(J$65:INDIRECT("J"&amp;$C$61),$C18)</f>
        <v>#N/A</v>
      </c>
      <c r="L18" t="e">
        <f ca="1">INDEX(K$65:INDIRECT("K"&amp;$C$61),$C18)</f>
        <v>#N/A</v>
      </c>
      <c r="M18" t="e">
        <f ca="1">INDEX(L$65:INDIRECT("L"&amp;$C$61),$C18)</f>
        <v>#N/A</v>
      </c>
      <c r="N18" t="e">
        <f ca="1">INDEX(M$65:INDIRECT("M"&amp;$C$61),$C18)</f>
        <v>#N/A</v>
      </c>
      <c r="O18" t="e">
        <f ca="1">INDEX(N$65:INDIRECT("N"&amp;$C$61),$C18)</f>
        <v>#N/A</v>
      </c>
      <c r="P18" t="e">
        <f ca="1">INDEX(O$65:INDIRECT("O"&amp;$C$61),$C18)</f>
        <v>#N/A</v>
      </c>
      <c r="Q18" s="104"/>
      <c r="R18" s="74" t="s">
        <v>72</v>
      </c>
      <c r="S18" s="69" t="s">
        <v>31</v>
      </c>
      <c r="T18" s="74" t="e">
        <f t="array" aca="1" ref="T18" ca="1">MATCH(IF(ISBLANK($AE$11),SMALL(IF($E$65:INDIRECT("E"&amp;$C$61)=$AE$10,INDIRECT(AJ18&amp;65):INDIRECT(AJ18&amp;$C$61)),$AH18),IF(ISBLANK($AE$10),SMALL(IF($D$65:INDIRECT("D"&amp;$C$61)=$AE$11,INDIRECT(AJ18&amp;65):INDIRECT(AJ18&amp;$C$61)),$AH18),SMALL(IF(($E$65:INDIRECT("E"&amp;$C$61)=$AE$10)*($D$65:INDIRECT("D"&amp;$C$61)=$AE$11),INDIRECT(AJ18&amp;65):INDIRECT(AJ18&amp;$C$61)),$AH18))),INDIRECT(AJ18&amp;65):INDIRECT(AJ18&amp;$C$61),0)</f>
        <v>#NUM!</v>
      </c>
      <c r="U18" s="69" t="e">
        <f ca="1">INDEX(D$65:INDIRECT("D"&amp;$C$61),$T18)</f>
        <v>#NUM!</v>
      </c>
      <c r="V18" s="69" t="e">
        <f ca="1">INDEX(INDIRECT(("'MemberID'!$C$6:C"&amp;MemberID!$C$1)),MATCH(U18,INDIRECT(("'MemberID'!$G$6:G"&amp;MemberID!$C$1)),0))</f>
        <v>#NUM!</v>
      </c>
      <c r="W18" s="69" t="e">
        <f ca="1">INDEX(E$65:INDIRECT("E"&amp;$C$61),$T18)</f>
        <v>#NUM!</v>
      </c>
      <c r="X18" t="e">
        <f ca="1">INDEX(F$65:INDIRECT("F"&amp;$C$61),$T18)</f>
        <v>#NUM!</v>
      </c>
      <c r="Y18" t="e">
        <f ca="1">INDEX(G$65:INDIRECT("G"&amp;$C$61),$T18)</f>
        <v>#NUM!</v>
      </c>
      <c r="Z18" t="e">
        <f ca="1">INDEX(H$65:INDIRECT("H"&amp;$C$61),$T18)</f>
        <v>#NUM!</v>
      </c>
      <c r="AA18" t="e">
        <f ca="1">INDEX(I$65:INDIRECT("I"&amp;$C$61),$T18)</f>
        <v>#NUM!</v>
      </c>
      <c r="AB18" s="23" t="e">
        <f t="array" aca="1" ref="AB18" ca="1">IF(ISBLANK($AE$11),SMALL(IF($E$65:INDIRECT("E"&amp;$C$61)=$AE$10,J$65:INDIRECT(AB$13&amp;$C$61)),$AH18),IF(ISBLANK($AE$10),SMALL(IF($D$65:INDIRECT("D"&amp;$C$61)=$AE$11,J$65:INDIRECT(AB$13&amp;$C$61)),$AH18),SMALL(IF(($E$65:INDIRECT("E"&amp;$C$61)=$AE$10)*($D$65:INDIRECT("D"&amp;$C$61)=$AE$11),J$65:INDIRECT(AB$13&amp;$C$61)),$AH18)))</f>
        <v>#NUM!</v>
      </c>
      <c r="AC18" t="e">
        <f ca="1">INDEX(K$65:INDIRECT("K"&amp;$C$61),$T18)</f>
        <v>#NUM!</v>
      </c>
      <c r="AD18" t="e">
        <f ca="1">INDEX(L$65:INDIRECT("L"&amp;$C$61),$T18)</f>
        <v>#NUM!</v>
      </c>
      <c r="AE18" t="e">
        <f ca="1">INDEX(M$65:INDIRECT("M"&amp;$C$61),$T18)</f>
        <v>#NUM!</v>
      </c>
      <c r="AF18" t="e">
        <f ca="1">INDEX(N$65:INDIRECT("N"&amp;$C$61),$T18)</f>
        <v>#NUM!</v>
      </c>
      <c r="AG18" t="e">
        <f ca="1">INDEX(O$65:INDIRECT("O"&amp;$C$61),$T18)</f>
        <v>#NUM!</v>
      </c>
      <c r="AH18" s="69">
        <v>1</v>
      </c>
      <c r="AI18" s="69" t="str">
        <f t="shared" si="0"/>
        <v>J</v>
      </c>
      <c r="AJ18" s="69" t="str">
        <f t="shared" si="0"/>
        <v>Q</v>
      </c>
    </row>
    <row r="19" spans="1:36" x14ac:dyDescent="0.25">
      <c r="A19" s="74" t="s">
        <v>73</v>
      </c>
      <c r="B19" s="69" t="s">
        <v>31</v>
      </c>
      <c r="C19" s="74" t="e">
        <f ca="1">R6</f>
        <v>#NUM!</v>
      </c>
      <c r="D19" s="69" t="e">
        <f ca="1">INDEX(D$65:INDIRECT("D"&amp;$C$61),$C19)</f>
        <v>#NUM!</v>
      </c>
      <c r="E19" s="69" t="e">
        <f ca="1">INDEX(INDIRECT(("'MemberID'!$C$6:C"&amp;MemberID!$C$1)),MATCH(D19,INDIRECT(("'MemberID'!$G$6:G"&amp;MemberID!$C$1)),0))</f>
        <v>#NUM!</v>
      </c>
      <c r="F19" s="69" t="e">
        <f ca="1">INDEX(E$65:INDIRECT("E"&amp;$C$61),$C19)</f>
        <v>#NUM!</v>
      </c>
      <c r="G19" t="e">
        <f ca="1">INDEX(F$65:INDIRECT("F"&amp;$C$61),$C19)</f>
        <v>#NUM!</v>
      </c>
      <c r="H19" t="e">
        <f ca="1">INDEX(G$65:INDIRECT("G"&amp;$C$61),$C19)</f>
        <v>#NUM!</v>
      </c>
      <c r="I19" t="e">
        <f ca="1">INDEX(H$65:INDIRECT("H"&amp;$C$61),$C19)</f>
        <v>#NUM!</v>
      </c>
      <c r="J19" t="e">
        <f ca="1">INDEX(I$65:INDIRECT("I"&amp;$C$61),$C19)</f>
        <v>#NUM!</v>
      </c>
      <c r="K19" s="23" t="e">
        <f ca="1">INDEX(J$65:INDIRECT("J"&amp;$C$61),$C19)</f>
        <v>#NUM!</v>
      </c>
      <c r="L19" t="e">
        <f ca="1">INDEX(K$65:INDIRECT("K"&amp;$C$61),$C19)</f>
        <v>#NUM!</v>
      </c>
      <c r="M19" t="e">
        <f ca="1">INDEX(L$65:INDIRECT("L"&amp;$C$61),$C19)</f>
        <v>#NUM!</v>
      </c>
      <c r="N19" t="e">
        <f ca="1">INDEX(M$65:INDIRECT("M"&amp;$C$61),$C19)</f>
        <v>#NUM!</v>
      </c>
      <c r="O19" t="e">
        <f ca="1">INDEX(N$65:INDIRECT("N"&amp;$C$61),$C19)</f>
        <v>#NUM!</v>
      </c>
      <c r="P19" t="e">
        <f ca="1">INDEX(O$65:INDIRECT("O"&amp;$C$61),$C19)</f>
        <v>#NUM!</v>
      </c>
      <c r="Q19" s="104"/>
      <c r="R19" s="74" t="s">
        <v>73</v>
      </c>
      <c r="S19" s="69" t="s">
        <v>31</v>
      </c>
      <c r="T19" s="74" t="e">
        <f t="array" aca="1" ref="T19" ca="1">MATCH(IF(ISBLANK($AE$11),SMALL(IF($E$65:INDIRECT("E"&amp;$C$61)=$AE$10,INDIRECT(AJ19&amp;65):INDIRECT(AJ19&amp;$C$61)),$AH19),IF(ISBLANK($AE$10),SMALL(IF($D$65:INDIRECT("D"&amp;$C$61)=$AE$11,INDIRECT(AJ19&amp;65):INDIRECT(AJ19&amp;$C$61)),$AH19),SMALL(IF(($E$65:INDIRECT("E"&amp;$C$61)=$AE$10)*($D$65:INDIRECT("D"&amp;$C$61)=$AE$11),INDIRECT(AJ19&amp;65):INDIRECT(AJ19&amp;$C$61)),$AH19))),INDIRECT(AJ19&amp;65):INDIRECT(AJ19&amp;$C$61),0)</f>
        <v>#NUM!</v>
      </c>
      <c r="U19" s="69" t="e">
        <f ca="1">INDEX(D$65:INDIRECT("D"&amp;$C$61),$T19)</f>
        <v>#NUM!</v>
      </c>
      <c r="V19" s="69" t="e">
        <f ca="1">INDEX(INDIRECT(("'MemberID'!$C$6:C"&amp;MemberID!$C$1)),MATCH(U19,INDIRECT(("'MemberID'!$G$6:G"&amp;MemberID!$C$1)),0))</f>
        <v>#NUM!</v>
      </c>
      <c r="W19" s="69" t="e">
        <f ca="1">INDEX(E$65:INDIRECT("E"&amp;$C$61),$T19)</f>
        <v>#NUM!</v>
      </c>
      <c r="X19" t="e">
        <f ca="1">INDEX(F$65:INDIRECT("F"&amp;$C$61),$T19)</f>
        <v>#NUM!</v>
      </c>
      <c r="Y19" t="e">
        <f ca="1">INDEX(G$65:INDIRECT("G"&amp;$C$61),$T19)</f>
        <v>#NUM!</v>
      </c>
      <c r="Z19" t="e">
        <f ca="1">INDEX(H$65:INDIRECT("H"&amp;$C$61),$T19)</f>
        <v>#NUM!</v>
      </c>
      <c r="AA19" t="e">
        <f ca="1">INDEX(I$65:INDIRECT("I"&amp;$C$61),$T19)</f>
        <v>#NUM!</v>
      </c>
      <c r="AB19" s="23" t="e">
        <f t="array" aca="1" ref="AB19" ca="1">IF(ISBLANK($AE$11),SMALL(IF($E$65:INDIRECT("E"&amp;$C$61)=$AE$10,J$65:INDIRECT(AB$13&amp;$C$61)),$AH19),IF(ISBLANK($AE$10),SMALL(IF($D$65:INDIRECT("D"&amp;$C$61)=$AE$11,J$65:INDIRECT(AB$13&amp;$C$61)),$AH19),SMALL(IF(($E$65:INDIRECT("E"&amp;$C$61)=$AE$10)*($D$65:INDIRECT("D"&amp;$C$61)=$AE$11),J$65:INDIRECT(AB$13&amp;$C$61)),$AH19)))</f>
        <v>#NUM!</v>
      </c>
      <c r="AC19" t="e">
        <f ca="1">INDEX(K$65:INDIRECT("K"&amp;$C$61),$T19)</f>
        <v>#NUM!</v>
      </c>
      <c r="AD19" t="e">
        <f ca="1">INDEX(L$65:INDIRECT("L"&amp;$C$61),$T19)</f>
        <v>#NUM!</v>
      </c>
      <c r="AE19" t="e">
        <f ca="1">INDEX(M$65:INDIRECT("M"&amp;$C$61),$T19)</f>
        <v>#NUM!</v>
      </c>
      <c r="AF19" t="e">
        <f ca="1">INDEX(N$65:INDIRECT("N"&amp;$C$61),$T19)</f>
        <v>#NUM!</v>
      </c>
      <c r="AG19" t="e">
        <f ca="1">INDEX(O$65:INDIRECT("O"&amp;$C$61),$T19)</f>
        <v>#NUM!</v>
      </c>
      <c r="AH19" s="69">
        <v>2</v>
      </c>
      <c r="AI19" s="69" t="str">
        <f t="shared" si="0"/>
        <v>J</v>
      </c>
      <c r="AJ19" s="69" t="str">
        <f t="shared" si="0"/>
        <v>Q</v>
      </c>
    </row>
    <row r="20" spans="1:36" x14ac:dyDescent="0.25">
      <c r="A20" s="74" t="s">
        <v>74</v>
      </c>
      <c r="B20" s="69" t="s">
        <v>31</v>
      </c>
      <c r="C20" s="74" t="e">
        <f ca="1">Z6</f>
        <v>#NUM!</v>
      </c>
      <c r="D20" s="69" t="e">
        <f ca="1">INDEX(D$65:INDIRECT("D"&amp;$C$61),$C20)</f>
        <v>#NUM!</v>
      </c>
      <c r="E20" s="69" t="e">
        <f ca="1">INDEX(INDIRECT(("'MemberID'!$C$6:C"&amp;MemberID!$C$1)),MATCH(D20,INDIRECT(("'MemberID'!$G$6:G"&amp;MemberID!$C$1)),0))</f>
        <v>#NUM!</v>
      </c>
      <c r="F20" s="69" t="e">
        <f ca="1">INDEX(E$65:INDIRECT("E"&amp;$C$61),$C20)</f>
        <v>#NUM!</v>
      </c>
      <c r="G20" t="e">
        <f ca="1">INDEX(F$65:INDIRECT("F"&amp;$C$61),$C20)</f>
        <v>#NUM!</v>
      </c>
      <c r="H20" t="e">
        <f ca="1">INDEX(G$65:INDIRECT("G"&amp;$C$61),$C20)</f>
        <v>#NUM!</v>
      </c>
      <c r="I20" t="e">
        <f ca="1">INDEX(H$65:INDIRECT("H"&amp;$C$61),$C20)</f>
        <v>#NUM!</v>
      </c>
      <c r="J20" t="e">
        <f ca="1">INDEX(I$65:INDIRECT("I"&amp;$C$61),$C20)</f>
        <v>#NUM!</v>
      </c>
      <c r="K20" s="23" t="e">
        <f ca="1">INDEX(J$65:INDIRECT("J"&amp;$C$61),$C20)</f>
        <v>#NUM!</v>
      </c>
      <c r="L20" t="e">
        <f ca="1">INDEX(K$65:INDIRECT("K"&amp;$C$61),$C20)</f>
        <v>#NUM!</v>
      </c>
      <c r="M20" t="e">
        <f ca="1">INDEX(L$65:INDIRECT("L"&amp;$C$61),$C20)</f>
        <v>#NUM!</v>
      </c>
      <c r="N20" t="e">
        <f ca="1">INDEX(M$65:INDIRECT("M"&amp;$C$61),$C20)</f>
        <v>#NUM!</v>
      </c>
      <c r="O20" t="e">
        <f ca="1">INDEX(N$65:INDIRECT("N"&amp;$C$61),$C20)</f>
        <v>#NUM!</v>
      </c>
      <c r="P20" t="e">
        <f ca="1">INDEX(O$65:INDIRECT("O"&amp;$C$61),$C20)</f>
        <v>#NUM!</v>
      </c>
      <c r="Q20" s="104"/>
      <c r="R20" s="74" t="s">
        <v>74</v>
      </c>
      <c r="S20" s="69" t="s">
        <v>31</v>
      </c>
      <c r="T20" s="74" t="e">
        <f t="array" aca="1" ref="T20" ca="1">MATCH(IF(ISBLANK($AE$11),SMALL(IF($E$65:INDIRECT("E"&amp;$C$61)=$AE$10,INDIRECT(AJ20&amp;65):INDIRECT(AJ20&amp;$C$61)),$AH20),IF(ISBLANK($AE$10),SMALL(IF($D$65:INDIRECT("D"&amp;$C$61)=$AE$11,INDIRECT(AJ20&amp;65):INDIRECT(AJ20&amp;$C$61)),$AH20),SMALL(IF(($E$65:INDIRECT("E"&amp;$C$61)=$AE$10)*($D$65:INDIRECT("D"&amp;$C$61)=$AE$11),INDIRECT(AJ20&amp;65):INDIRECT(AJ20&amp;$C$61)),$AH20))),INDIRECT(AJ20&amp;65):INDIRECT(AJ20&amp;$C$61),0)</f>
        <v>#NUM!</v>
      </c>
      <c r="U20" s="69" t="e">
        <f ca="1">INDEX(D$65:INDIRECT("D"&amp;$C$61),$T20)</f>
        <v>#NUM!</v>
      </c>
      <c r="V20" s="69" t="e">
        <f ca="1">INDEX(INDIRECT(("'MemberID'!$C$6:C"&amp;MemberID!$C$1)),MATCH(U20,INDIRECT(("'MemberID'!$G$6:G"&amp;MemberID!$C$1)),0))</f>
        <v>#NUM!</v>
      </c>
      <c r="W20" s="69" t="e">
        <f ca="1">INDEX(E$65:INDIRECT("E"&amp;$C$61),$T20)</f>
        <v>#NUM!</v>
      </c>
      <c r="X20" t="e">
        <f ca="1">INDEX(F$65:INDIRECT("F"&amp;$C$61),$T20)</f>
        <v>#NUM!</v>
      </c>
      <c r="Y20" t="e">
        <f ca="1">INDEX(G$65:INDIRECT("G"&amp;$C$61),$T20)</f>
        <v>#NUM!</v>
      </c>
      <c r="Z20" t="e">
        <f ca="1">INDEX(H$65:INDIRECT("H"&amp;$C$61),$T20)</f>
        <v>#NUM!</v>
      </c>
      <c r="AA20" t="e">
        <f ca="1">INDEX(I$65:INDIRECT("I"&amp;$C$61),$T20)</f>
        <v>#NUM!</v>
      </c>
      <c r="AB20" s="23" t="e">
        <f t="array" aca="1" ref="AB20" ca="1">IF(ISBLANK($AE$11),SMALL(IF($E$65:INDIRECT("E"&amp;$C$61)=$AE$10,J$65:INDIRECT(AB$13&amp;$C$61)),$AH20),IF(ISBLANK($AE$10),SMALL(IF($D$65:INDIRECT("D"&amp;$C$61)=$AE$11,J$65:INDIRECT(AB$13&amp;$C$61)),$AH20),SMALL(IF(($E$65:INDIRECT("E"&amp;$C$61)=$AE$10)*($D$65:INDIRECT("D"&amp;$C$61)=$AE$11),J$65:INDIRECT(AB$13&amp;$C$61)),$AH20)))</f>
        <v>#NUM!</v>
      </c>
      <c r="AC20" t="e">
        <f ca="1">INDEX(K$65:INDIRECT("K"&amp;$C$61),$T20)</f>
        <v>#NUM!</v>
      </c>
      <c r="AD20" t="e">
        <f ca="1">INDEX(L$65:INDIRECT("L"&amp;$C$61),$T20)</f>
        <v>#NUM!</v>
      </c>
      <c r="AE20" t="e">
        <f ca="1">INDEX(M$65:INDIRECT("M"&amp;$C$61),$T20)</f>
        <v>#NUM!</v>
      </c>
      <c r="AF20" t="e">
        <f ca="1">INDEX(N$65:INDIRECT("N"&amp;$C$61),$T20)</f>
        <v>#NUM!</v>
      </c>
      <c r="AG20" t="e">
        <f ca="1">INDEX(O$65:INDIRECT("O"&amp;$C$61),$T20)</f>
        <v>#NUM!</v>
      </c>
      <c r="AH20" s="69">
        <v>3</v>
      </c>
      <c r="AI20" s="69" t="str">
        <f t="shared" si="0"/>
        <v>J</v>
      </c>
      <c r="AJ20" s="69" t="str">
        <f t="shared" si="0"/>
        <v>Q</v>
      </c>
    </row>
    <row r="21" spans="1:36" x14ac:dyDescent="0.25">
      <c r="A21" s="5"/>
      <c r="B21" s="69"/>
      <c r="C21" s="69"/>
      <c r="D21" s="69"/>
      <c r="E21" s="69"/>
      <c r="F21" s="69"/>
      <c r="J21" s="7"/>
      <c r="K21" s="7"/>
      <c r="L21" s="7"/>
      <c r="Q21" s="104"/>
      <c r="R21" s="5"/>
      <c r="S21" s="69"/>
      <c r="T21" s="69"/>
      <c r="V21" s="69"/>
      <c r="W21" s="69"/>
      <c r="AH21" s="69"/>
      <c r="AI21" s="69"/>
      <c r="AJ21" s="69"/>
    </row>
    <row r="22" spans="1:36" x14ac:dyDescent="0.25">
      <c r="A22" s="73" t="s">
        <v>69</v>
      </c>
      <c r="B22" s="69" t="s">
        <v>32</v>
      </c>
      <c r="C22" s="73" t="e">
        <f ca="1">K3</f>
        <v>#N/A</v>
      </c>
      <c r="D22" s="69" t="e">
        <f ca="1">INDEX(D$65:INDIRECT("D"&amp;$C$61),$C22)</f>
        <v>#N/A</v>
      </c>
      <c r="E22" s="69" t="e">
        <f ca="1">INDEX(INDIRECT(("'MemberID'!$C$6:C"&amp;MemberID!$C$1)),MATCH(D22,INDIRECT(("'MemberID'!$G$6:G"&amp;MemberID!$C$1)),0))</f>
        <v>#N/A</v>
      </c>
      <c r="F22" s="69" t="e">
        <f ca="1">INDEX(E$65:INDIRECT("E"&amp;$C$61),$C22)</f>
        <v>#N/A</v>
      </c>
      <c r="G22" t="e">
        <f ca="1">INDEX(F$65:INDIRECT("F"&amp;$C$61),$C22)</f>
        <v>#N/A</v>
      </c>
      <c r="H22" t="e">
        <f ca="1">INDEX(G$65:INDIRECT("G"&amp;$C$61),$C22)</f>
        <v>#N/A</v>
      </c>
      <c r="I22" t="e">
        <f ca="1">INDEX(H$65:INDIRECT("H"&amp;$C$61),$C22)</f>
        <v>#N/A</v>
      </c>
      <c r="J22" t="e">
        <f ca="1">INDEX(I$65:INDIRECT("I"&amp;$C$61),$C22)</f>
        <v>#N/A</v>
      </c>
      <c r="K22" s="7" t="e">
        <f ca="1">INDEX(J$65:INDIRECT("J"&amp;$C$61),$C22)</f>
        <v>#N/A</v>
      </c>
      <c r="L22" s="23" t="e">
        <f ca="1">INDEX(K$65:INDIRECT("K"&amp;$C$61),$C22)</f>
        <v>#N/A</v>
      </c>
      <c r="M22" t="e">
        <f ca="1">INDEX(L$65:INDIRECT("L"&amp;$C$61),$C22)</f>
        <v>#N/A</v>
      </c>
      <c r="N22" t="e">
        <f ca="1">INDEX(M$65:INDIRECT("M"&amp;$C$61),$C22)</f>
        <v>#N/A</v>
      </c>
      <c r="O22" t="e">
        <f ca="1">INDEX(N$65:INDIRECT("N"&amp;$C$61),$C22)</f>
        <v>#N/A</v>
      </c>
      <c r="P22" t="e">
        <f ca="1">INDEX(O$65:INDIRECT("O"&amp;$C$61),$C22)</f>
        <v>#N/A</v>
      </c>
      <c r="Q22" s="104"/>
      <c r="R22" s="73" t="s">
        <v>69</v>
      </c>
      <c r="S22" s="69" t="s">
        <v>32</v>
      </c>
      <c r="T22" s="73" t="e">
        <f t="array" aca="1" ref="T22" ca="1">MATCH(IF(ISBLANK($AE$11),LARGE(IF($E$65:INDIRECT("E"&amp;$C$61)=$AE$10,INDIRECT(AJ22&amp;65):INDIRECT(AJ22&amp;$C$61)),$AH22),IF(ISBLANK($AE$10),LARGE(IF($D$65:INDIRECT("D"&amp;$C$61)=$AE$11,INDIRECT(AJ22&amp;65):INDIRECT(AJ22&amp;$C$61)),$AH22),LARGE(IF(($E$65:INDIRECT("E"&amp;$C$61)=$AE$10)*($D$65:INDIRECT("D"&amp;$C$61)=$AE$11),INDIRECT(AJ22&amp;65):INDIRECT(AJ22&amp;$C$61)),$AH22))),INDIRECT(AJ22&amp;65):INDIRECT(AJ22&amp;$C$61),0)</f>
        <v>#NUM!</v>
      </c>
      <c r="U22" s="69" t="e">
        <f ca="1">INDEX(D$65:INDIRECT("D"&amp;$C$61),$T22)</f>
        <v>#NUM!</v>
      </c>
      <c r="V22" s="69" t="e">
        <f ca="1">INDEX(INDIRECT(("'MemberID'!$C$6:C"&amp;MemberID!$C$1)),MATCH(U22,INDIRECT(("'MemberID'!$G$6:G"&amp;MemberID!$C$1)),0))</f>
        <v>#NUM!</v>
      </c>
      <c r="W22" s="69" t="e">
        <f ca="1">INDEX(E$65:INDIRECT("E"&amp;$C$61),$T22)</f>
        <v>#NUM!</v>
      </c>
      <c r="X22" t="e">
        <f ca="1">INDEX(F$65:INDIRECT("F"&amp;$C$61),$T22)</f>
        <v>#NUM!</v>
      </c>
      <c r="Y22" t="e">
        <f ca="1">INDEX(G$65:INDIRECT("G"&amp;$C$61),$T22)</f>
        <v>#NUM!</v>
      </c>
      <c r="Z22" t="e">
        <f ca="1">INDEX(H$65:INDIRECT("H"&amp;$C$61),$T22)</f>
        <v>#NUM!</v>
      </c>
      <c r="AA22" t="e">
        <f ca="1">INDEX(I$65:INDIRECT("I"&amp;$C$61),$T22)</f>
        <v>#NUM!</v>
      </c>
      <c r="AB22" t="e">
        <f ca="1">INDEX(J$65:INDIRECT("J"&amp;$C$61),$T22)</f>
        <v>#NUM!</v>
      </c>
      <c r="AC22" s="23" t="e">
        <f t="array" aca="1" ref="AC22" ca="1">IF(ISBLANK($AE$11),LARGE(IF($E$65:INDIRECT("E"&amp;$C$61)=$AE$10,K$65:INDIRECT(AC$13&amp;$C$61)),$AH22),IF(ISBLANK($AE$10),LARGE(IF($D$65:INDIRECT("D"&amp;$C$61)=$AE$11,K$65:INDIRECT(AC$13&amp;$C$61)),$AH22),LARGE(IF(($E$65:INDIRECT("E"&amp;$C$61)=$AE$10)*($D$65:INDIRECT("D"&amp;$C$61)=$AE$11),K$65:INDIRECT(AC$13&amp;$C$61)),$AH22)))</f>
        <v>#NUM!</v>
      </c>
      <c r="AD22" t="e">
        <f ca="1">INDEX(L$65:INDIRECT("L"&amp;$C$61),$T22)</f>
        <v>#NUM!</v>
      </c>
      <c r="AE22" t="e">
        <f ca="1">INDEX(M$65:INDIRECT("M"&amp;$C$61),$T22)</f>
        <v>#NUM!</v>
      </c>
      <c r="AF22" t="e">
        <f ca="1">INDEX(N$65:INDIRECT("N"&amp;$C$61),$T22)</f>
        <v>#NUM!</v>
      </c>
      <c r="AG22" t="e">
        <f ca="1">INDEX(O$65:INDIRECT("O"&amp;$C$61),$T22)</f>
        <v>#NUM!</v>
      </c>
      <c r="AH22" s="69">
        <v>1</v>
      </c>
      <c r="AI22" s="69" t="s">
        <v>151</v>
      </c>
      <c r="AJ22" s="69" t="s">
        <v>157</v>
      </c>
    </row>
    <row r="23" spans="1:36" x14ac:dyDescent="0.25">
      <c r="A23" s="73" t="s">
        <v>70</v>
      </c>
      <c r="B23" s="69" t="s">
        <v>32</v>
      </c>
      <c r="C23" s="73" t="e">
        <f ca="1">S3</f>
        <v>#NUM!</v>
      </c>
      <c r="D23" s="69" t="e">
        <f ca="1">INDEX(D$65:INDIRECT("D"&amp;$C$61),$C23)</f>
        <v>#NUM!</v>
      </c>
      <c r="E23" s="69" t="e">
        <f ca="1">INDEX(INDIRECT(("'MemberID'!$C$6:C"&amp;MemberID!$C$1)),MATCH(D23,INDIRECT(("'MemberID'!$G$6:G"&amp;MemberID!$C$1)),0))</f>
        <v>#NUM!</v>
      </c>
      <c r="F23" s="69" t="e">
        <f ca="1">INDEX(E$65:INDIRECT("E"&amp;$C$61),$C23)</f>
        <v>#NUM!</v>
      </c>
      <c r="G23" t="e">
        <f ca="1">INDEX(F$65:INDIRECT("F"&amp;$C$61),$C23)</f>
        <v>#NUM!</v>
      </c>
      <c r="H23" t="e">
        <f ca="1">INDEX(G$65:INDIRECT("G"&amp;$C$61),$C23)</f>
        <v>#NUM!</v>
      </c>
      <c r="I23" t="e">
        <f ca="1">INDEX(H$65:INDIRECT("H"&amp;$C$61),$C23)</f>
        <v>#NUM!</v>
      </c>
      <c r="J23" t="e">
        <f ca="1">INDEX(I$65:INDIRECT("I"&amp;$C$61),$C23)</f>
        <v>#NUM!</v>
      </c>
      <c r="K23" s="7" t="e">
        <f ca="1">INDEX(J$65:INDIRECT("J"&amp;$C$61),$C23)</f>
        <v>#NUM!</v>
      </c>
      <c r="L23" s="23" t="e">
        <f ca="1">INDEX(K$65:INDIRECT("K"&amp;$C$61),$C23)</f>
        <v>#NUM!</v>
      </c>
      <c r="M23" t="e">
        <f ca="1">INDEX(L$65:INDIRECT("L"&amp;$C$61),$C23)</f>
        <v>#NUM!</v>
      </c>
      <c r="N23" t="e">
        <f ca="1">INDEX(M$65:INDIRECT("M"&amp;$C$61),$C23)</f>
        <v>#NUM!</v>
      </c>
      <c r="O23" t="e">
        <f ca="1">INDEX(N$65:INDIRECT("N"&amp;$C$61),$C23)</f>
        <v>#NUM!</v>
      </c>
      <c r="P23" t="e">
        <f ca="1">INDEX(O$65:INDIRECT("O"&amp;$C$61),$C23)</f>
        <v>#NUM!</v>
      </c>
      <c r="Q23" s="104"/>
      <c r="R23" s="73" t="s">
        <v>70</v>
      </c>
      <c r="S23" s="69" t="s">
        <v>32</v>
      </c>
      <c r="T23" s="73" t="e">
        <f t="array" aca="1" ref="T23" ca="1">MATCH(IF(ISBLANK($AE$11),LARGE(IF($E$65:INDIRECT("E"&amp;$C$61)=$AE$10,INDIRECT(AJ23&amp;65):INDIRECT(AJ23&amp;$C$61)),$AH23),IF(ISBLANK($AE$10),LARGE(IF($D$65:INDIRECT("D"&amp;$C$61)=$AE$11,INDIRECT(AJ23&amp;65):INDIRECT(AJ23&amp;$C$61)),$AH23),LARGE(IF(($E$65:INDIRECT("E"&amp;$C$61)=$AE$10)*($D$65:INDIRECT("D"&amp;$C$61)=$AE$11),INDIRECT(AJ23&amp;65):INDIRECT(AJ23&amp;$C$61)),$AH23))),INDIRECT(AJ23&amp;65):INDIRECT(AJ23&amp;$C$61),0)</f>
        <v>#NUM!</v>
      </c>
      <c r="U23" s="69" t="e">
        <f ca="1">INDEX(D$65:INDIRECT("D"&amp;$C$61),$T23)</f>
        <v>#NUM!</v>
      </c>
      <c r="V23" s="69" t="e">
        <f ca="1">INDEX(INDIRECT(("'MemberID'!$C$6:C"&amp;MemberID!$C$1)),MATCH(U23,INDIRECT(("'MemberID'!$G$6:G"&amp;MemberID!$C$1)),0))</f>
        <v>#NUM!</v>
      </c>
      <c r="W23" s="69" t="e">
        <f ca="1">INDEX(E$65:INDIRECT("E"&amp;$C$61),$T23)</f>
        <v>#NUM!</v>
      </c>
      <c r="X23" t="e">
        <f ca="1">INDEX(F$65:INDIRECT("F"&amp;$C$61),$T23)</f>
        <v>#NUM!</v>
      </c>
      <c r="Y23" t="e">
        <f ca="1">INDEX(G$65:INDIRECT("G"&amp;$C$61),$T23)</f>
        <v>#NUM!</v>
      </c>
      <c r="Z23" t="e">
        <f ca="1">INDEX(H$65:INDIRECT("H"&amp;$C$61),$T23)</f>
        <v>#NUM!</v>
      </c>
      <c r="AA23" t="e">
        <f ca="1">INDEX(I$65:INDIRECT("I"&amp;$C$61),$T23)</f>
        <v>#NUM!</v>
      </c>
      <c r="AB23" t="e">
        <f ca="1">INDEX(J$65:INDIRECT("J"&amp;$C$61),$T23)</f>
        <v>#NUM!</v>
      </c>
      <c r="AC23" s="23" t="e">
        <f t="array" aca="1" ref="AC23" ca="1">IF(ISBLANK($AE$11),LARGE(IF($E$65:INDIRECT("E"&amp;$C$61)=$AE$10,K$65:INDIRECT(AC$13&amp;$C$61)),$AH23),IF(ISBLANK($AE$10),LARGE(IF($D$65:INDIRECT("D"&amp;$C$61)=$AE$11,K$65:INDIRECT(AC$13&amp;$C$61)),$AH23),LARGE(IF(($E$65:INDIRECT("E"&amp;$C$61)=$AE$10)*($D$65:INDIRECT("D"&amp;$C$61)=$AE$11),K$65:INDIRECT(AC$13&amp;$C$61)),$AH23)))</f>
        <v>#NUM!</v>
      </c>
      <c r="AD23" t="e">
        <f ca="1">INDEX(L$65:INDIRECT("L"&amp;$C$61),$T23)</f>
        <v>#NUM!</v>
      </c>
      <c r="AE23" t="e">
        <f ca="1">INDEX(M$65:INDIRECT("M"&amp;$C$61),$T23)</f>
        <v>#NUM!</v>
      </c>
      <c r="AF23" t="e">
        <f ca="1">INDEX(N$65:INDIRECT("N"&amp;$C$61),$T23)</f>
        <v>#NUM!</v>
      </c>
      <c r="AG23" t="e">
        <f ca="1">INDEX(O$65:INDIRECT("O"&amp;$C$61),$T23)</f>
        <v>#NUM!</v>
      </c>
      <c r="AH23" s="69">
        <v>2</v>
      </c>
      <c r="AI23" s="69" t="str">
        <f>AI22</f>
        <v>K</v>
      </c>
      <c r="AJ23" s="69" t="str">
        <f>AJ22</f>
        <v>R</v>
      </c>
    </row>
    <row r="24" spans="1:36" x14ac:dyDescent="0.25">
      <c r="A24" s="73" t="s">
        <v>71</v>
      </c>
      <c r="B24" s="69" t="s">
        <v>32</v>
      </c>
      <c r="C24" s="73" t="e">
        <f ca="1">AA3</f>
        <v>#NUM!</v>
      </c>
      <c r="D24" s="69" t="e">
        <f ca="1">INDEX(D$65:INDIRECT("D"&amp;$C$61),$C24)</f>
        <v>#NUM!</v>
      </c>
      <c r="E24" s="69" t="e">
        <f ca="1">INDEX(INDIRECT(("'MemberID'!$C$6:C"&amp;MemberID!$C$1)),MATCH(D24,INDIRECT(("'MemberID'!$G$6:G"&amp;MemberID!$C$1)),0))</f>
        <v>#NUM!</v>
      </c>
      <c r="F24" s="69" t="e">
        <f ca="1">INDEX(E$65:INDIRECT("E"&amp;$C$61),$C24)</f>
        <v>#NUM!</v>
      </c>
      <c r="G24" t="e">
        <f ca="1">INDEX(F$65:INDIRECT("F"&amp;$C$61),$C24)</f>
        <v>#NUM!</v>
      </c>
      <c r="H24" t="e">
        <f ca="1">INDEX(G$65:INDIRECT("G"&amp;$C$61),$C24)</f>
        <v>#NUM!</v>
      </c>
      <c r="I24" t="e">
        <f ca="1">INDEX(H$65:INDIRECT("H"&amp;$C$61),$C24)</f>
        <v>#NUM!</v>
      </c>
      <c r="J24" t="e">
        <f ca="1">INDEX(I$65:INDIRECT("I"&amp;$C$61),$C24)</f>
        <v>#NUM!</v>
      </c>
      <c r="K24" s="7" t="e">
        <f ca="1">INDEX(J$65:INDIRECT("J"&amp;$C$61),$C24)</f>
        <v>#NUM!</v>
      </c>
      <c r="L24" s="23" t="e">
        <f ca="1">INDEX(K$65:INDIRECT("K"&amp;$C$61),$C24)</f>
        <v>#NUM!</v>
      </c>
      <c r="M24" t="e">
        <f ca="1">INDEX(L$65:INDIRECT("L"&amp;$C$61),$C24)</f>
        <v>#NUM!</v>
      </c>
      <c r="N24" t="e">
        <f ca="1">INDEX(M$65:INDIRECT("M"&amp;$C$61),$C24)</f>
        <v>#NUM!</v>
      </c>
      <c r="O24" t="e">
        <f ca="1">INDEX(N$65:INDIRECT("N"&amp;$C$61),$C24)</f>
        <v>#NUM!</v>
      </c>
      <c r="P24" t="e">
        <f ca="1">INDEX(O$65:INDIRECT("O"&amp;$C$61),$C24)</f>
        <v>#NUM!</v>
      </c>
      <c r="Q24" s="104"/>
      <c r="R24" s="73" t="s">
        <v>71</v>
      </c>
      <c r="S24" s="69" t="s">
        <v>32</v>
      </c>
      <c r="T24" s="73" t="e">
        <f t="array" aca="1" ref="T24" ca="1">MATCH(IF(ISBLANK($AE$11),LARGE(IF($E$65:INDIRECT("E"&amp;$C$61)=$AE$10,INDIRECT(AJ24&amp;65):INDIRECT(AJ24&amp;$C$61)),$AH24),IF(ISBLANK($AE$10),LARGE(IF($D$65:INDIRECT("D"&amp;$C$61)=$AE$11,INDIRECT(AJ24&amp;65):INDIRECT(AJ24&amp;$C$61)),$AH24),LARGE(IF(($E$65:INDIRECT("E"&amp;$C$61)=$AE$10)*($D$65:INDIRECT("D"&amp;$C$61)=$AE$11),INDIRECT(AJ24&amp;65):INDIRECT(AJ24&amp;$C$61)),$AH24))),INDIRECT(AJ24&amp;65):INDIRECT(AJ24&amp;$C$61),0)</f>
        <v>#NUM!</v>
      </c>
      <c r="U24" s="69" t="e">
        <f ca="1">INDEX(D$65:INDIRECT("D"&amp;$C$61),$T24)</f>
        <v>#NUM!</v>
      </c>
      <c r="V24" s="69" t="e">
        <f ca="1">INDEX(INDIRECT(("'MemberID'!$C$6:C"&amp;MemberID!$C$1)),MATCH(U24,INDIRECT(("'MemberID'!$G$6:G"&amp;MemberID!$C$1)),0))</f>
        <v>#NUM!</v>
      </c>
      <c r="W24" s="69" t="e">
        <f ca="1">INDEX(E$65:INDIRECT("E"&amp;$C$61),$T24)</f>
        <v>#NUM!</v>
      </c>
      <c r="X24" t="e">
        <f ca="1">INDEX(F$65:INDIRECT("F"&amp;$C$61),$T24)</f>
        <v>#NUM!</v>
      </c>
      <c r="Y24" t="e">
        <f ca="1">INDEX(G$65:INDIRECT("G"&amp;$C$61),$T24)</f>
        <v>#NUM!</v>
      </c>
      <c r="Z24" t="e">
        <f ca="1">INDEX(H$65:INDIRECT("H"&amp;$C$61),$T24)</f>
        <v>#NUM!</v>
      </c>
      <c r="AA24" t="e">
        <f ca="1">INDEX(I$65:INDIRECT("I"&amp;$C$61),$T24)</f>
        <v>#NUM!</v>
      </c>
      <c r="AB24" t="e">
        <f ca="1">INDEX(J$65:INDIRECT("J"&amp;$C$61),$T24)</f>
        <v>#NUM!</v>
      </c>
      <c r="AC24" s="23" t="e">
        <f t="array" aca="1" ref="AC24" ca="1">IF(ISBLANK($AE$11),LARGE(IF($E$65:INDIRECT("E"&amp;$C$61)=$AE$10,K$65:INDIRECT(AC$13&amp;$C$61)),$AH24),IF(ISBLANK($AE$10),LARGE(IF($D$65:INDIRECT("D"&amp;$C$61)=$AE$11,K$65:INDIRECT(AC$13&amp;$C$61)),$AH24),LARGE(IF(($E$65:INDIRECT("E"&amp;$C$61)=$AE$10)*($D$65:INDIRECT("D"&amp;$C$61)=$AE$11),K$65:INDIRECT(AC$13&amp;$C$61)),$AH24)))</f>
        <v>#NUM!</v>
      </c>
      <c r="AD24" t="e">
        <f ca="1">INDEX(L$65:INDIRECT("L"&amp;$C$61),$T24)</f>
        <v>#NUM!</v>
      </c>
      <c r="AE24" t="e">
        <f ca="1">INDEX(M$65:INDIRECT("M"&amp;$C$61),$T24)</f>
        <v>#NUM!</v>
      </c>
      <c r="AF24" t="e">
        <f ca="1">INDEX(N$65:INDIRECT("N"&amp;$C$61),$T24)</f>
        <v>#NUM!</v>
      </c>
      <c r="AG24" t="e">
        <f ca="1">INDEX(O$65:INDIRECT("O"&amp;$C$61),$T24)</f>
        <v>#NUM!</v>
      </c>
      <c r="AH24" s="69">
        <v>3</v>
      </c>
      <c r="AI24" s="69" t="str">
        <f t="shared" ref="AI24:AJ27" si="1">AI23</f>
        <v>K</v>
      </c>
      <c r="AJ24" s="69" t="str">
        <f t="shared" si="1"/>
        <v>R</v>
      </c>
    </row>
    <row r="25" spans="1:36" x14ac:dyDescent="0.25">
      <c r="A25" s="74" t="s">
        <v>72</v>
      </c>
      <c r="B25" s="69" t="s">
        <v>32</v>
      </c>
      <c r="C25" s="74" t="e">
        <f ca="1">K6</f>
        <v>#N/A</v>
      </c>
      <c r="D25" s="69" t="e">
        <f ca="1">INDEX(D$65:INDIRECT("D"&amp;$C$61),$C25)</f>
        <v>#N/A</v>
      </c>
      <c r="E25" s="69" t="e">
        <f ca="1">INDEX(INDIRECT(("'MemberID'!$C$6:C"&amp;MemberID!$C$1)),MATCH(D25,INDIRECT(("'MemberID'!$G$6:G"&amp;MemberID!$C$1)),0))</f>
        <v>#N/A</v>
      </c>
      <c r="F25" s="69" t="e">
        <f ca="1">INDEX(E$65:INDIRECT("E"&amp;$C$61),$C25)</f>
        <v>#N/A</v>
      </c>
      <c r="G25" t="e">
        <f ca="1">INDEX(F$65:INDIRECT("F"&amp;$C$61),$C25)</f>
        <v>#N/A</v>
      </c>
      <c r="H25" t="e">
        <f ca="1">INDEX(G$65:INDIRECT("G"&amp;$C$61),$C25)</f>
        <v>#N/A</v>
      </c>
      <c r="I25" t="e">
        <f ca="1">INDEX(H$65:INDIRECT("H"&amp;$C$61),$C25)</f>
        <v>#N/A</v>
      </c>
      <c r="J25" t="e">
        <f ca="1">INDEX(I$65:INDIRECT("I"&amp;$C$61),$C25)</f>
        <v>#N/A</v>
      </c>
      <c r="K25" s="7" t="e">
        <f ca="1">INDEX(J$65:INDIRECT("J"&amp;$C$61),$C25)</f>
        <v>#N/A</v>
      </c>
      <c r="L25" s="23" t="e">
        <f ca="1">INDEX(K$65:INDIRECT("K"&amp;$C$61),$C25)</f>
        <v>#N/A</v>
      </c>
      <c r="M25" t="e">
        <f ca="1">INDEX(L$65:INDIRECT("L"&amp;$C$61),$C25)</f>
        <v>#N/A</v>
      </c>
      <c r="N25" t="e">
        <f ca="1">INDEX(M$65:INDIRECT("M"&amp;$C$61),$C25)</f>
        <v>#N/A</v>
      </c>
      <c r="O25" t="e">
        <f ca="1">INDEX(N$65:INDIRECT("N"&amp;$C$61),$C25)</f>
        <v>#N/A</v>
      </c>
      <c r="P25" t="e">
        <f ca="1">INDEX(O$65:INDIRECT("O"&amp;$C$61),$C25)</f>
        <v>#N/A</v>
      </c>
      <c r="Q25" s="104"/>
      <c r="R25" s="74" t="s">
        <v>72</v>
      </c>
      <c r="S25" s="69" t="s">
        <v>32</v>
      </c>
      <c r="T25" s="74" t="e">
        <f t="array" aca="1" ref="T25" ca="1">MATCH(IF(ISBLANK($AE$11),SMALL(IF($E$65:INDIRECT("E"&amp;$C$61)=$AE$10,INDIRECT(AJ25&amp;65):INDIRECT(AJ25&amp;$C$61)),$AH25),IF(ISBLANK($AE$10),SMALL(IF($D$65:INDIRECT("D"&amp;$C$61)=$AE$11,INDIRECT(AJ25&amp;65):INDIRECT(AJ25&amp;$C$61)),$AH25),SMALL(IF(($E$65:INDIRECT("E"&amp;$C$61)=$AE$10)*($D$65:INDIRECT("D"&amp;$C$61)=$AE$11),INDIRECT(AJ25&amp;65):INDIRECT(AJ25&amp;$C$61)),$AH25))),INDIRECT(AJ25&amp;65):INDIRECT(AJ25&amp;$C$61),0)</f>
        <v>#NUM!</v>
      </c>
      <c r="U25" s="69" t="e">
        <f ca="1">INDEX(D$65:INDIRECT("D"&amp;$C$61),$T25)</f>
        <v>#NUM!</v>
      </c>
      <c r="V25" s="69" t="e">
        <f ca="1">INDEX(INDIRECT(("'MemberID'!$C$6:C"&amp;MemberID!$C$1)),MATCH(U25,INDIRECT(("'MemberID'!$G$6:G"&amp;MemberID!$C$1)),0))</f>
        <v>#NUM!</v>
      </c>
      <c r="W25" s="69" t="e">
        <f ca="1">INDEX(E$65:INDIRECT("E"&amp;$C$61),$T25)</f>
        <v>#NUM!</v>
      </c>
      <c r="X25" t="e">
        <f ca="1">INDEX(F$65:INDIRECT("F"&amp;$C$61),$T25)</f>
        <v>#NUM!</v>
      </c>
      <c r="Y25" t="e">
        <f ca="1">INDEX(G$65:INDIRECT("G"&amp;$C$61),$T25)</f>
        <v>#NUM!</v>
      </c>
      <c r="Z25" t="e">
        <f ca="1">INDEX(H$65:INDIRECT("H"&amp;$C$61),$T25)</f>
        <v>#NUM!</v>
      </c>
      <c r="AA25" t="e">
        <f ca="1">INDEX(I$65:INDIRECT("I"&amp;$C$61),$T25)</f>
        <v>#NUM!</v>
      </c>
      <c r="AB25" t="e">
        <f ca="1">INDEX(J$65:INDIRECT("J"&amp;$C$61),$T25)</f>
        <v>#NUM!</v>
      </c>
      <c r="AC25" s="23" t="e">
        <f t="array" aca="1" ref="AC25" ca="1">IF(ISBLANK($AE$11),SMALL(IF($E$65:INDIRECT("E"&amp;$C$61)=$AE$10,K$65:INDIRECT(AC$13&amp;$C$61)),$AH25),IF(ISBLANK($AE$10),SMALL(IF($D$65:INDIRECT("D"&amp;$C$61)=$AE$11,K$65:INDIRECT(AC$13&amp;$C$61)),$AH25),SMALL(IF(($E$65:INDIRECT("E"&amp;$C$61)=$AE$10)*($D$65:INDIRECT("D"&amp;$C$61)=$AE$11),K$65:INDIRECT(AC$13&amp;$C$61)),$AH25)))</f>
        <v>#NUM!</v>
      </c>
      <c r="AD25" t="e">
        <f ca="1">INDEX(L$65:INDIRECT("L"&amp;$C$61),$T25)</f>
        <v>#NUM!</v>
      </c>
      <c r="AE25" t="e">
        <f ca="1">INDEX(M$65:INDIRECT("M"&amp;$C$61),$T25)</f>
        <v>#NUM!</v>
      </c>
      <c r="AF25" t="e">
        <f ca="1">INDEX(N$65:INDIRECT("N"&amp;$C$61),$T25)</f>
        <v>#NUM!</v>
      </c>
      <c r="AG25" t="e">
        <f ca="1">INDEX(O$65:INDIRECT("O"&amp;$C$61),$T25)</f>
        <v>#NUM!</v>
      </c>
      <c r="AH25" s="69">
        <v>1</v>
      </c>
      <c r="AI25" s="69" t="str">
        <f t="shared" si="1"/>
        <v>K</v>
      </c>
      <c r="AJ25" s="69" t="str">
        <f t="shared" si="1"/>
        <v>R</v>
      </c>
    </row>
    <row r="26" spans="1:36" x14ac:dyDescent="0.25">
      <c r="A26" s="74" t="s">
        <v>73</v>
      </c>
      <c r="B26" s="69" t="s">
        <v>32</v>
      </c>
      <c r="C26" s="74" t="e">
        <f ca="1">S6</f>
        <v>#NUM!</v>
      </c>
      <c r="D26" s="69" t="e">
        <f ca="1">INDEX(D$65:INDIRECT("D"&amp;$C$61),$C26)</f>
        <v>#NUM!</v>
      </c>
      <c r="E26" s="69" t="e">
        <f ca="1">INDEX(INDIRECT(("'MemberID'!$C$6:C"&amp;MemberID!$C$1)),MATCH(D26,INDIRECT(("'MemberID'!$G$6:G"&amp;MemberID!$C$1)),0))</f>
        <v>#NUM!</v>
      </c>
      <c r="F26" s="69" t="e">
        <f ca="1">INDEX(E$65:INDIRECT("E"&amp;$C$61),$C26)</f>
        <v>#NUM!</v>
      </c>
      <c r="G26" t="e">
        <f ca="1">INDEX(F$65:INDIRECT("F"&amp;$C$61),$C26)</f>
        <v>#NUM!</v>
      </c>
      <c r="H26" t="e">
        <f ca="1">INDEX(G$65:INDIRECT("G"&amp;$C$61),$C26)</f>
        <v>#NUM!</v>
      </c>
      <c r="I26" t="e">
        <f ca="1">INDEX(H$65:INDIRECT("H"&amp;$C$61),$C26)</f>
        <v>#NUM!</v>
      </c>
      <c r="J26" t="e">
        <f ca="1">INDEX(I$65:INDIRECT("I"&amp;$C$61),$C26)</f>
        <v>#NUM!</v>
      </c>
      <c r="K26" s="7" t="e">
        <f ca="1">INDEX(J$65:INDIRECT("J"&amp;$C$61),$C26)</f>
        <v>#NUM!</v>
      </c>
      <c r="L26" s="23" t="e">
        <f ca="1">INDEX(K$65:INDIRECT("K"&amp;$C$61),$C26)</f>
        <v>#NUM!</v>
      </c>
      <c r="M26" t="e">
        <f ca="1">INDEX(L$65:INDIRECT("L"&amp;$C$61),$C26)</f>
        <v>#NUM!</v>
      </c>
      <c r="N26" t="e">
        <f ca="1">INDEX(M$65:INDIRECT("M"&amp;$C$61),$C26)</f>
        <v>#NUM!</v>
      </c>
      <c r="O26" t="e">
        <f ca="1">INDEX(N$65:INDIRECT("N"&amp;$C$61),$C26)</f>
        <v>#NUM!</v>
      </c>
      <c r="P26" t="e">
        <f ca="1">INDEX(O$65:INDIRECT("O"&amp;$C$61),$C26)</f>
        <v>#NUM!</v>
      </c>
      <c r="Q26" s="104"/>
      <c r="R26" s="74" t="s">
        <v>73</v>
      </c>
      <c r="S26" s="69" t="s">
        <v>32</v>
      </c>
      <c r="T26" s="74" t="e">
        <f t="array" aca="1" ref="T26" ca="1">MATCH(IF(ISBLANK($AE$11),SMALL(IF($E$65:INDIRECT("E"&amp;$C$61)=$AE$10,INDIRECT(AJ26&amp;65):INDIRECT(AJ26&amp;$C$61)),$AH26),IF(ISBLANK($AE$10),SMALL(IF($D$65:INDIRECT("D"&amp;$C$61)=$AE$11,INDIRECT(AJ26&amp;65):INDIRECT(AJ26&amp;$C$61)),$AH26),SMALL(IF(($E$65:INDIRECT("E"&amp;$C$61)=$AE$10)*($D$65:INDIRECT("D"&amp;$C$61)=$AE$11),INDIRECT(AJ26&amp;65):INDIRECT(AJ26&amp;$C$61)),$AH26))),INDIRECT(AJ26&amp;65):INDIRECT(AJ26&amp;$C$61),0)</f>
        <v>#NUM!</v>
      </c>
      <c r="U26" s="69" t="e">
        <f ca="1">INDEX(D$65:INDIRECT("D"&amp;$C$61),$T26)</f>
        <v>#NUM!</v>
      </c>
      <c r="V26" s="69" t="e">
        <f ca="1">INDEX(INDIRECT(("'MemberID'!$C$6:C"&amp;MemberID!$C$1)),MATCH(U26,INDIRECT(("'MemberID'!$G$6:G"&amp;MemberID!$C$1)),0))</f>
        <v>#NUM!</v>
      </c>
      <c r="W26" s="69" t="e">
        <f ca="1">INDEX(E$65:INDIRECT("E"&amp;$C$61),$T26)</f>
        <v>#NUM!</v>
      </c>
      <c r="X26" t="e">
        <f ca="1">INDEX(F$65:INDIRECT("F"&amp;$C$61),$T26)</f>
        <v>#NUM!</v>
      </c>
      <c r="Y26" t="e">
        <f ca="1">INDEX(G$65:INDIRECT("G"&amp;$C$61),$T26)</f>
        <v>#NUM!</v>
      </c>
      <c r="Z26" t="e">
        <f ca="1">INDEX(H$65:INDIRECT("H"&amp;$C$61),$T26)</f>
        <v>#NUM!</v>
      </c>
      <c r="AA26" t="e">
        <f ca="1">INDEX(I$65:INDIRECT("I"&amp;$C$61),$T26)</f>
        <v>#NUM!</v>
      </c>
      <c r="AB26" t="e">
        <f ca="1">INDEX(J$65:INDIRECT("J"&amp;$C$61),$T26)</f>
        <v>#NUM!</v>
      </c>
      <c r="AC26" s="23" t="e">
        <f t="array" aca="1" ref="AC26" ca="1">IF(ISBLANK($AE$11),SMALL(IF($E$65:INDIRECT("E"&amp;$C$61)=$AE$10,K$65:INDIRECT(AC$13&amp;$C$61)),$AH26),IF(ISBLANK($AE$10),SMALL(IF($D$65:INDIRECT("D"&amp;$C$61)=$AE$11,K$65:INDIRECT(AC$13&amp;$C$61)),$AH26),SMALL(IF(($E$65:INDIRECT("E"&amp;$C$61)=$AE$10)*($D$65:INDIRECT("D"&amp;$C$61)=$AE$11),K$65:INDIRECT(AC$13&amp;$C$61)),$AH26)))</f>
        <v>#NUM!</v>
      </c>
      <c r="AD26" t="e">
        <f ca="1">INDEX(L$65:INDIRECT("L"&amp;$C$61),$T26)</f>
        <v>#NUM!</v>
      </c>
      <c r="AE26" t="e">
        <f ca="1">INDEX(M$65:INDIRECT("M"&amp;$C$61),$T26)</f>
        <v>#NUM!</v>
      </c>
      <c r="AF26" t="e">
        <f ca="1">INDEX(N$65:INDIRECT("N"&amp;$C$61),$T26)</f>
        <v>#NUM!</v>
      </c>
      <c r="AG26" t="e">
        <f ca="1">INDEX(O$65:INDIRECT("O"&amp;$C$61),$T26)</f>
        <v>#NUM!</v>
      </c>
      <c r="AH26" s="69">
        <v>2</v>
      </c>
      <c r="AI26" s="69" t="str">
        <f t="shared" si="1"/>
        <v>K</v>
      </c>
      <c r="AJ26" s="69" t="str">
        <f t="shared" si="1"/>
        <v>R</v>
      </c>
    </row>
    <row r="27" spans="1:36" x14ac:dyDescent="0.25">
      <c r="A27" s="74" t="s">
        <v>74</v>
      </c>
      <c r="B27" s="69" t="s">
        <v>32</v>
      </c>
      <c r="C27" s="74" t="e">
        <f ca="1">AA6</f>
        <v>#NUM!</v>
      </c>
      <c r="D27" s="69" t="e">
        <f ca="1">INDEX(D$65:INDIRECT("D"&amp;$C$61),$C27)</f>
        <v>#NUM!</v>
      </c>
      <c r="E27" s="69" t="e">
        <f ca="1">INDEX(INDIRECT(("'MemberID'!$C$6:C"&amp;MemberID!$C$1)),MATCH(D27,INDIRECT(("'MemberID'!$G$6:G"&amp;MemberID!$C$1)),0))</f>
        <v>#NUM!</v>
      </c>
      <c r="F27" s="69" t="e">
        <f ca="1">INDEX(E$65:INDIRECT("E"&amp;$C$61),$C27)</f>
        <v>#NUM!</v>
      </c>
      <c r="G27" t="e">
        <f ca="1">INDEX(F$65:INDIRECT("F"&amp;$C$61),$C27)</f>
        <v>#NUM!</v>
      </c>
      <c r="H27" t="e">
        <f ca="1">INDEX(G$65:INDIRECT("G"&amp;$C$61),$C27)</f>
        <v>#NUM!</v>
      </c>
      <c r="I27" t="e">
        <f ca="1">INDEX(H$65:INDIRECT("H"&amp;$C$61),$C27)</f>
        <v>#NUM!</v>
      </c>
      <c r="J27" t="e">
        <f ca="1">INDEX(I$65:INDIRECT("I"&amp;$C$61),$C27)</f>
        <v>#NUM!</v>
      </c>
      <c r="K27" s="7" t="e">
        <f ca="1">INDEX(J$65:INDIRECT("J"&amp;$C$61),$C27)</f>
        <v>#NUM!</v>
      </c>
      <c r="L27" s="23" t="e">
        <f ca="1">INDEX(K$65:INDIRECT("K"&amp;$C$61),$C27)</f>
        <v>#NUM!</v>
      </c>
      <c r="M27" t="e">
        <f ca="1">INDEX(L$65:INDIRECT("L"&amp;$C$61),$C27)</f>
        <v>#NUM!</v>
      </c>
      <c r="N27" t="e">
        <f ca="1">INDEX(M$65:INDIRECT("M"&amp;$C$61),$C27)</f>
        <v>#NUM!</v>
      </c>
      <c r="O27" t="e">
        <f ca="1">INDEX(N$65:INDIRECT("N"&amp;$C$61),$C27)</f>
        <v>#NUM!</v>
      </c>
      <c r="P27" t="e">
        <f ca="1">INDEX(O$65:INDIRECT("O"&amp;$C$61),$C27)</f>
        <v>#NUM!</v>
      </c>
      <c r="Q27" s="104"/>
      <c r="R27" s="74" t="s">
        <v>74</v>
      </c>
      <c r="S27" s="69" t="s">
        <v>32</v>
      </c>
      <c r="T27" s="74" t="e">
        <f t="array" aca="1" ref="T27" ca="1">MATCH(IF(ISBLANK($AE$11),SMALL(IF($E$65:INDIRECT("E"&amp;$C$61)=$AE$10,INDIRECT(AJ27&amp;65):INDIRECT(AJ27&amp;$C$61)),$AH27),IF(ISBLANK($AE$10),SMALL(IF($D$65:INDIRECT("D"&amp;$C$61)=$AE$11,INDIRECT(AJ27&amp;65):INDIRECT(AJ27&amp;$C$61)),$AH27),SMALL(IF(($E$65:INDIRECT("E"&amp;$C$61)=$AE$10)*($D$65:INDIRECT("D"&amp;$C$61)=$AE$11),INDIRECT(AJ27&amp;65):INDIRECT(AJ27&amp;$C$61)),$AH27))),INDIRECT(AJ27&amp;65):INDIRECT(AJ27&amp;$C$61),0)</f>
        <v>#NUM!</v>
      </c>
      <c r="U27" s="69" t="e">
        <f ca="1">INDEX(D$65:INDIRECT("D"&amp;$C$61),$T27)</f>
        <v>#NUM!</v>
      </c>
      <c r="V27" s="69" t="e">
        <f ca="1">INDEX(INDIRECT(("'MemberID'!$C$6:C"&amp;MemberID!$C$1)),MATCH(U27,INDIRECT(("'MemberID'!$G$6:G"&amp;MemberID!$C$1)),0))</f>
        <v>#NUM!</v>
      </c>
      <c r="W27" s="69" t="e">
        <f ca="1">INDEX(E$65:INDIRECT("E"&amp;$C$61),$T27)</f>
        <v>#NUM!</v>
      </c>
      <c r="X27" t="e">
        <f ca="1">INDEX(F$65:INDIRECT("F"&amp;$C$61),$T27)</f>
        <v>#NUM!</v>
      </c>
      <c r="Y27" t="e">
        <f ca="1">INDEX(G$65:INDIRECT("G"&amp;$C$61),$T27)</f>
        <v>#NUM!</v>
      </c>
      <c r="Z27" t="e">
        <f ca="1">INDEX(H$65:INDIRECT("H"&amp;$C$61),$T27)</f>
        <v>#NUM!</v>
      </c>
      <c r="AA27" t="e">
        <f ca="1">INDEX(I$65:INDIRECT("I"&amp;$C$61),$T27)</f>
        <v>#NUM!</v>
      </c>
      <c r="AB27" t="e">
        <f ca="1">INDEX(J$65:INDIRECT("J"&amp;$C$61),$T27)</f>
        <v>#NUM!</v>
      </c>
      <c r="AC27" s="23" t="e">
        <f t="array" aca="1" ref="AC27" ca="1">IF(ISBLANK($AE$11),SMALL(IF($E$65:INDIRECT("E"&amp;$C$61)=$AE$10,K$65:INDIRECT(AC$13&amp;$C$61)),$AH27),IF(ISBLANK($AE$10),SMALL(IF($D$65:INDIRECT("D"&amp;$C$61)=$AE$11,K$65:INDIRECT(AC$13&amp;$C$61)),$AH27),SMALL(IF(($E$65:INDIRECT("E"&amp;$C$61)=$AE$10)*($D$65:INDIRECT("D"&amp;$C$61)=$AE$11),K$65:INDIRECT(AC$13&amp;$C$61)),$AH27)))</f>
        <v>#NUM!</v>
      </c>
      <c r="AD27" t="e">
        <f ca="1">INDEX(L$65:INDIRECT("L"&amp;$C$61),$T27)</f>
        <v>#NUM!</v>
      </c>
      <c r="AE27" t="e">
        <f ca="1">INDEX(M$65:INDIRECT("M"&amp;$C$61),$T27)</f>
        <v>#NUM!</v>
      </c>
      <c r="AF27" t="e">
        <f ca="1">INDEX(N$65:INDIRECT("N"&amp;$C$61),$T27)</f>
        <v>#NUM!</v>
      </c>
      <c r="AG27" t="e">
        <f ca="1">INDEX(O$65:INDIRECT("O"&amp;$C$61),$T27)</f>
        <v>#NUM!</v>
      </c>
      <c r="AH27" s="69">
        <v>3</v>
      </c>
      <c r="AI27" s="69" t="str">
        <f t="shared" si="1"/>
        <v>K</v>
      </c>
      <c r="AJ27" s="69" t="str">
        <f t="shared" si="1"/>
        <v>R</v>
      </c>
    </row>
    <row r="28" spans="1:36" x14ac:dyDescent="0.25">
      <c r="A28" s="5"/>
      <c r="B28" s="69"/>
      <c r="C28" s="69"/>
      <c r="D28" s="69"/>
      <c r="E28" s="69"/>
      <c r="F28" s="69"/>
      <c r="J28" s="7"/>
      <c r="K28" s="7"/>
      <c r="L28" s="7"/>
      <c r="M28" s="7"/>
      <c r="N28" s="7"/>
      <c r="O28" s="7"/>
      <c r="P28" s="7"/>
      <c r="Q28" s="104"/>
      <c r="R28" s="5"/>
      <c r="S28" s="69"/>
      <c r="T28" s="69"/>
      <c r="V28" s="69"/>
      <c r="W28" s="69"/>
      <c r="AH28" s="69"/>
      <c r="AI28" s="69"/>
      <c r="AJ28" s="69"/>
    </row>
    <row r="29" spans="1:36" x14ac:dyDescent="0.25">
      <c r="A29" s="73" t="s">
        <v>69</v>
      </c>
      <c r="B29" s="69" t="s">
        <v>33</v>
      </c>
      <c r="C29" s="73" t="e">
        <f ca="1">L3</f>
        <v>#N/A</v>
      </c>
      <c r="D29" s="69" t="e">
        <f ca="1">INDEX(D$65:INDIRECT("D"&amp;$C$61),$C29)</f>
        <v>#N/A</v>
      </c>
      <c r="E29" s="69" t="e">
        <f ca="1">INDEX(INDIRECT(("'MemberID'!$C$6:C"&amp;MemberID!$C$1)),MATCH(D29,INDIRECT(("'MemberID'!$G$6:G"&amp;MemberID!$C$1)),0))</f>
        <v>#N/A</v>
      </c>
      <c r="F29" s="69" t="e">
        <f ca="1">INDEX(E$65:INDIRECT("E"&amp;$C$61),$C29)</f>
        <v>#N/A</v>
      </c>
      <c r="G29" t="e">
        <f ca="1">INDEX(F$65:INDIRECT("F"&amp;$C$61),$C29)</f>
        <v>#N/A</v>
      </c>
      <c r="H29" t="e">
        <f ca="1">INDEX(G$65:INDIRECT("G"&amp;$C$61),$C29)</f>
        <v>#N/A</v>
      </c>
      <c r="I29" t="e">
        <f ca="1">INDEX(H$65:INDIRECT("H"&amp;$C$61),$C29)</f>
        <v>#N/A</v>
      </c>
      <c r="J29" t="e">
        <f ca="1">INDEX(I$65:INDIRECT("I"&amp;$C$61),$C29)</f>
        <v>#N/A</v>
      </c>
      <c r="K29" s="7" t="e">
        <f ca="1">INDEX(J$65:INDIRECT("J"&amp;$C$61),$C29)</f>
        <v>#N/A</v>
      </c>
      <c r="L29" t="e">
        <f ca="1">INDEX(K$65:INDIRECT("K"&amp;$C$61),$C29)</f>
        <v>#N/A</v>
      </c>
      <c r="M29" s="23" t="e">
        <f ca="1">INDEX(L$65:INDIRECT("L"&amp;$C$61),$C29)</f>
        <v>#N/A</v>
      </c>
      <c r="N29" t="e">
        <f ca="1">INDEX(M$65:INDIRECT("M"&amp;$C$61),$C29)</f>
        <v>#N/A</v>
      </c>
      <c r="O29" t="e">
        <f ca="1">INDEX(N$65:INDIRECT("N"&amp;$C$61),$C29)</f>
        <v>#N/A</v>
      </c>
      <c r="P29" t="e">
        <f ca="1">INDEX(O$65:INDIRECT("O"&amp;$C$61),$C29)</f>
        <v>#N/A</v>
      </c>
      <c r="Q29" s="104"/>
      <c r="R29" s="73" t="s">
        <v>69</v>
      </c>
      <c r="S29" s="69" t="s">
        <v>33</v>
      </c>
      <c r="T29" s="73" t="e">
        <f t="array" aca="1" ref="T29" ca="1">MATCH(IF(ISBLANK($AE$11),LARGE(IF($E$65:INDIRECT("E"&amp;$C$61)=$AE$10,INDIRECT(AJ29&amp;65):INDIRECT(AJ29&amp;$C$61)),$AH29),IF(ISBLANK($AE$10),LARGE(IF($D$65:INDIRECT("D"&amp;$C$61)=$AE$11,INDIRECT(AJ29&amp;65):INDIRECT(AJ29&amp;$C$61)),$AH29),LARGE(IF(($E$65:INDIRECT("E"&amp;$C$61)=$AE$10)*($D$65:INDIRECT("D"&amp;$C$61)=$AE$11),INDIRECT(AJ29&amp;65):INDIRECT(AJ29&amp;$C$61)),$AH29))),INDIRECT(AJ29&amp;65):INDIRECT(AJ29&amp;$C$61),0)</f>
        <v>#NUM!</v>
      </c>
      <c r="U29" s="69" t="e">
        <f ca="1">INDEX(D$65:INDIRECT("D"&amp;$C$61),$T29)</f>
        <v>#NUM!</v>
      </c>
      <c r="V29" s="69" t="e">
        <f ca="1">INDEX(INDIRECT(("'MemberID'!$C$6:C"&amp;MemberID!$C$1)),MATCH(U29,INDIRECT(("'MemberID'!$G$6:G"&amp;MemberID!$C$1)),0))</f>
        <v>#NUM!</v>
      </c>
      <c r="W29" s="69" t="e">
        <f ca="1">INDEX(E$65:INDIRECT("E"&amp;$C$61),$T29)</f>
        <v>#NUM!</v>
      </c>
      <c r="X29" t="e">
        <f ca="1">INDEX(F$65:INDIRECT("F"&amp;$C$61),$T29)</f>
        <v>#NUM!</v>
      </c>
      <c r="Y29" t="e">
        <f ca="1">INDEX(G$65:INDIRECT("G"&amp;$C$61),$T29)</f>
        <v>#NUM!</v>
      </c>
      <c r="Z29" t="e">
        <f ca="1">INDEX(H$65:INDIRECT("H"&amp;$C$61),$T29)</f>
        <v>#NUM!</v>
      </c>
      <c r="AA29" t="e">
        <f ca="1">INDEX(I$65:INDIRECT("I"&amp;$C$61),$T29)</f>
        <v>#NUM!</v>
      </c>
      <c r="AB29" t="e">
        <f ca="1">INDEX(J$65:INDIRECT("J"&amp;$C$61),$T29)</f>
        <v>#NUM!</v>
      </c>
      <c r="AC29" t="e">
        <f ca="1">INDEX(K$65:INDIRECT("K"&amp;$C$61),$T29)</f>
        <v>#NUM!</v>
      </c>
      <c r="AD29" s="23" t="e">
        <f t="array" aca="1" ref="AD29" ca="1">IF(ISBLANK($AE$11),LARGE(IF($E$65:INDIRECT("E"&amp;$C$61)=$AE$10,L$65:INDIRECT(AD$13&amp;$C$61)),$AH29),IF(ISBLANK($AE$10),LARGE(IF($D$65:INDIRECT("D"&amp;$C$61)=$AE$11,L$65:INDIRECT(AD$13&amp;$C$61)),$AH29),LARGE(IF(($E$65:INDIRECT("E"&amp;$C$61)=$AE$10)*($D$65:INDIRECT("D"&amp;$C$61)=$AE$11),L$65:INDIRECT(AD$13&amp;$C$61)),$AH29)))</f>
        <v>#NUM!</v>
      </c>
      <c r="AE29" t="e">
        <f ca="1">INDEX(M$65:INDIRECT("M"&amp;$C$61),$T29)</f>
        <v>#NUM!</v>
      </c>
      <c r="AF29" t="e">
        <f ca="1">INDEX(N$65:INDIRECT("N"&amp;$C$61),$T29)</f>
        <v>#NUM!</v>
      </c>
      <c r="AG29" t="e">
        <f ca="1">INDEX(O$65:INDIRECT("O"&amp;$C$61),$T29)</f>
        <v>#NUM!</v>
      </c>
      <c r="AH29" s="69">
        <v>1</v>
      </c>
      <c r="AI29" s="69" t="s">
        <v>152</v>
      </c>
      <c r="AJ29" s="69" t="s">
        <v>158</v>
      </c>
    </row>
    <row r="30" spans="1:36" x14ac:dyDescent="0.25">
      <c r="A30" s="73" t="s">
        <v>70</v>
      </c>
      <c r="B30" s="69" t="s">
        <v>33</v>
      </c>
      <c r="C30" s="73" t="e">
        <f ca="1">T3</f>
        <v>#NUM!</v>
      </c>
      <c r="D30" s="69" t="e">
        <f ca="1">INDEX(D$65:INDIRECT("D"&amp;$C$61),$C30)</f>
        <v>#NUM!</v>
      </c>
      <c r="E30" s="69" t="e">
        <f ca="1">INDEX(INDIRECT(("'MemberID'!$C$6:C"&amp;MemberID!$C$1)),MATCH(D30,INDIRECT(("'MemberID'!$G$6:G"&amp;MemberID!$C$1)),0))</f>
        <v>#NUM!</v>
      </c>
      <c r="F30" s="69" t="e">
        <f ca="1">INDEX(E$65:INDIRECT("E"&amp;$C$61),$C30)</f>
        <v>#NUM!</v>
      </c>
      <c r="G30" t="e">
        <f ca="1">INDEX(F$65:INDIRECT("F"&amp;$C$61),$C30)</f>
        <v>#NUM!</v>
      </c>
      <c r="H30" t="e">
        <f ca="1">INDEX(G$65:INDIRECT("G"&amp;$C$61),$C30)</f>
        <v>#NUM!</v>
      </c>
      <c r="I30" t="e">
        <f ca="1">INDEX(H$65:INDIRECT("H"&amp;$C$61),$C30)</f>
        <v>#NUM!</v>
      </c>
      <c r="J30" t="e">
        <f ca="1">INDEX(I$65:INDIRECT("I"&amp;$C$61),$C30)</f>
        <v>#NUM!</v>
      </c>
      <c r="K30" s="7" t="e">
        <f ca="1">INDEX(J$65:INDIRECT("J"&amp;$C$61),$C30)</f>
        <v>#NUM!</v>
      </c>
      <c r="L30" t="e">
        <f ca="1">INDEX(K$65:INDIRECT("K"&amp;$C$61),$C30)</f>
        <v>#NUM!</v>
      </c>
      <c r="M30" s="23" t="e">
        <f ca="1">INDEX(L$65:INDIRECT("L"&amp;$C$61),$C30)</f>
        <v>#NUM!</v>
      </c>
      <c r="N30" t="e">
        <f ca="1">INDEX(M$65:INDIRECT("M"&amp;$C$61),$C30)</f>
        <v>#NUM!</v>
      </c>
      <c r="O30" t="e">
        <f ca="1">INDEX(N$65:INDIRECT("N"&amp;$C$61),$C30)</f>
        <v>#NUM!</v>
      </c>
      <c r="P30" t="e">
        <f ca="1">INDEX(O$65:INDIRECT("O"&amp;$C$61),$C30)</f>
        <v>#NUM!</v>
      </c>
      <c r="Q30" s="104"/>
      <c r="R30" s="73" t="s">
        <v>70</v>
      </c>
      <c r="S30" s="69" t="s">
        <v>33</v>
      </c>
      <c r="T30" s="73" t="e">
        <f t="array" aca="1" ref="T30" ca="1">MATCH(IF(ISBLANK($AE$11),LARGE(IF($E$65:INDIRECT("E"&amp;$C$61)=$AE$10,INDIRECT(AJ30&amp;65):INDIRECT(AJ30&amp;$C$61)),$AH30),IF(ISBLANK($AE$10),LARGE(IF($D$65:INDIRECT("D"&amp;$C$61)=$AE$11,INDIRECT(AJ30&amp;65):INDIRECT(AJ30&amp;$C$61)),$AH30),LARGE(IF(($E$65:INDIRECT("E"&amp;$C$61)=$AE$10)*($D$65:INDIRECT("D"&amp;$C$61)=$AE$11),INDIRECT(AJ30&amp;65):INDIRECT(AJ30&amp;$C$61)),$AH30))),INDIRECT(AJ30&amp;65):INDIRECT(AJ30&amp;$C$61),0)</f>
        <v>#NUM!</v>
      </c>
      <c r="U30" s="69" t="e">
        <f ca="1">INDEX(D$65:INDIRECT("D"&amp;$C$61),$T30)</f>
        <v>#NUM!</v>
      </c>
      <c r="V30" s="69" t="e">
        <f ca="1">INDEX(INDIRECT(("'MemberID'!$C$6:C"&amp;MemberID!$C$1)),MATCH(U30,INDIRECT(("'MemberID'!$G$6:G"&amp;MemberID!$C$1)),0))</f>
        <v>#NUM!</v>
      </c>
      <c r="W30" s="69" t="e">
        <f ca="1">INDEX(E$65:INDIRECT("E"&amp;$C$61),$T30)</f>
        <v>#NUM!</v>
      </c>
      <c r="X30" t="e">
        <f ca="1">INDEX(F$65:INDIRECT("F"&amp;$C$61),$T30)</f>
        <v>#NUM!</v>
      </c>
      <c r="Y30" t="e">
        <f ca="1">INDEX(G$65:INDIRECT("G"&amp;$C$61),$T30)</f>
        <v>#NUM!</v>
      </c>
      <c r="Z30" t="e">
        <f ca="1">INDEX(H$65:INDIRECT("H"&amp;$C$61),$T30)</f>
        <v>#NUM!</v>
      </c>
      <c r="AA30" t="e">
        <f ca="1">INDEX(I$65:INDIRECT("I"&amp;$C$61),$T30)</f>
        <v>#NUM!</v>
      </c>
      <c r="AB30" t="e">
        <f ca="1">INDEX(J$65:INDIRECT("J"&amp;$C$61),$T30)</f>
        <v>#NUM!</v>
      </c>
      <c r="AC30" t="e">
        <f ca="1">INDEX(K$65:INDIRECT("K"&amp;$C$61),$T30)</f>
        <v>#NUM!</v>
      </c>
      <c r="AD30" s="23" t="e">
        <f t="array" aca="1" ref="AD30" ca="1">IF(ISBLANK($AE$11),LARGE(IF($E$65:INDIRECT("E"&amp;$C$61)=$AE$10,L$65:INDIRECT(AD$13&amp;$C$61)),$AH30),IF(ISBLANK($AE$10),LARGE(IF($D$65:INDIRECT("D"&amp;$C$61)=$AE$11,L$65:INDIRECT(AD$13&amp;$C$61)),$AH30),LARGE(IF(($E$65:INDIRECT("E"&amp;$C$61)=$AE$10)*($D$65:INDIRECT("D"&amp;$C$61)=$AE$11),L$65:INDIRECT(AD$13&amp;$C$61)),$AH30)))</f>
        <v>#NUM!</v>
      </c>
      <c r="AE30" t="e">
        <f ca="1">INDEX(M$65:INDIRECT("M"&amp;$C$61),$T30)</f>
        <v>#NUM!</v>
      </c>
      <c r="AF30" t="e">
        <f ca="1">INDEX(N$65:INDIRECT("N"&amp;$C$61),$T30)</f>
        <v>#NUM!</v>
      </c>
      <c r="AG30" t="e">
        <f ca="1">INDEX(O$65:INDIRECT("O"&amp;$C$61),$T30)</f>
        <v>#NUM!</v>
      </c>
      <c r="AH30" s="69">
        <v>2</v>
      </c>
      <c r="AI30" s="69" t="str">
        <f>AI29</f>
        <v>L</v>
      </c>
      <c r="AJ30" s="69" t="str">
        <f>AJ29</f>
        <v>S</v>
      </c>
    </row>
    <row r="31" spans="1:36" x14ac:dyDescent="0.25">
      <c r="A31" s="73" t="s">
        <v>71</v>
      </c>
      <c r="B31" s="69" t="s">
        <v>33</v>
      </c>
      <c r="C31" s="73" t="e">
        <f ca="1">AB3</f>
        <v>#NUM!</v>
      </c>
      <c r="D31" s="69" t="e">
        <f ca="1">INDEX(D$65:INDIRECT("D"&amp;$C$61),$C31)</f>
        <v>#NUM!</v>
      </c>
      <c r="E31" s="69" t="e">
        <f ca="1">INDEX(INDIRECT(("'MemberID'!$C$6:C"&amp;MemberID!$C$1)),MATCH(D31,INDIRECT(("'MemberID'!$G$6:G"&amp;MemberID!$C$1)),0))</f>
        <v>#NUM!</v>
      </c>
      <c r="F31" s="69" t="e">
        <f ca="1">INDEX(E$65:INDIRECT("E"&amp;$C$61),$C31)</f>
        <v>#NUM!</v>
      </c>
      <c r="G31" t="e">
        <f ca="1">INDEX(F$65:INDIRECT("F"&amp;$C$61),$C31)</f>
        <v>#NUM!</v>
      </c>
      <c r="H31" t="e">
        <f ca="1">INDEX(G$65:INDIRECT("G"&amp;$C$61),$C31)</f>
        <v>#NUM!</v>
      </c>
      <c r="I31" t="e">
        <f ca="1">INDEX(H$65:INDIRECT("H"&amp;$C$61),$C31)</f>
        <v>#NUM!</v>
      </c>
      <c r="J31" t="e">
        <f ca="1">INDEX(I$65:INDIRECT("I"&amp;$C$61),$C31)</f>
        <v>#NUM!</v>
      </c>
      <c r="K31" s="7" t="e">
        <f ca="1">INDEX(J$65:INDIRECT("J"&amp;$C$61),$C31)</f>
        <v>#NUM!</v>
      </c>
      <c r="L31" t="e">
        <f ca="1">INDEX(K$65:INDIRECT("K"&amp;$C$61),$C31)</f>
        <v>#NUM!</v>
      </c>
      <c r="M31" s="23" t="e">
        <f ca="1">INDEX(L$65:INDIRECT("L"&amp;$C$61),$C31)</f>
        <v>#NUM!</v>
      </c>
      <c r="N31" t="e">
        <f ca="1">INDEX(M$65:INDIRECT("M"&amp;$C$61),$C31)</f>
        <v>#NUM!</v>
      </c>
      <c r="O31" t="e">
        <f ca="1">INDEX(N$65:INDIRECT("N"&amp;$C$61),$C31)</f>
        <v>#NUM!</v>
      </c>
      <c r="P31" t="e">
        <f ca="1">INDEX(O$65:INDIRECT("O"&amp;$C$61),$C31)</f>
        <v>#NUM!</v>
      </c>
      <c r="Q31" s="104"/>
      <c r="R31" s="73" t="s">
        <v>71</v>
      </c>
      <c r="S31" s="69" t="s">
        <v>33</v>
      </c>
      <c r="T31" s="73" t="e">
        <f t="array" aca="1" ref="T31" ca="1">MATCH(IF(ISBLANK($AE$11),LARGE(IF($E$65:INDIRECT("E"&amp;$C$61)=$AE$10,INDIRECT(AJ31&amp;65):INDIRECT(AJ31&amp;$C$61)),$AH31),IF(ISBLANK($AE$10),LARGE(IF($D$65:INDIRECT("D"&amp;$C$61)=$AE$11,INDIRECT(AJ31&amp;65):INDIRECT(AJ31&amp;$C$61)),$AH31),LARGE(IF(($E$65:INDIRECT("E"&amp;$C$61)=$AE$10)*($D$65:INDIRECT("D"&amp;$C$61)=$AE$11),INDIRECT(AJ31&amp;65):INDIRECT(AJ31&amp;$C$61)),$AH31))),INDIRECT(AJ31&amp;65):INDIRECT(AJ31&amp;$C$61),0)</f>
        <v>#NUM!</v>
      </c>
      <c r="U31" s="69" t="e">
        <f ca="1">INDEX(D$65:INDIRECT("D"&amp;$C$61),$T31)</f>
        <v>#NUM!</v>
      </c>
      <c r="V31" s="69" t="e">
        <f ca="1">INDEX(INDIRECT(("'MemberID'!$C$6:C"&amp;MemberID!$C$1)),MATCH(U31,INDIRECT(("'MemberID'!$G$6:G"&amp;MemberID!$C$1)),0))</f>
        <v>#NUM!</v>
      </c>
      <c r="W31" s="69" t="e">
        <f ca="1">INDEX(E$65:INDIRECT("E"&amp;$C$61),$T31)</f>
        <v>#NUM!</v>
      </c>
      <c r="X31" t="e">
        <f ca="1">INDEX(F$65:INDIRECT("F"&amp;$C$61),$T31)</f>
        <v>#NUM!</v>
      </c>
      <c r="Y31" t="e">
        <f ca="1">INDEX(G$65:INDIRECT("G"&amp;$C$61),$T31)</f>
        <v>#NUM!</v>
      </c>
      <c r="Z31" t="e">
        <f ca="1">INDEX(H$65:INDIRECT("H"&amp;$C$61),$T31)</f>
        <v>#NUM!</v>
      </c>
      <c r="AA31" t="e">
        <f ca="1">INDEX(I$65:INDIRECT("I"&amp;$C$61),$T31)</f>
        <v>#NUM!</v>
      </c>
      <c r="AB31" t="e">
        <f ca="1">INDEX(J$65:INDIRECT("J"&amp;$C$61),$T31)</f>
        <v>#NUM!</v>
      </c>
      <c r="AC31" t="e">
        <f ca="1">INDEX(K$65:INDIRECT("K"&amp;$C$61),$T31)</f>
        <v>#NUM!</v>
      </c>
      <c r="AD31" s="23" t="e">
        <f t="array" aca="1" ref="AD31" ca="1">IF(ISBLANK($AE$11),LARGE(IF($E$65:INDIRECT("E"&amp;$C$61)=$AE$10,L$65:INDIRECT(AD$13&amp;$C$61)),$AH31),IF(ISBLANK($AE$10),LARGE(IF($D$65:INDIRECT("D"&amp;$C$61)=$AE$11,L$65:INDIRECT(AD$13&amp;$C$61)),$AH31),LARGE(IF(($E$65:INDIRECT("E"&amp;$C$61)=$AE$10)*($D$65:INDIRECT("D"&amp;$C$61)=$AE$11),L$65:INDIRECT(AD$13&amp;$C$61)),$AH31)))</f>
        <v>#NUM!</v>
      </c>
      <c r="AE31" t="e">
        <f ca="1">INDEX(M$65:INDIRECT("M"&amp;$C$61),$T31)</f>
        <v>#NUM!</v>
      </c>
      <c r="AF31" t="e">
        <f ca="1">INDEX(N$65:INDIRECT("N"&amp;$C$61),$T31)</f>
        <v>#NUM!</v>
      </c>
      <c r="AG31" t="e">
        <f ca="1">INDEX(O$65:INDIRECT("O"&amp;$C$61),$T31)</f>
        <v>#NUM!</v>
      </c>
      <c r="AH31" s="69">
        <v>3</v>
      </c>
      <c r="AI31" s="69" t="str">
        <f t="shared" ref="AI31:AJ34" si="2">AI30</f>
        <v>L</v>
      </c>
      <c r="AJ31" s="69" t="str">
        <f t="shared" si="2"/>
        <v>S</v>
      </c>
    </row>
    <row r="32" spans="1:36" x14ac:dyDescent="0.25">
      <c r="A32" s="74" t="s">
        <v>72</v>
      </c>
      <c r="B32" s="69" t="s">
        <v>33</v>
      </c>
      <c r="C32" s="74" t="e">
        <f ca="1">L6</f>
        <v>#N/A</v>
      </c>
      <c r="D32" s="69" t="e">
        <f ca="1">INDEX(D$65:INDIRECT("D"&amp;$C$61),$C32)</f>
        <v>#N/A</v>
      </c>
      <c r="E32" s="69" t="e">
        <f ca="1">INDEX(INDIRECT(("'MemberID'!$C$6:C"&amp;MemberID!$C$1)),MATCH(D32,INDIRECT(("'MemberID'!$G$6:G"&amp;MemberID!$C$1)),0))</f>
        <v>#N/A</v>
      </c>
      <c r="F32" s="69" t="e">
        <f ca="1">INDEX(E$65:INDIRECT("E"&amp;$C$61),$C32)</f>
        <v>#N/A</v>
      </c>
      <c r="G32" t="e">
        <f ca="1">INDEX(F$65:INDIRECT("F"&amp;$C$61),$C32)</f>
        <v>#N/A</v>
      </c>
      <c r="H32" t="e">
        <f ca="1">INDEX(G$65:INDIRECT("G"&amp;$C$61),$C32)</f>
        <v>#N/A</v>
      </c>
      <c r="I32" t="e">
        <f ca="1">INDEX(H$65:INDIRECT("H"&amp;$C$61),$C32)</f>
        <v>#N/A</v>
      </c>
      <c r="J32" t="e">
        <f ca="1">INDEX(I$65:INDIRECT("I"&amp;$C$61),$C32)</f>
        <v>#N/A</v>
      </c>
      <c r="K32" s="7" t="e">
        <f ca="1">INDEX(J$65:INDIRECT("J"&amp;$C$61),$C32)</f>
        <v>#N/A</v>
      </c>
      <c r="L32" t="e">
        <f ca="1">INDEX(K$65:INDIRECT("K"&amp;$C$61),$C32)</f>
        <v>#N/A</v>
      </c>
      <c r="M32" s="23" t="e">
        <f ca="1">INDEX(L$65:INDIRECT("L"&amp;$C$61),$C32)</f>
        <v>#N/A</v>
      </c>
      <c r="N32" t="e">
        <f ca="1">INDEX(M$65:INDIRECT("M"&amp;$C$61),$C32)</f>
        <v>#N/A</v>
      </c>
      <c r="O32" t="e">
        <f ca="1">INDEX(N$65:INDIRECT("N"&amp;$C$61),$C32)</f>
        <v>#N/A</v>
      </c>
      <c r="P32" t="e">
        <f ca="1">INDEX(O$65:INDIRECT("O"&amp;$C$61),$C32)</f>
        <v>#N/A</v>
      </c>
      <c r="Q32" s="104"/>
      <c r="R32" s="74" t="s">
        <v>72</v>
      </c>
      <c r="S32" s="69" t="s">
        <v>33</v>
      </c>
      <c r="T32" s="74" t="e">
        <f t="array" aca="1" ref="T32" ca="1">MATCH(IF(ISBLANK($AE$11),SMALL(IF($E$65:INDIRECT("E"&amp;$C$61)=$AE$10,INDIRECT(AJ32&amp;65):INDIRECT(AJ32&amp;$C$61)),$AH32),IF(ISBLANK($AE$10),SMALL(IF($D$65:INDIRECT("D"&amp;$C$61)=$AE$11,INDIRECT(AJ32&amp;65):INDIRECT(AJ32&amp;$C$61)),$AH32),SMALL(IF(($E$65:INDIRECT("E"&amp;$C$61)=$AE$10)*($D$65:INDIRECT("D"&amp;$C$61)=$AE$11),INDIRECT(AJ32&amp;65):INDIRECT(AJ32&amp;$C$61)),$AH32))),INDIRECT(AJ32&amp;65):INDIRECT(AJ32&amp;$C$61),0)</f>
        <v>#NUM!</v>
      </c>
      <c r="U32" s="69" t="e">
        <f ca="1">INDEX(D$65:INDIRECT("D"&amp;$C$61),$T32)</f>
        <v>#NUM!</v>
      </c>
      <c r="V32" s="69" t="e">
        <f ca="1">INDEX(INDIRECT(("'MemberID'!$C$6:C"&amp;MemberID!$C$1)),MATCH(U32,INDIRECT(("'MemberID'!$G$6:G"&amp;MemberID!$C$1)),0))</f>
        <v>#NUM!</v>
      </c>
      <c r="W32" s="69" t="e">
        <f ca="1">INDEX(E$65:INDIRECT("E"&amp;$C$61),$T32)</f>
        <v>#NUM!</v>
      </c>
      <c r="X32" t="e">
        <f ca="1">INDEX(F$65:INDIRECT("F"&amp;$C$61),$T32)</f>
        <v>#NUM!</v>
      </c>
      <c r="Y32" t="e">
        <f ca="1">INDEX(G$65:INDIRECT("G"&amp;$C$61),$T32)</f>
        <v>#NUM!</v>
      </c>
      <c r="Z32" t="e">
        <f ca="1">INDEX(H$65:INDIRECT("H"&amp;$C$61),$T32)</f>
        <v>#NUM!</v>
      </c>
      <c r="AA32" t="e">
        <f ca="1">INDEX(I$65:INDIRECT("I"&amp;$C$61),$T32)</f>
        <v>#NUM!</v>
      </c>
      <c r="AB32" t="e">
        <f ca="1">INDEX(J$65:INDIRECT("J"&amp;$C$61),$T32)</f>
        <v>#NUM!</v>
      </c>
      <c r="AC32" t="e">
        <f ca="1">INDEX(K$65:INDIRECT("K"&amp;$C$61),$T32)</f>
        <v>#NUM!</v>
      </c>
      <c r="AD32" s="23" t="e">
        <f t="array" aca="1" ref="AD32" ca="1">IF(ISBLANK($AE$11),SMALL(IF($E$65:INDIRECT("E"&amp;$C$61)=$AE$10,L$65:INDIRECT(AD$13&amp;$C$61)),$AH32),IF(ISBLANK($AE$10),SMALL(IF($D$65:INDIRECT("D"&amp;$C$61)=$AE$11,L$65:INDIRECT(AD$13&amp;$C$61)),$AH32),SMALL(IF(($E$65:INDIRECT("E"&amp;$C$61)=$AE$10)*($D$65:INDIRECT("D"&amp;$C$61)=$AE$11),L$65:INDIRECT(AD$13&amp;$C$61)),$AH32)))</f>
        <v>#NUM!</v>
      </c>
      <c r="AE32" t="e">
        <f ca="1">INDEX(M$65:INDIRECT("M"&amp;$C$61),$T32)</f>
        <v>#NUM!</v>
      </c>
      <c r="AF32" t="e">
        <f ca="1">INDEX(N$65:INDIRECT("N"&amp;$C$61),$T32)</f>
        <v>#NUM!</v>
      </c>
      <c r="AG32" t="e">
        <f ca="1">INDEX(O$65:INDIRECT("O"&amp;$C$61),$T32)</f>
        <v>#NUM!</v>
      </c>
      <c r="AH32" s="69">
        <v>1</v>
      </c>
      <c r="AI32" s="69" t="str">
        <f t="shared" si="2"/>
        <v>L</v>
      </c>
      <c r="AJ32" s="69" t="str">
        <f t="shared" si="2"/>
        <v>S</v>
      </c>
    </row>
    <row r="33" spans="1:52" x14ac:dyDescent="0.25">
      <c r="A33" s="74" t="s">
        <v>73</v>
      </c>
      <c r="B33" s="69" t="s">
        <v>33</v>
      </c>
      <c r="C33" s="74" t="e">
        <f ca="1">T6</f>
        <v>#NUM!</v>
      </c>
      <c r="D33" s="69" t="e">
        <f ca="1">INDEX(D$65:INDIRECT("D"&amp;$C$61),$C33)</f>
        <v>#NUM!</v>
      </c>
      <c r="E33" s="69" t="e">
        <f ca="1">INDEX(INDIRECT(("'MemberID'!$C$6:C"&amp;MemberID!$C$1)),MATCH(D33,INDIRECT(("'MemberID'!$G$6:G"&amp;MemberID!$C$1)),0))</f>
        <v>#NUM!</v>
      </c>
      <c r="F33" s="69" t="e">
        <f ca="1">INDEX(E$65:INDIRECT("E"&amp;$C$61),$C33)</f>
        <v>#NUM!</v>
      </c>
      <c r="G33" t="e">
        <f ca="1">INDEX(F$65:INDIRECT("F"&amp;$C$61),$C33)</f>
        <v>#NUM!</v>
      </c>
      <c r="H33" t="e">
        <f ca="1">INDEX(G$65:INDIRECT("G"&amp;$C$61),$C33)</f>
        <v>#NUM!</v>
      </c>
      <c r="I33" t="e">
        <f ca="1">INDEX(H$65:INDIRECT("H"&amp;$C$61),$C33)</f>
        <v>#NUM!</v>
      </c>
      <c r="J33" t="e">
        <f ca="1">INDEX(I$65:INDIRECT("I"&amp;$C$61),$C33)</f>
        <v>#NUM!</v>
      </c>
      <c r="K33" s="7" t="e">
        <f ca="1">INDEX(J$65:INDIRECT("J"&amp;$C$61),$C33)</f>
        <v>#NUM!</v>
      </c>
      <c r="L33" t="e">
        <f ca="1">INDEX(K$65:INDIRECT("K"&amp;$C$61),$C33)</f>
        <v>#NUM!</v>
      </c>
      <c r="M33" s="23" t="e">
        <f ca="1">INDEX(L$65:INDIRECT("L"&amp;$C$61),$C33)</f>
        <v>#NUM!</v>
      </c>
      <c r="N33" t="e">
        <f ca="1">INDEX(M$65:INDIRECT("M"&amp;$C$61),$C33)</f>
        <v>#NUM!</v>
      </c>
      <c r="O33" t="e">
        <f ca="1">INDEX(N$65:INDIRECT("N"&amp;$C$61),$C33)</f>
        <v>#NUM!</v>
      </c>
      <c r="P33" t="e">
        <f ca="1">INDEX(O$65:INDIRECT("O"&amp;$C$61),$C33)</f>
        <v>#NUM!</v>
      </c>
      <c r="Q33" s="104"/>
      <c r="R33" s="74" t="s">
        <v>73</v>
      </c>
      <c r="S33" s="69" t="s">
        <v>33</v>
      </c>
      <c r="T33" s="74" t="e">
        <f t="array" aca="1" ref="T33" ca="1">MATCH(IF(ISBLANK($AE$11),SMALL(IF($E$65:INDIRECT("E"&amp;$C$61)=$AE$10,INDIRECT(AJ33&amp;65):INDIRECT(AJ33&amp;$C$61)),$AH33),IF(ISBLANK($AE$10),SMALL(IF($D$65:INDIRECT("D"&amp;$C$61)=$AE$11,INDIRECT(AJ33&amp;65):INDIRECT(AJ33&amp;$C$61)),$AH33),SMALL(IF(($E$65:INDIRECT("E"&amp;$C$61)=$AE$10)*($D$65:INDIRECT("D"&amp;$C$61)=$AE$11),INDIRECT(AJ33&amp;65):INDIRECT(AJ33&amp;$C$61)),$AH33))),INDIRECT(AJ33&amp;65):INDIRECT(AJ33&amp;$C$61),0)</f>
        <v>#NUM!</v>
      </c>
      <c r="U33" s="69" t="e">
        <f ca="1">INDEX(D$65:INDIRECT("D"&amp;$C$61),$T33)</f>
        <v>#NUM!</v>
      </c>
      <c r="V33" s="69" t="e">
        <f ca="1">INDEX(INDIRECT(("'MemberID'!$C$6:C"&amp;MemberID!$C$1)),MATCH(U33,INDIRECT(("'MemberID'!$G$6:G"&amp;MemberID!$C$1)),0))</f>
        <v>#NUM!</v>
      </c>
      <c r="W33" s="69" t="e">
        <f ca="1">INDEX(E$65:INDIRECT("E"&amp;$C$61),$T33)</f>
        <v>#NUM!</v>
      </c>
      <c r="X33" t="e">
        <f ca="1">INDEX(F$65:INDIRECT("F"&amp;$C$61),$T33)</f>
        <v>#NUM!</v>
      </c>
      <c r="Y33" t="e">
        <f ca="1">INDEX(G$65:INDIRECT("G"&amp;$C$61),$T33)</f>
        <v>#NUM!</v>
      </c>
      <c r="Z33" t="e">
        <f ca="1">INDEX(H$65:INDIRECT("H"&amp;$C$61),$T33)</f>
        <v>#NUM!</v>
      </c>
      <c r="AA33" t="e">
        <f ca="1">INDEX(I$65:INDIRECT("I"&amp;$C$61),$T33)</f>
        <v>#NUM!</v>
      </c>
      <c r="AB33" t="e">
        <f ca="1">INDEX(J$65:INDIRECT("J"&amp;$C$61),$T33)</f>
        <v>#NUM!</v>
      </c>
      <c r="AC33" t="e">
        <f ca="1">INDEX(K$65:INDIRECT("K"&amp;$C$61),$T33)</f>
        <v>#NUM!</v>
      </c>
      <c r="AD33" s="23" t="e">
        <f t="array" aca="1" ref="AD33" ca="1">IF(ISBLANK($AE$11),SMALL(IF($E$65:INDIRECT("E"&amp;$C$61)=$AE$10,L$65:INDIRECT(AD$13&amp;$C$61)),$AH33),IF(ISBLANK($AE$10),SMALL(IF($D$65:INDIRECT("D"&amp;$C$61)=$AE$11,L$65:INDIRECT(AD$13&amp;$C$61)),$AH33),SMALL(IF(($E$65:INDIRECT("E"&amp;$C$61)=$AE$10)*($D$65:INDIRECT("D"&amp;$C$61)=$AE$11),L$65:INDIRECT(AD$13&amp;$C$61)),$AH33)))</f>
        <v>#NUM!</v>
      </c>
      <c r="AE33" t="e">
        <f ca="1">INDEX(M$65:INDIRECT("M"&amp;$C$61),$T33)</f>
        <v>#NUM!</v>
      </c>
      <c r="AF33" t="e">
        <f ca="1">INDEX(N$65:INDIRECT("N"&amp;$C$61),$T33)</f>
        <v>#NUM!</v>
      </c>
      <c r="AG33" t="e">
        <f ca="1">INDEX(O$65:INDIRECT("O"&amp;$C$61),$T33)</f>
        <v>#NUM!</v>
      </c>
      <c r="AH33" s="69">
        <v>2</v>
      </c>
      <c r="AI33" s="69" t="str">
        <f t="shared" si="2"/>
        <v>L</v>
      </c>
      <c r="AJ33" s="69" t="str">
        <f t="shared" si="2"/>
        <v>S</v>
      </c>
    </row>
    <row r="34" spans="1:52" x14ac:dyDescent="0.25">
      <c r="A34" s="74" t="s">
        <v>74</v>
      </c>
      <c r="B34" s="69" t="s">
        <v>33</v>
      </c>
      <c r="C34" s="74" t="e">
        <f ca="1">AB6</f>
        <v>#NUM!</v>
      </c>
      <c r="D34" s="69" t="e">
        <f ca="1">INDEX(D$65:INDIRECT("D"&amp;$C$61),$C34)</f>
        <v>#NUM!</v>
      </c>
      <c r="E34" s="69" t="e">
        <f ca="1">INDEX(INDIRECT(("'MemberID'!$C$6:C"&amp;MemberID!$C$1)),MATCH(D34,INDIRECT(("'MemberID'!$G$6:G"&amp;MemberID!$C$1)),0))</f>
        <v>#NUM!</v>
      </c>
      <c r="F34" s="69" t="e">
        <f ca="1">INDEX(E$65:INDIRECT("E"&amp;$C$61),$C34)</f>
        <v>#NUM!</v>
      </c>
      <c r="G34" t="e">
        <f ca="1">INDEX(F$65:INDIRECT("F"&amp;$C$61),$C34)</f>
        <v>#NUM!</v>
      </c>
      <c r="H34" t="e">
        <f ca="1">INDEX(G$65:INDIRECT("G"&amp;$C$61),$C34)</f>
        <v>#NUM!</v>
      </c>
      <c r="I34" t="e">
        <f ca="1">INDEX(H$65:INDIRECT("H"&amp;$C$61),$C34)</f>
        <v>#NUM!</v>
      </c>
      <c r="J34" t="e">
        <f ca="1">INDEX(I$65:INDIRECT("I"&amp;$C$61),$C34)</f>
        <v>#NUM!</v>
      </c>
      <c r="K34" s="7" t="e">
        <f ca="1">INDEX(J$65:INDIRECT("J"&amp;$C$61),$C34)</f>
        <v>#NUM!</v>
      </c>
      <c r="L34" t="e">
        <f ca="1">INDEX(K$65:INDIRECT("K"&amp;$C$61),$C34)</f>
        <v>#NUM!</v>
      </c>
      <c r="M34" s="23" t="e">
        <f ca="1">INDEX(L$65:INDIRECT("L"&amp;$C$61),$C34)</f>
        <v>#NUM!</v>
      </c>
      <c r="N34" t="e">
        <f ca="1">INDEX(M$65:INDIRECT("M"&amp;$C$61),$C34)</f>
        <v>#NUM!</v>
      </c>
      <c r="O34" t="e">
        <f ca="1">INDEX(N$65:INDIRECT("N"&amp;$C$61),$C34)</f>
        <v>#NUM!</v>
      </c>
      <c r="P34" t="e">
        <f ca="1">INDEX(O$65:INDIRECT("O"&amp;$C$61),$C34)</f>
        <v>#NUM!</v>
      </c>
      <c r="Q34" s="104"/>
      <c r="R34" s="74" t="s">
        <v>74</v>
      </c>
      <c r="S34" s="69" t="s">
        <v>33</v>
      </c>
      <c r="T34" s="74" t="e">
        <f t="array" aca="1" ref="T34" ca="1">MATCH(IF(ISBLANK($AE$11),SMALL(IF($E$65:INDIRECT("E"&amp;$C$61)=$AE$10,INDIRECT(AJ34&amp;65):INDIRECT(AJ34&amp;$C$61)),$AH34),IF(ISBLANK($AE$10),SMALL(IF($D$65:INDIRECT("D"&amp;$C$61)=$AE$11,INDIRECT(AJ34&amp;65):INDIRECT(AJ34&amp;$C$61)),$AH34),SMALL(IF(($E$65:INDIRECT("E"&amp;$C$61)=$AE$10)*($D$65:INDIRECT("D"&amp;$C$61)=$AE$11),INDIRECT(AJ34&amp;65):INDIRECT(AJ34&amp;$C$61)),$AH34))),INDIRECT(AJ34&amp;65):INDIRECT(AJ34&amp;$C$61),0)</f>
        <v>#NUM!</v>
      </c>
      <c r="U34" s="69" t="e">
        <f ca="1">INDEX(D$65:INDIRECT("D"&amp;$C$61),$T34)</f>
        <v>#NUM!</v>
      </c>
      <c r="V34" s="69" t="e">
        <f ca="1">INDEX(INDIRECT(("'MemberID'!$C$6:C"&amp;MemberID!$C$1)),MATCH(U34,INDIRECT(("'MemberID'!$G$6:G"&amp;MemberID!$C$1)),0))</f>
        <v>#NUM!</v>
      </c>
      <c r="W34" s="69" t="e">
        <f ca="1">INDEX(E$65:INDIRECT("E"&amp;$C$61),$T34)</f>
        <v>#NUM!</v>
      </c>
      <c r="X34" t="e">
        <f ca="1">INDEX(F$65:INDIRECT("F"&amp;$C$61),$T34)</f>
        <v>#NUM!</v>
      </c>
      <c r="Y34" t="e">
        <f ca="1">INDEX(G$65:INDIRECT("G"&amp;$C$61),$T34)</f>
        <v>#NUM!</v>
      </c>
      <c r="Z34" t="e">
        <f ca="1">INDEX(H$65:INDIRECT("H"&amp;$C$61),$T34)</f>
        <v>#NUM!</v>
      </c>
      <c r="AA34" t="e">
        <f ca="1">INDEX(I$65:INDIRECT("I"&amp;$C$61),$T34)</f>
        <v>#NUM!</v>
      </c>
      <c r="AB34" t="e">
        <f ca="1">INDEX(J$65:INDIRECT("J"&amp;$C$61),$T34)</f>
        <v>#NUM!</v>
      </c>
      <c r="AC34" t="e">
        <f ca="1">INDEX(K$65:INDIRECT("K"&amp;$C$61),$T34)</f>
        <v>#NUM!</v>
      </c>
      <c r="AD34" s="23" t="e">
        <f t="array" aca="1" ref="AD34" ca="1">IF(ISBLANK($AE$11),SMALL(IF($E$65:INDIRECT("E"&amp;$C$61)=$AE$10,L$65:INDIRECT(AD$13&amp;$C$61)),$AH34),IF(ISBLANK($AE$10),SMALL(IF($D$65:INDIRECT("D"&amp;$C$61)=$AE$11,L$65:INDIRECT(AD$13&amp;$C$61)),$AH34),SMALL(IF(($E$65:INDIRECT("E"&amp;$C$61)=$AE$10)*($D$65:INDIRECT("D"&amp;$C$61)=$AE$11),L$65:INDIRECT(AD$13&amp;$C$61)),$AH34)))</f>
        <v>#NUM!</v>
      </c>
      <c r="AE34" t="e">
        <f ca="1">INDEX(M$65:INDIRECT("M"&amp;$C$61),$T34)</f>
        <v>#NUM!</v>
      </c>
      <c r="AF34" t="e">
        <f ca="1">INDEX(N$65:INDIRECT("N"&amp;$C$61),$T34)</f>
        <v>#NUM!</v>
      </c>
      <c r="AG34" t="e">
        <f ca="1">INDEX(O$65:INDIRECT("O"&amp;$C$61),$T34)</f>
        <v>#NUM!</v>
      </c>
      <c r="AH34" s="69">
        <v>3</v>
      </c>
      <c r="AI34" s="69" t="str">
        <f t="shared" si="2"/>
        <v>L</v>
      </c>
      <c r="AJ34" s="69" t="str">
        <f t="shared" si="2"/>
        <v>S</v>
      </c>
    </row>
    <row r="35" spans="1:52" x14ac:dyDescent="0.25">
      <c r="A35" s="5"/>
      <c r="B35" s="69"/>
      <c r="C35" s="69"/>
      <c r="D35" s="69"/>
      <c r="E35" s="69"/>
      <c r="F35" s="69"/>
      <c r="K35" s="7"/>
      <c r="Q35" s="104"/>
      <c r="R35" s="5"/>
      <c r="S35" s="69"/>
      <c r="T35" s="69"/>
      <c r="V35" s="69"/>
      <c r="W35" s="69"/>
      <c r="AH35" s="69"/>
      <c r="AI35" s="69"/>
      <c r="AJ35" s="69"/>
    </row>
    <row r="36" spans="1:52" x14ac:dyDescent="0.25">
      <c r="A36" s="73" t="s">
        <v>69</v>
      </c>
      <c r="B36" s="69" t="s">
        <v>34</v>
      </c>
      <c r="C36" s="73" t="e">
        <f ca="1">M3</f>
        <v>#N/A</v>
      </c>
      <c r="D36" s="69" t="e">
        <f ca="1">INDEX(D$65:INDIRECT("D"&amp;$C$61),$C36)</f>
        <v>#N/A</v>
      </c>
      <c r="E36" s="69" t="e">
        <f ca="1">INDEX(INDIRECT(("'MemberID'!$C$6:C"&amp;MemberID!$C$1)),MATCH(D36,INDIRECT(("'MemberID'!$G$6:G"&amp;MemberID!$C$1)),0))</f>
        <v>#N/A</v>
      </c>
      <c r="F36" s="69" t="e">
        <f ca="1">INDEX(E$65:INDIRECT("E"&amp;$C$61),$C36)</f>
        <v>#N/A</v>
      </c>
      <c r="G36" t="e">
        <f ca="1">INDEX(F$65:INDIRECT("F"&amp;$C$61),$C36)</f>
        <v>#N/A</v>
      </c>
      <c r="H36" t="e">
        <f ca="1">INDEX(G$65:INDIRECT("G"&amp;$C$61),$C36)</f>
        <v>#N/A</v>
      </c>
      <c r="I36" t="e">
        <f ca="1">INDEX(H$65:INDIRECT("H"&amp;$C$61),$C36)</f>
        <v>#N/A</v>
      </c>
      <c r="J36" t="e">
        <f ca="1">INDEX(I$65:INDIRECT("I"&amp;$C$61),$C36)</f>
        <v>#N/A</v>
      </c>
      <c r="K36" s="7" t="e">
        <f ca="1">INDEX(J$65:INDIRECT("J"&amp;$C$61),$C36)</f>
        <v>#N/A</v>
      </c>
      <c r="L36" t="e">
        <f ca="1">INDEX(K$65:INDIRECT("K"&amp;$C$61),$C36)</f>
        <v>#N/A</v>
      </c>
      <c r="M36" t="e">
        <f ca="1">INDEX(L$65:INDIRECT("L"&amp;$C$61),$C36)</f>
        <v>#N/A</v>
      </c>
      <c r="N36" s="23" t="e">
        <f ca="1">INDEX(M$65:INDIRECT("M"&amp;$C$61),$C36)</f>
        <v>#N/A</v>
      </c>
      <c r="O36" t="e">
        <f ca="1">INDEX(N$65:INDIRECT("N"&amp;$C$61),$C36)</f>
        <v>#N/A</v>
      </c>
      <c r="P36" t="e">
        <f ca="1">INDEX(O$65:INDIRECT("O"&amp;$C$61),$C36)</f>
        <v>#N/A</v>
      </c>
      <c r="Q36" s="104"/>
      <c r="R36" s="73" t="s">
        <v>69</v>
      </c>
      <c r="S36" s="69" t="s">
        <v>34</v>
      </c>
      <c r="T36" s="73" t="e">
        <f t="array" aca="1" ref="T36" ca="1">MATCH(IF(ISBLANK($AE$11),LARGE(IF($E$65:INDIRECT("E"&amp;$C$61)=$AE$10,INDIRECT(AJ36&amp;65):INDIRECT(AJ36&amp;$C$61)),$AH36),IF(ISBLANK($AE$10),LARGE(IF($D$65:INDIRECT("D"&amp;$C$61)=$AE$11,INDIRECT(AJ36&amp;65):INDIRECT(AJ36&amp;$C$61)),$AH36),LARGE(IF(($E$65:INDIRECT("E"&amp;$C$61)=$AE$10)*($D$65:INDIRECT("D"&amp;$C$61)=$AE$11),INDIRECT(AJ36&amp;65):INDIRECT(AJ36&amp;$C$61)),$AH36))),INDIRECT(AJ36&amp;65):INDIRECT(AJ36&amp;$C$61),0)</f>
        <v>#NUM!</v>
      </c>
      <c r="U36" s="69" t="e">
        <f ca="1">INDEX(D$65:INDIRECT("D"&amp;$C$61),$T36)</f>
        <v>#NUM!</v>
      </c>
      <c r="V36" s="69" t="e">
        <f ca="1">INDEX(INDIRECT(("'MemberID'!$C$6:C"&amp;MemberID!$C$1)),MATCH(U36,INDIRECT(("'MemberID'!$G$6:G"&amp;MemberID!$C$1)),0))</f>
        <v>#NUM!</v>
      </c>
      <c r="W36" s="69" t="e">
        <f ca="1">INDEX(E$65:INDIRECT("E"&amp;$C$61),$T36)</f>
        <v>#NUM!</v>
      </c>
      <c r="X36" t="e">
        <f ca="1">INDEX(F$65:INDIRECT("F"&amp;$C$61),$T36)</f>
        <v>#NUM!</v>
      </c>
      <c r="Y36" t="e">
        <f ca="1">INDEX(G$65:INDIRECT("G"&amp;$C$61),$T36)</f>
        <v>#NUM!</v>
      </c>
      <c r="Z36" t="e">
        <f ca="1">INDEX(H$65:INDIRECT("H"&amp;$C$61),$T36)</f>
        <v>#NUM!</v>
      </c>
      <c r="AA36" t="e">
        <f ca="1">INDEX(I$65:INDIRECT("I"&amp;$C$61),$T36)</f>
        <v>#NUM!</v>
      </c>
      <c r="AB36" t="e">
        <f ca="1">INDEX(J$65:INDIRECT("J"&amp;$C$61),$T36)</f>
        <v>#NUM!</v>
      </c>
      <c r="AC36" t="e">
        <f ca="1">INDEX(K$65:INDIRECT("K"&amp;$C$61),$T36)</f>
        <v>#NUM!</v>
      </c>
      <c r="AD36" t="e">
        <f ca="1">INDEX(L$65:INDIRECT("L"&amp;$C$61),$T36)</f>
        <v>#NUM!</v>
      </c>
      <c r="AE36" s="23" t="e">
        <f t="array" aca="1" ref="AE36" ca="1">IF(ISBLANK($AE$11),LARGE(IF($E$65:INDIRECT("E"&amp;$C$61)=$AE$10,M$65:INDIRECT(AE$13&amp;$C$61)),$AH36),IF(ISBLANK($AE$10),LARGE(IF($D$65:INDIRECT("D"&amp;$C$61)=$AE$11,M$65:INDIRECT(AE$13&amp;$C$61)),$AH36),LARGE(IF(($E$65:INDIRECT("E"&amp;$C$61)=$AE$10)*($D$65:INDIRECT("D"&amp;$C$61)=$AE$11),M$65:INDIRECT(AE$13&amp;$C$61)),$AH36)))</f>
        <v>#NUM!</v>
      </c>
      <c r="AF36" t="e">
        <f ca="1">INDEX(N$65:INDIRECT("N"&amp;$C$61),$T36)</f>
        <v>#NUM!</v>
      </c>
      <c r="AG36" t="e">
        <f ca="1">INDEX(O$65:INDIRECT("O"&amp;$C$61),$T36)</f>
        <v>#NUM!</v>
      </c>
      <c r="AH36" s="69">
        <v>1</v>
      </c>
      <c r="AI36" s="69" t="s">
        <v>198</v>
      </c>
      <c r="AJ36" s="69" t="s">
        <v>195</v>
      </c>
    </row>
    <row r="37" spans="1:52" x14ac:dyDescent="0.25">
      <c r="A37" s="73" t="s">
        <v>70</v>
      </c>
      <c r="B37" s="69" t="s">
        <v>34</v>
      </c>
      <c r="C37" s="73" t="e">
        <f ca="1">U3</f>
        <v>#NUM!</v>
      </c>
      <c r="D37" s="69" t="e">
        <f ca="1">INDEX(D$65:INDIRECT("D"&amp;$C$61),$C37)</f>
        <v>#NUM!</v>
      </c>
      <c r="E37" s="69" t="e">
        <f ca="1">INDEX(INDIRECT(("'MemberID'!$C$6:C"&amp;MemberID!$C$1)),MATCH(D37,INDIRECT(("'MemberID'!$G$6:G"&amp;MemberID!$C$1)),0))</f>
        <v>#NUM!</v>
      </c>
      <c r="F37" s="69" t="e">
        <f ca="1">INDEX(E$65:INDIRECT("E"&amp;$C$61),$C37)</f>
        <v>#NUM!</v>
      </c>
      <c r="G37" t="e">
        <f ca="1">INDEX(F$65:INDIRECT("F"&amp;$C$61),$C37)</f>
        <v>#NUM!</v>
      </c>
      <c r="H37" t="e">
        <f ca="1">INDEX(G$65:INDIRECT("G"&amp;$C$61),$C37)</f>
        <v>#NUM!</v>
      </c>
      <c r="I37" t="e">
        <f ca="1">INDEX(H$65:INDIRECT("H"&amp;$C$61),$C37)</f>
        <v>#NUM!</v>
      </c>
      <c r="J37" t="e">
        <f ca="1">INDEX(I$65:INDIRECT("I"&amp;$C$61),$C37)</f>
        <v>#NUM!</v>
      </c>
      <c r="K37" s="7" t="e">
        <f ca="1">INDEX(J$65:INDIRECT("J"&amp;$C$61),$C37)</f>
        <v>#NUM!</v>
      </c>
      <c r="L37" t="e">
        <f ca="1">INDEX(K$65:INDIRECT("K"&amp;$C$61),$C37)</f>
        <v>#NUM!</v>
      </c>
      <c r="M37" t="e">
        <f ca="1">INDEX(L$65:INDIRECT("L"&amp;$C$61),$C37)</f>
        <v>#NUM!</v>
      </c>
      <c r="N37" s="23" t="e">
        <f ca="1">INDEX(M$65:INDIRECT("M"&amp;$C$61),$C37)</f>
        <v>#NUM!</v>
      </c>
      <c r="O37" t="e">
        <f ca="1">INDEX(N$65:INDIRECT("N"&amp;$C$61),$C37)</f>
        <v>#NUM!</v>
      </c>
      <c r="P37" t="e">
        <f ca="1">INDEX(O$65:INDIRECT("O"&amp;$C$61),$C37)</f>
        <v>#NUM!</v>
      </c>
      <c r="Q37" s="104"/>
      <c r="R37" s="73" t="s">
        <v>70</v>
      </c>
      <c r="S37" s="69" t="s">
        <v>34</v>
      </c>
      <c r="T37" s="73" t="e">
        <f t="array" aca="1" ref="T37" ca="1">MATCH(IF(ISBLANK($AE$11),LARGE(IF($E$65:INDIRECT("E"&amp;$C$61)=$AE$10,INDIRECT(AJ37&amp;65):INDIRECT(AJ37&amp;$C$61)),$AH37),IF(ISBLANK($AE$10),LARGE(IF($D$65:INDIRECT("D"&amp;$C$61)=$AE$11,INDIRECT(AJ37&amp;65):INDIRECT(AJ37&amp;$C$61)),$AH37),LARGE(IF(($E$65:INDIRECT("E"&amp;$C$61)=$AE$10)*($D$65:INDIRECT("D"&amp;$C$61)=$AE$11),INDIRECT(AJ37&amp;65):INDIRECT(AJ37&amp;$C$61)),$AH37))),INDIRECT(AJ37&amp;65):INDIRECT(AJ37&amp;$C$61),0)</f>
        <v>#NUM!</v>
      </c>
      <c r="U37" s="69" t="e">
        <f ca="1">INDEX(D$65:INDIRECT("D"&amp;$C$61),$T37)</f>
        <v>#NUM!</v>
      </c>
      <c r="V37" s="69" t="e">
        <f ca="1">INDEX(INDIRECT(("'MemberID'!$C$6:C"&amp;MemberID!$C$1)),MATCH(U37,INDIRECT(("'MemberID'!$G$6:G"&amp;MemberID!$C$1)),0))</f>
        <v>#NUM!</v>
      </c>
      <c r="W37" s="69" t="e">
        <f ca="1">INDEX(E$65:INDIRECT("E"&amp;$C$61),$T37)</f>
        <v>#NUM!</v>
      </c>
      <c r="X37" t="e">
        <f ca="1">INDEX(F$65:INDIRECT("F"&amp;$C$61),$T37)</f>
        <v>#NUM!</v>
      </c>
      <c r="Y37" t="e">
        <f ca="1">INDEX(G$65:INDIRECT("G"&amp;$C$61),$T37)</f>
        <v>#NUM!</v>
      </c>
      <c r="Z37" t="e">
        <f ca="1">INDEX(H$65:INDIRECT("H"&amp;$C$61),$T37)</f>
        <v>#NUM!</v>
      </c>
      <c r="AA37" t="e">
        <f ca="1">INDEX(I$65:INDIRECT("I"&amp;$C$61),$T37)</f>
        <v>#NUM!</v>
      </c>
      <c r="AB37" t="e">
        <f ca="1">INDEX(J$65:INDIRECT("J"&amp;$C$61),$T37)</f>
        <v>#NUM!</v>
      </c>
      <c r="AC37" t="e">
        <f ca="1">INDEX(K$65:INDIRECT("K"&amp;$C$61),$T37)</f>
        <v>#NUM!</v>
      </c>
      <c r="AD37" t="e">
        <f ca="1">INDEX(L$65:INDIRECT("L"&amp;$C$61),$T37)</f>
        <v>#NUM!</v>
      </c>
      <c r="AE37" s="23" t="e">
        <f t="array" aca="1" ref="AE37" ca="1">IF(ISBLANK($AE$11),LARGE(IF($E$65:INDIRECT("E"&amp;$C$61)=$AE$10,M$65:INDIRECT(AE$13&amp;$C$61)),$AH37),IF(ISBLANK($AE$10),LARGE(IF($D$65:INDIRECT("D"&amp;$C$61)=$AE$11,M$65:INDIRECT(AE$13&amp;$C$61)),$AH37),LARGE(IF(($E$65:INDIRECT("E"&amp;$C$61)=$AE$10)*($D$65:INDIRECT("D"&amp;$C$61)=$AE$11),M$65:INDIRECT(AE$13&amp;$C$61)),$AH37)))</f>
        <v>#NUM!</v>
      </c>
      <c r="AF37" t="e">
        <f ca="1">INDEX(N$65:INDIRECT("N"&amp;$C$61),$T37)</f>
        <v>#NUM!</v>
      </c>
      <c r="AG37" t="e">
        <f ca="1">INDEX(O$65:INDIRECT("O"&amp;$C$61),$T37)</f>
        <v>#NUM!</v>
      </c>
      <c r="AH37" s="69">
        <v>2</v>
      </c>
      <c r="AI37" s="69" t="str">
        <f>AI36</f>
        <v>M</v>
      </c>
      <c r="AJ37" s="69" t="str">
        <f>AJ36</f>
        <v>T</v>
      </c>
    </row>
    <row r="38" spans="1:52" x14ac:dyDescent="0.25">
      <c r="A38" s="73" t="s">
        <v>71</v>
      </c>
      <c r="B38" s="69" t="s">
        <v>34</v>
      </c>
      <c r="C38" s="73" t="e">
        <f ca="1">AC3</f>
        <v>#NUM!</v>
      </c>
      <c r="D38" s="69" t="e">
        <f ca="1">INDEX(D$65:INDIRECT("D"&amp;$C$61),$C38)</f>
        <v>#NUM!</v>
      </c>
      <c r="E38" s="69" t="e">
        <f ca="1">INDEX(INDIRECT(("'MemberID'!$C$6:C"&amp;MemberID!$C$1)),MATCH(D38,INDIRECT(("'MemberID'!$G$6:G"&amp;MemberID!$C$1)),0))</f>
        <v>#NUM!</v>
      </c>
      <c r="F38" s="69" t="e">
        <f ca="1">INDEX(E$65:INDIRECT("E"&amp;$C$61),$C38)</f>
        <v>#NUM!</v>
      </c>
      <c r="G38" t="e">
        <f ca="1">INDEX(F$65:INDIRECT("F"&amp;$C$61),$C38)</f>
        <v>#NUM!</v>
      </c>
      <c r="H38" t="e">
        <f ca="1">INDEX(G$65:INDIRECT("G"&amp;$C$61),$C38)</f>
        <v>#NUM!</v>
      </c>
      <c r="I38" t="e">
        <f ca="1">INDEX(H$65:INDIRECT("H"&amp;$C$61),$C38)</f>
        <v>#NUM!</v>
      </c>
      <c r="J38" t="e">
        <f ca="1">INDEX(I$65:INDIRECT("I"&amp;$C$61),$C38)</f>
        <v>#NUM!</v>
      </c>
      <c r="K38" s="7" t="e">
        <f ca="1">INDEX(J$65:INDIRECT("J"&amp;$C$61),$C38)</f>
        <v>#NUM!</v>
      </c>
      <c r="L38" t="e">
        <f ca="1">INDEX(K$65:INDIRECT("K"&amp;$C$61),$C38)</f>
        <v>#NUM!</v>
      </c>
      <c r="M38" t="e">
        <f ca="1">INDEX(L$65:INDIRECT("L"&amp;$C$61),$C38)</f>
        <v>#NUM!</v>
      </c>
      <c r="N38" s="23" t="e">
        <f ca="1">INDEX(M$65:INDIRECT("M"&amp;$C$61),$C38)</f>
        <v>#NUM!</v>
      </c>
      <c r="O38" t="e">
        <f ca="1">INDEX(N$65:INDIRECT("N"&amp;$C$61),$C38)</f>
        <v>#NUM!</v>
      </c>
      <c r="P38" t="e">
        <f ca="1">INDEX(O$65:INDIRECT("O"&amp;$C$61),$C38)</f>
        <v>#NUM!</v>
      </c>
      <c r="Q38" s="104"/>
      <c r="R38" s="73" t="s">
        <v>71</v>
      </c>
      <c r="S38" s="69" t="s">
        <v>34</v>
      </c>
      <c r="T38" s="73" t="e">
        <f t="array" aca="1" ref="T38" ca="1">MATCH(IF(ISBLANK($AE$11),LARGE(IF($E$65:INDIRECT("E"&amp;$C$61)=$AE$10,INDIRECT(AJ38&amp;65):INDIRECT(AJ38&amp;$C$61)),$AH38),IF(ISBLANK($AE$10),LARGE(IF($D$65:INDIRECT("D"&amp;$C$61)=$AE$11,INDIRECT(AJ38&amp;65):INDIRECT(AJ38&amp;$C$61)),$AH38),LARGE(IF(($E$65:INDIRECT("E"&amp;$C$61)=$AE$10)*($D$65:INDIRECT("D"&amp;$C$61)=$AE$11),INDIRECT(AJ38&amp;65):INDIRECT(AJ38&amp;$C$61)),$AH38))),INDIRECT(AJ38&amp;65):INDIRECT(AJ38&amp;$C$61),0)</f>
        <v>#NUM!</v>
      </c>
      <c r="U38" s="69" t="e">
        <f ca="1">INDEX(D$65:INDIRECT("D"&amp;$C$61),$T38)</f>
        <v>#NUM!</v>
      </c>
      <c r="V38" s="69" t="e">
        <f ca="1">INDEX(INDIRECT(("'MemberID'!$C$6:C"&amp;MemberID!$C$1)),MATCH(U38,INDIRECT(("'MemberID'!$G$6:G"&amp;MemberID!$C$1)),0))</f>
        <v>#NUM!</v>
      </c>
      <c r="W38" s="69" t="e">
        <f ca="1">INDEX(E$65:INDIRECT("E"&amp;$C$61),$T38)</f>
        <v>#NUM!</v>
      </c>
      <c r="X38" t="e">
        <f ca="1">INDEX(F$65:INDIRECT("F"&amp;$C$61),$T38)</f>
        <v>#NUM!</v>
      </c>
      <c r="Y38" t="e">
        <f ca="1">INDEX(G$65:INDIRECT("G"&amp;$C$61),$T38)</f>
        <v>#NUM!</v>
      </c>
      <c r="Z38" t="e">
        <f ca="1">INDEX(H$65:INDIRECT("H"&amp;$C$61),$T38)</f>
        <v>#NUM!</v>
      </c>
      <c r="AA38" t="e">
        <f ca="1">INDEX(I$65:INDIRECT("I"&amp;$C$61),$T38)</f>
        <v>#NUM!</v>
      </c>
      <c r="AB38" t="e">
        <f ca="1">INDEX(J$65:INDIRECT("J"&amp;$C$61),$T38)</f>
        <v>#NUM!</v>
      </c>
      <c r="AC38" t="e">
        <f ca="1">INDEX(K$65:INDIRECT("K"&amp;$C$61),$T38)</f>
        <v>#NUM!</v>
      </c>
      <c r="AD38" t="e">
        <f ca="1">INDEX(L$65:INDIRECT("L"&amp;$C$61),$T38)</f>
        <v>#NUM!</v>
      </c>
      <c r="AE38" s="23" t="e">
        <f t="array" aca="1" ref="AE38" ca="1">IF(ISBLANK($AE$11),LARGE(IF($E$65:INDIRECT("E"&amp;$C$61)=$AE$10,M$65:INDIRECT(AE$13&amp;$C$61)),$AH38),IF(ISBLANK($AE$10),LARGE(IF($D$65:INDIRECT("D"&amp;$C$61)=$AE$11,M$65:INDIRECT(AE$13&amp;$C$61)),$AH38),LARGE(IF(($E$65:INDIRECT("E"&amp;$C$61)=$AE$10)*($D$65:INDIRECT("D"&amp;$C$61)=$AE$11),M$65:INDIRECT(AE$13&amp;$C$61)),$AH38)))</f>
        <v>#NUM!</v>
      </c>
      <c r="AF38" t="e">
        <f ca="1">INDEX(N$65:INDIRECT("N"&amp;$C$61),$T38)</f>
        <v>#NUM!</v>
      </c>
      <c r="AG38" t="e">
        <f ca="1">INDEX(O$65:INDIRECT("O"&amp;$C$61),$T38)</f>
        <v>#NUM!</v>
      </c>
      <c r="AH38" s="69">
        <v>3</v>
      </c>
      <c r="AI38" s="69" t="str">
        <f t="shared" ref="AI38:AJ41" si="3">AI37</f>
        <v>M</v>
      </c>
      <c r="AJ38" s="69" t="str">
        <f t="shared" si="3"/>
        <v>T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74" t="s">
        <v>72</v>
      </c>
      <c r="B39" s="69" t="s">
        <v>34</v>
      </c>
      <c r="C39" s="74" t="e">
        <f ca="1">M6</f>
        <v>#N/A</v>
      </c>
      <c r="D39" s="69" t="e">
        <f ca="1">INDEX(D$65:INDIRECT("D"&amp;$C$61),$C39)</f>
        <v>#N/A</v>
      </c>
      <c r="E39" s="69" t="e">
        <f ca="1">INDEX(INDIRECT(("'MemberID'!$C$6:C"&amp;MemberID!$C$1)),MATCH(D39,INDIRECT(("'MemberID'!$G$6:G"&amp;MemberID!$C$1)),0))</f>
        <v>#N/A</v>
      </c>
      <c r="F39" s="69" t="e">
        <f ca="1">INDEX(E$65:INDIRECT("E"&amp;$C$61),$C39)</f>
        <v>#N/A</v>
      </c>
      <c r="G39" t="e">
        <f ca="1">INDEX(F$65:INDIRECT("F"&amp;$C$61),$C39)</f>
        <v>#N/A</v>
      </c>
      <c r="H39" t="e">
        <f ca="1">INDEX(G$65:INDIRECT("G"&amp;$C$61),$C39)</f>
        <v>#N/A</v>
      </c>
      <c r="I39" t="e">
        <f ca="1">INDEX(H$65:INDIRECT("H"&amp;$C$61),$C39)</f>
        <v>#N/A</v>
      </c>
      <c r="J39" t="e">
        <f ca="1">INDEX(I$65:INDIRECT("I"&amp;$C$61),$C39)</f>
        <v>#N/A</v>
      </c>
      <c r="K39" s="7" t="e">
        <f ca="1">INDEX(J$65:INDIRECT("J"&amp;$C$61),$C39)</f>
        <v>#N/A</v>
      </c>
      <c r="L39" t="e">
        <f ca="1">INDEX(K$65:INDIRECT("K"&amp;$C$61),$C39)</f>
        <v>#N/A</v>
      </c>
      <c r="M39" t="e">
        <f ca="1">INDEX(L$65:INDIRECT("L"&amp;$C$61),$C39)</f>
        <v>#N/A</v>
      </c>
      <c r="N39" s="23" t="e">
        <f ca="1">INDEX(M$65:INDIRECT("M"&amp;$C$61),$C39)</f>
        <v>#N/A</v>
      </c>
      <c r="O39" t="e">
        <f ca="1">INDEX(N$65:INDIRECT("N"&amp;$C$61),$C39)</f>
        <v>#N/A</v>
      </c>
      <c r="P39" t="e">
        <f ca="1">INDEX(O$65:INDIRECT("O"&amp;$C$61),$C39)</f>
        <v>#N/A</v>
      </c>
      <c r="Q39" s="104"/>
      <c r="R39" s="74" t="s">
        <v>72</v>
      </c>
      <c r="S39" s="69" t="s">
        <v>34</v>
      </c>
      <c r="T39" s="74" t="e">
        <f t="array" aca="1" ref="T39" ca="1">MATCH(IF(ISBLANK($AE$11),SMALL(IF($E$65:INDIRECT("E"&amp;$C$61)=$AE$10,INDIRECT(AJ39&amp;65):INDIRECT(AJ39&amp;$C$61)),$AH39),IF(ISBLANK($AE$10),SMALL(IF($D$65:INDIRECT("D"&amp;$C$61)=$AE$11,INDIRECT(AJ39&amp;65):INDIRECT(AJ39&amp;$C$61)),$AH39),SMALL(IF(($E$65:INDIRECT("E"&amp;$C$61)=$AE$10)*($D$65:INDIRECT("D"&amp;$C$61)=$AE$11),INDIRECT(AJ39&amp;65):INDIRECT(AJ39&amp;$C$61)),$AH39))),INDIRECT(AJ39&amp;65):INDIRECT(AJ39&amp;$C$61),0)</f>
        <v>#NUM!</v>
      </c>
      <c r="U39" s="69" t="e">
        <f ca="1">INDEX(D$65:INDIRECT("D"&amp;$C$61),$T39)</f>
        <v>#NUM!</v>
      </c>
      <c r="V39" s="69" t="e">
        <f ca="1">INDEX(INDIRECT(("'MemberID'!$C$6:C"&amp;MemberID!$C$1)),MATCH(U39,INDIRECT(("'MemberID'!$G$6:G"&amp;MemberID!$C$1)),0))</f>
        <v>#NUM!</v>
      </c>
      <c r="W39" s="69" t="e">
        <f ca="1">INDEX(E$65:INDIRECT("E"&amp;$C$61),$T39)</f>
        <v>#NUM!</v>
      </c>
      <c r="X39" t="e">
        <f ca="1">INDEX(F$65:INDIRECT("F"&amp;$C$61),$T39)</f>
        <v>#NUM!</v>
      </c>
      <c r="Y39" t="e">
        <f ca="1">INDEX(G$65:INDIRECT("G"&amp;$C$61),$T39)</f>
        <v>#NUM!</v>
      </c>
      <c r="Z39" t="e">
        <f ca="1">INDEX(H$65:INDIRECT("H"&amp;$C$61),$T39)</f>
        <v>#NUM!</v>
      </c>
      <c r="AA39" t="e">
        <f ca="1">INDEX(I$65:INDIRECT("I"&amp;$C$61),$T39)</f>
        <v>#NUM!</v>
      </c>
      <c r="AB39" t="e">
        <f ca="1">INDEX(J$65:INDIRECT("J"&amp;$C$61),$T39)</f>
        <v>#NUM!</v>
      </c>
      <c r="AC39" t="e">
        <f ca="1">INDEX(K$65:INDIRECT("K"&amp;$C$61),$T39)</f>
        <v>#NUM!</v>
      </c>
      <c r="AD39" t="e">
        <f ca="1">INDEX(L$65:INDIRECT("L"&amp;$C$61),$T39)</f>
        <v>#NUM!</v>
      </c>
      <c r="AE39" s="23" t="e">
        <f t="array" aca="1" ref="AE39" ca="1">IF(ISBLANK($AE$11),SMALL(IF($E$65:INDIRECT("E"&amp;$C$61)=$AE$10,M$65:INDIRECT(AE$13&amp;$C$61)),$AH39),IF(ISBLANK($AE$10),SMALL(IF($D$65:INDIRECT("D"&amp;$C$61)=$AE$11,M$65:INDIRECT(AE$13&amp;$C$61)),$AH39),SMALL(IF(($E$65:INDIRECT("E"&amp;$C$61)=$AE$10)*($D$65:INDIRECT("D"&amp;$C$61)=$AE$11),M$65:INDIRECT(AE$13&amp;$C$61)),$AH39)))</f>
        <v>#NUM!</v>
      </c>
      <c r="AF39" t="e">
        <f ca="1">INDEX(N$65:INDIRECT("N"&amp;$C$61),$T39)</f>
        <v>#NUM!</v>
      </c>
      <c r="AG39" t="e">
        <f ca="1">INDEX(O$65:INDIRECT("O"&amp;$C$61),$T39)</f>
        <v>#NUM!</v>
      </c>
      <c r="AH39" s="69">
        <v>1</v>
      </c>
      <c r="AI39" s="69" t="str">
        <f t="shared" si="3"/>
        <v>M</v>
      </c>
      <c r="AJ39" s="69" t="str">
        <f t="shared" si="3"/>
        <v>T</v>
      </c>
    </row>
    <row r="40" spans="1:52" x14ac:dyDescent="0.25">
      <c r="A40" s="74" t="s">
        <v>73</v>
      </c>
      <c r="B40" s="69" t="s">
        <v>34</v>
      </c>
      <c r="C40" s="74" t="e">
        <f ca="1">U6</f>
        <v>#NUM!</v>
      </c>
      <c r="D40" s="69" t="e">
        <f ca="1">INDEX(D$65:INDIRECT("D"&amp;$C$61),$C40)</f>
        <v>#NUM!</v>
      </c>
      <c r="E40" s="69" t="e">
        <f ca="1">INDEX(INDIRECT(("'MemberID'!$C$6:C"&amp;MemberID!$C$1)),MATCH(D40,INDIRECT(("'MemberID'!$G$6:G"&amp;MemberID!$C$1)),0))</f>
        <v>#NUM!</v>
      </c>
      <c r="F40" s="69" t="e">
        <f ca="1">INDEX(E$65:INDIRECT("E"&amp;$C$61),$C40)</f>
        <v>#NUM!</v>
      </c>
      <c r="G40" t="e">
        <f ca="1">INDEX(F$65:INDIRECT("F"&amp;$C$61),$C40)</f>
        <v>#NUM!</v>
      </c>
      <c r="H40" t="e">
        <f ca="1">INDEX(G$65:INDIRECT("G"&amp;$C$61),$C40)</f>
        <v>#NUM!</v>
      </c>
      <c r="I40" t="e">
        <f ca="1">INDEX(H$65:INDIRECT("H"&amp;$C$61),$C40)</f>
        <v>#NUM!</v>
      </c>
      <c r="J40" t="e">
        <f ca="1">INDEX(I$65:INDIRECT("I"&amp;$C$61),$C40)</f>
        <v>#NUM!</v>
      </c>
      <c r="K40" s="7" t="e">
        <f ca="1">INDEX(J$65:INDIRECT("J"&amp;$C$61),$C40)</f>
        <v>#NUM!</v>
      </c>
      <c r="L40" t="e">
        <f ca="1">INDEX(K$65:INDIRECT("K"&amp;$C$61),$C40)</f>
        <v>#NUM!</v>
      </c>
      <c r="M40" t="e">
        <f ca="1">INDEX(L$65:INDIRECT("L"&amp;$C$61),$C40)</f>
        <v>#NUM!</v>
      </c>
      <c r="N40" s="23" t="e">
        <f ca="1">INDEX(M$65:INDIRECT("M"&amp;$C$61),$C40)</f>
        <v>#NUM!</v>
      </c>
      <c r="O40" t="e">
        <f ca="1">INDEX(N$65:INDIRECT("N"&amp;$C$61),$C40)</f>
        <v>#NUM!</v>
      </c>
      <c r="P40" t="e">
        <f ca="1">INDEX(O$65:INDIRECT("O"&amp;$C$61),$C40)</f>
        <v>#NUM!</v>
      </c>
      <c r="Q40" s="104"/>
      <c r="R40" s="74" t="s">
        <v>73</v>
      </c>
      <c r="S40" s="69" t="s">
        <v>34</v>
      </c>
      <c r="T40" s="74" t="e">
        <f t="array" aca="1" ref="T40" ca="1">MATCH(IF(ISBLANK($AE$11),SMALL(IF($E$65:INDIRECT("E"&amp;$C$61)=$AE$10,INDIRECT(AJ40&amp;65):INDIRECT(AJ40&amp;$C$61)),$AH40),IF(ISBLANK($AE$10),SMALL(IF($D$65:INDIRECT("D"&amp;$C$61)=$AE$11,INDIRECT(AJ40&amp;65):INDIRECT(AJ40&amp;$C$61)),$AH40),SMALL(IF(($E$65:INDIRECT("E"&amp;$C$61)=$AE$10)*($D$65:INDIRECT("D"&amp;$C$61)=$AE$11),INDIRECT(AJ40&amp;65):INDIRECT(AJ40&amp;$C$61)),$AH40))),INDIRECT(AJ40&amp;65):INDIRECT(AJ40&amp;$C$61),0)</f>
        <v>#NUM!</v>
      </c>
      <c r="U40" s="69" t="e">
        <f ca="1">INDEX(D$65:INDIRECT("D"&amp;$C$61),$T40)</f>
        <v>#NUM!</v>
      </c>
      <c r="V40" s="69" t="e">
        <f ca="1">INDEX(INDIRECT(("'MemberID'!$C$6:C"&amp;MemberID!$C$1)),MATCH(U40,INDIRECT(("'MemberID'!$G$6:G"&amp;MemberID!$C$1)),0))</f>
        <v>#NUM!</v>
      </c>
      <c r="W40" s="69" t="e">
        <f ca="1">INDEX(E$65:INDIRECT("E"&amp;$C$61),$T40)</f>
        <v>#NUM!</v>
      </c>
      <c r="X40" t="e">
        <f ca="1">INDEX(F$65:INDIRECT("F"&amp;$C$61),$T40)</f>
        <v>#NUM!</v>
      </c>
      <c r="Y40" t="e">
        <f ca="1">INDEX(G$65:INDIRECT("G"&amp;$C$61),$T40)</f>
        <v>#NUM!</v>
      </c>
      <c r="Z40" t="e">
        <f ca="1">INDEX(H$65:INDIRECT("H"&amp;$C$61),$T40)</f>
        <v>#NUM!</v>
      </c>
      <c r="AA40" t="e">
        <f ca="1">INDEX(I$65:INDIRECT("I"&amp;$C$61),$T40)</f>
        <v>#NUM!</v>
      </c>
      <c r="AB40" t="e">
        <f ca="1">INDEX(J$65:INDIRECT("J"&amp;$C$61),$T40)</f>
        <v>#NUM!</v>
      </c>
      <c r="AC40" t="e">
        <f ca="1">INDEX(K$65:INDIRECT("K"&amp;$C$61),$T40)</f>
        <v>#NUM!</v>
      </c>
      <c r="AD40" t="e">
        <f ca="1">INDEX(L$65:INDIRECT("L"&amp;$C$61),$T40)</f>
        <v>#NUM!</v>
      </c>
      <c r="AE40" s="23" t="e">
        <f t="array" aca="1" ref="AE40" ca="1">IF(ISBLANK($AE$11),SMALL(IF($E$65:INDIRECT("E"&amp;$C$61)=$AE$10,M$65:INDIRECT(AE$13&amp;$C$61)),$AH40),IF(ISBLANK($AE$10),SMALL(IF($D$65:INDIRECT("D"&amp;$C$61)=$AE$11,M$65:INDIRECT(AE$13&amp;$C$61)),$AH40),SMALL(IF(($E$65:INDIRECT("E"&amp;$C$61)=$AE$10)*($D$65:INDIRECT("D"&amp;$C$61)=$AE$11),M$65:INDIRECT(AE$13&amp;$C$61)),$AH40)))</f>
        <v>#NUM!</v>
      </c>
      <c r="AF40" t="e">
        <f ca="1">INDEX(N$65:INDIRECT("N"&amp;$C$61),$T40)</f>
        <v>#NUM!</v>
      </c>
      <c r="AG40" t="e">
        <f ca="1">INDEX(O$65:INDIRECT("O"&amp;$C$61),$T40)</f>
        <v>#NUM!</v>
      </c>
      <c r="AH40" s="69">
        <v>2</v>
      </c>
      <c r="AI40" s="69" t="str">
        <f t="shared" si="3"/>
        <v>M</v>
      </c>
      <c r="AJ40" s="69" t="str">
        <f t="shared" si="3"/>
        <v>T</v>
      </c>
      <c r="AL40" s="89"/>
    </row>
    <row r="41" spans="1:52" x14ac:dyDescent="0.25">
      <c r="A41" s="74" t="s">
        <v>74</v>
      </c>
      <c r="B41" s="69" t="s">
        <v>34</v>
      </c>
      <c r="C41" s="74" t="e">
        <f ca="1">AC6</f>
        <v>#NUM!</v>
      </c>
      <c r="D41" s="69" t="e">
        <f ca="1">INDEX(D$65:INDIRECT("D"&amp;$C$61),$C41)</f>
        <v>#NUM!</v>
      </c>
      <c r="E41" s="69" t="e">
        <f ca="1">INDEX(INDIRECT(("'MemberID'!$C$6:C"&amp;MemberID!$C$1)),MATCH(D41,INDIRECT(("'MemberID'!$G$6:G"&amp;MemberID!$C$1)),0))</f>
        <v>#NUM!</v>
      </c>
      <c r="F41" s="69" t="e">
        <f ca="1">INDEX(E$65:INDIRECT("E"&amp;$C$61),$C41)</f>
        <v>#NUM!</v>
      </c>
      <c r="G41" t="e">
        <f ca="1">INDEX(F$65:INDIRECT("F"&amp;$C$61),$C41)</f>
        <v>#NUM!</v>
      </c>
      <c r="H41" t="e">
        <f ca="1">INDEX(G$65:INDIRECT("G"&amp;$C$61),$C41)</f>
        <v>#NUM!</v>
      </c>
      <c r="I41" t="e">
        <f ca="1">INDEX(H$65:INDIRECT("H"&amp;$C$61),$C41)</f>
        <v>#NUM!</v>
      </c>
      <c r="J41" t="e">
        <f ca="1">INDEX(I$65:INDIRECT("I"&amp;$C$61),$C41)</f>
        <v>#NUM!</v>
      </c>
      <c r="K41" s="7" t="e">
        <f ca="1">INDEX(J$65:INDIRECT("J"&amp;$C$61),$C41)</f>
        <v>#NUM!</v>
      </c>
      <c r="L41" t="e">
        <f ca="1">INDEX(K$65:INDIRECT("K"&amp;$C$61),$C41)</f>
        <v>#NUM!</v>
      </c>
      <c r="M41" t="e">
        <f ca="1">INDEX(L$65:INDIRECT("L"&amp;$C$61),$C41)</f>
        <v>#NUM!</v>
      </c>
      <c r="N41" s="23" t="e">
        <f ca="1">INDEX(M$65:INDIRECT("M"&amp;$C$61),$C41)</f>
        <v>#NUM!</v>
      </c>
      <c r="O41" t="e">
        <f ca="1">INDEX(N$65:INDIRECT("N"&amp;$C$61),$C41)</f>
        <v>#NUM!</v>
      </c>
      <c r="P41" t="e">
        <f ca="1">INDEX(O$65:INDIRECT("O"&amp;$C$61),$C41)</f>
        <v>#NUM!</v>
      </c>
      <c r="Q41" s="104"/>
      <c r="R41" s="74" t="s">
        <v>74</v>
      </c>
      <c r="S41" s="69" t="s">
        <v>34</v>
      </c>
      <c r="T41" s="74" t="e">
        <f t="array" aca="1" ref="T41" ca="1">MATCH(IF(ISBLANK($AE$11),SMALL(IF($E$65:INDIRECT("E"&amp;$C$61)=$AE$10,INDIRECT(AJ41&amp;65):INDIRECT(AJ41&amp;$C$61)),$AH41),IF(ISBLANK($AE$10),SMALL(IF($D$65:INDIRECT("D"&amp;$C$61)=$AE$11,INDIRECT(AJ41&amp;65):INDIRECT(AJ41&amp;$C$61)),$AH41),SMALL(IF(($E$65:INDIRECT("E"&amp;$C$61)=$AE$10)*($D$65:INDIRECT("D"&amp;$C$61)=$AE$11),INDIRECT(AJ41&amp;65):INDIRECT(AJ41&amp;$C$61)),$AH41))),INDIRECT(AJ41&amp;65):INDIRECT(AJ41&amp;$C$61),0)</f>
        <v>#NUM!</v>
      </c>
      <c r="U41" s="69" t="e">
        <f ca="1">INDEX(D$65:INDIRECT("D"&amp;$C$61),$T41)</f>
        <v>#NUM!</v>
      </c>
      <c r="V41" s="69" t="e">
        <f ca="1">INDEX(INDIRECT(("'MemberID'!$C$6:C"&amp;MemberID!$C$1)),MATCH(U41,INDIRECT(("'MemberID'!$G$6:G"&amp;MemberID!$C$1)),0))</f>
        <v>#NUM!</v>
      </c>
      <c r="W41" s="69" t="e">
        <f ca="1">INDEX(E$65:INDIRECT("E"&amp;$C$61),$T41)</f>
        <v>#NUM!</v>
      </c>
      <c r="X41" t="e">
        <f ca="1">INDEX(F$65:INDIRECT("F"&amp;$C$61),$T41)</f>
        <v>#NUM!</v>
      </c>
      <c r="Y41" t="e">
        <f ca="1">INDEX(G$65:INDIRECT("G"&amp;$C$61),$T41)</f>
        <v>#NUM!</v>
      </c>
      <c r="Z41" t="e">
        <f ca="1">INDEX(H$65:INDIRECT("H"&amp;$C$61),$T41)</f>
        <v>#NUM!</v>
      </c>
      <c r="AA41" t="e">
        <f ca="1">INDEX(I$65:INDIRECT("I"&amp;$C$61),$T41)</f>
        <v>#NUM!</v>
      </c>
      <c r="AB41" t="e">
        <f ca="1">INDEX(J$65:INDIRECT("J"&amp;$C$61),$T41)</f>
        <v>#NUM!</v>
      </c>
      <c r="AC41" t="e">
        <f ca="1">INDEX(K$65:INDIRECT("K"&amp;$C$61),$T41)</f>
        <v>#NUM!</v>
      </c>
      <c r="AD41" t="e">
        <f ca="1">INDEX(L$65:INDIRECT("L"&amp;$C$61),$T41)</f>
        <v>#NUM!</v>
      </c>
      <c r="AE41" s="23" t="e">
        <f t="array" aca="1" ref="AE41" ca="1">IF(ISBLANK($AE$11),SMALL(IF($E$65:INDIRECT("E"&amp;$C$61)=$AE$10,M$65:INDIRECT(AE$13&amp;$C$61)),$AH41),IF(ISBLANK($AE$10),SMALL(IF($D$65:INDIRECT("D"&amp;$C$61)=$AE$11,M$65:INDIRECT(AE$13&amp;$C$61)),$AH41),SMALL(IF(($E$65:INDIRECT("E"&amp;$C$61)=$AE$10)*($D$65:INDIRECT("D"&amp;$C$61)=$AE$11),M$65:INDIRECT(AE$13&amp;$C$61)),$AH41)))</f>
        <v>#NUM!</v>
      </c>
      <c r="AF41" t="e">
        <f ca="1">INDEX(N$65:INDIRECT("N"&amp;$C$61),$T41)</f>
        <v>#NUM!</v>
      </c>
      <c r="AG41" t="e">
        <f ca="1">INDEX(O$65:INDIRECT("O"&amp;$C$61),$T41)</f>
        <v>#NUM!</v>
      </c>
      <c r="AH41" s="69">
        <v>3</v>
      </c>
      <c r="AI41" s="69" t="str">
        <f t="shared" si="3"/>
        <v>M</v>
      </c>
      <c r="AJ41" s="69" t="str">
        <f t="shared" si="3"/>
        <v>T</v>
      </c>
    </row>
    <row r="42" spans="1:52" x14ac:dyDescent="0.25">
      <c r="A42" s="5"/>
      <c r="B42" s="69"/>
      <c r="C42" s="69"/>
      <c r="D42" s="69"/>
      <c r="E42" s="69"/>
      <c r="F42" s="69"/>
      <c r="K42" s="7"/>
      <c r="Q42" s="104"/>
      <c r="R42" s="5"/>
      <c r="S42" s="69"/>
      <c r="T42" s="69"/>
      <c r="V42" s="69"/>
      <c r="W42" s="69"/>
      <c r="AH42" s="69"/>
      <c r="AI42" s="69"/>
      <c r="AJ42" s="69"/>
    </row>
    <row r="43" spans="1:52" x14ac:dyDescent="0.25">
      <c r="A43" s="73" t="s">
        <v>69</v>
      </c>
      <c r="B43" s="69" t="s">
        <v>35</v>
      </c>
      <c r="C43" s="73" t="e">
        <f ca="1">N3</f>
        <v>#N/A</v>
      </c>
      <c r="D43" s="69" t="e">
        <f ca="1">INDEX(D$65:INDIRECT("D"&amp;$C$61),$C43)</f>
        <v>#N/A</v>
      </c>
      <c r="E43" s="69" t="e">
        <f ca="1">INDEX(INDIRECT(("'MemberID'!$C$6:C"&amp;MemberID!$C$1)),MATCH(D43,INDIRECT(("'MemberID'!$G$6:G"&amp;MemberID!$C$1)),0))</f>
        <v>#N/A</v>
      </c>
      <c r="F43" s="69" t="e">
        <f ca="1">INDEX(E$65:INDIRECT("E"&amp;$C$61),$C43)</f>
        <v>#N/A</v>
      </c>
      <c r="G43" t="e">
        <f ca="1">INDEX(F$65:INDIRECT("F"&amp;$C$61),$C43)</f>
        <v>#N/A</v>
      </c>
      <c r="H43" t="e">
        <f ca="1">INDEX(G$65:INDIRECT("G"&amp;$C$61),$C43)</f>
        <v>#N/A</v>
      </c>
      <c r="I43" t="e">
        <f ca="1">INDEX(H$65:INDIRECT("H"&amp;$C$61),$C43)</f>
        <v>#N/A</v>
      </c>
      <c r="J43" t="e">
        <f ca="1">INDEX(I$65:INDIRECT("I"&amp;$C$61),$C43)</f>
        <v>#N/A</v>
      </c>
      <c r="K43" s="7" t="e">
        <f ca="1">INDEX(J$65:INDIRECT("J"&amp;$C$61),$C43)</f>
        <v>#N/A</v>
      </c>
      <c r="L43" t="e">
        <f ca="1">INDEX(K$65:INDIRECT("K"&amp;$C$61),$C43)</f>
        <v>#N/A</v>
      </c>
      <c r="M43" t="e">
        <f ca="1">INDEX(L$65:INDIRECT("L"&amp;$C$61),$C43)</f>
        <v>#N/A</v>
      </c>
      <c r="N43" t="e">
        <f ca="1">INDEX(M$65:INDIRECT("M"&amp;$C$61),$C43)</f>
        <v>#N/A</v>
      </c>
      <c r="O43" s="23" t="e">
        <f ca="1">INDEX(N$65:INDIRECT("N"&amp;$C$61),$C43)</f>
        <v>#N/A</v>
      </c>
      <c r="P43" t="e">
        <f ca="1">INDEX(O$65:INDIRECT("O"&amp;$C$61),$C43)</f>
        <v>#N/A</v>
      </c>
      <c r="Q43" s="104"/>
      <c r="R43" s="73" t="s">
        <v>69</v>
      </c>
      <c r="S43" s="69" t="s">
        <v>35</v>
      </c>
      <c r="T43" s="73" t="e">
        <f t="array" aca="1" ref="T43" ca="1">MATCH(IF(ISBLANK($AE$11),LARGE(IF($E$65:INDIRECT("E"&amp;$C$61)=$AE$10,INDIRECT(AJ43&amp;65):INDIRECT(AJ43&amp;$C$61)),$AH43),IF(ISBLANK($AE$10),LARGE(IF($D$65:INDIRECT("D"&amp;$C$61)=$AE$11,INDIRECT(AJ43&amp;65):INDIRECT(AJ43&amp;$C$61)),$AH43),LARGE(IF(($E$65:INDIRECT("E"&amp;$C$61)=$AE$10)*($D$65:INDIRECT("D"&amp;$C$61)=$AE$11),INDIRECT(AJ43&amp;65):INDIRECT(AJ43&amp;$C$61)),$AH43))),INDIRECT(AJ43&amp;65):INDIRECT(AJ43&amp;$C$61),0)</f>
        <v>#NUM!</v>
      </c>
      <c r="U43" s="69" t="e">
        <f ca="1">INDEX(D$65:INDIRECT("D"&amp;$C$61),$T43)</f>
        <v>#NUM!</v>
      </c>
      <c r="V43" s="69" t="e">
        <f ca="1">INDEX(INDIRECT(("'MemberID'!$C$6:C"&amp;MemberID!$C$1)),MATCH(U43,INDIRECT(("'MemberID'!$G$6:G"&amp;MemberID!$C$1)),0))</f>
        <v>#NUM!</v>
      </c>
      <c r="W43" s="69" t="e">
        <f ca="1">INDEX(E$65:INDIRECT("E"&amp;$C$61),$T43)</f>
        <v>#NUM!</v>
      </c>
      <c r="X43" t="e">
        <f ca="1">INDEX(F$65:INDIRECT("F"&amp;$C$61),$T43)</f>
        <v>#NUM!</v>
      </c>
      <c r="Y43" t="e">
        <f ca="1">INDEX(G$65:INDIRECT("G"&amp;$C$61),$T43)</f>
        <v>#NUM!</v>
      </c>
      <c r="Z43" t="e">
        <f ca="1">INDEX(H$65:INDIRECT("H"&amp;$C$61),$T43)</f>
        <v>#NUM!</v>
      </c>
      <c r="AA43" t="e">
        <f ca="1">INDEX(I$65:INDIRECT("I"&amp;$C$61),$T43)</f>
        <v>#NUM!</v>
      </c>
      <c r="AB43" t="e">
        <f ca="1">INDEX(J$65:INDIRECT("J"&amp;$C$61),$T43)</f>
        <v>#NUM!</v>
      </c>
      <c r="AC43" t="e">
        <f ca="1">INDEX(K$65:INDIRECT("K"&amp;$C$61),$T43)</f>
        <v>#NUM!</v>
      </c>
      <c r="AD43" t="e">
        <f ca="1">INDEX(L$65:INDIRECT("L"&amp;$C$61),$T43)</f>
        <v>#NUM!</v>
      </c>
      <c r="AE43" t="e">
        <f ca="1">INDEX(M$65:INDIRECT("M"&amp;$C$61),$T43)</f>
        <v>#NUM!</v>
      </c>
      <c r="AF43" s="23" t="e">
        <f t="array" aca="1" ref="AF43" ca="1">IF(ISBLANK($AE$11),LARGE(IF($E$65:INDIRECT("E"&amp;$C$61)=$AE$10,N$65:INDIRECT(AF$13&amp;$C$61)),$AH43),IF(ISBLANK($AE$10),LARGE(IF($D$65:INDIRECT("D"&amp;$C$61)=$AE$11,N$65:INDIRECT(AF$13&amp;$C$61)),$AH43),LARGE(IF(($E$65:INDIRECT("E"&amp;$C$61)=$AE$10)*($D$65:INDIRECT("D"&amp;$C$61)=$AE$11),N$65:INDIRECT(AF$13&amp;$C$61)),$AH43)))</f>
        <v>#NUM!</v>
      </c>
      <c r="AG43" t="e">
        <f ca="1">INDEX(O$65:INDIRECT("O"&amp;$C$61),$T43)</f>
        <v>#NUM!</v>
      </c>
      <c r="AH43" s="69">
        <v>1</v>
      </c>
      <c r="AI43" s="69" t="s">
        <v>154</v>
      </c>
      <c r="AJ43" s="69" t="s">
        <v>196</v>
      </c>
    </row>
    <row r="44" spans="1:52" x14ac:dyDescent="0.25">
      <c r="A44" s="73" t="s">
        <v>70</v>
      </c>
      <c r="B44" s="69" t="s">
        <v>35</v>
      </c>
      <c r="C44" s="73" t="e">
        <f ca="1">V3</f>
        <v>#NUM!</v>
      </c>
      <c r="D44" s="69" t="e">
        <f ca="1">INDEX(D$65:INDIRECT("D"&amp;$C$61),$C44)</f>
        <v>#NUM!</v>
      </c>
      <c r="E44" s="69" t="e">
        <f ca="1">INDEX(INDIRECT(("'MemberID'!$C$6:C"&amp;MemberID!$C$1)),MATCH(D44,INDIRECT(("'MemberID'!$G$6:G"&amp;MemberID!$C$1)),0))</f>
        <v>#NUM!</v>
      </c>
      <c r="F44" s="69" t="e">
        <f ca="1">INDEX(E$65:INDIRECT("E"&amp;$C$61),$C44)</f>
        <v>#NUM!</v>
      </c>
      <c r="G44" t="e">
        <f ca="1">INDEX(F$65:INDIRECT("F"&amp;$C$61),$C44)</f>
        <v>#NUM!</v>
      </c>
      <c r="H44" t="e">
        <f ca="1">INDEX(G$65:INDIRECT("G"&amp;$C$61),$C44)</f>
        <v>#NUM!</v>
      </c>
      <c r="I44" t="e">
        <f ca="1">INDEX(H$65:INDIRECT("H"&amp;$C$61),$C44)</f>
        <v>#NUM!</v>
      </c>
      <c r="J44" t="e">
        <f ca="1">INDEX(I$65:INDIRECT("I"&amp;$C$61),$C44)</f>
        <v>#NUM!</v>
      </c>
      <c r="K44" s="7" t="e">
        <f ca="1">INDEX(J$65:INDIRECT("J"&amp;$C$61),$C44)</f>
        <v>#NUM!</v>
      </c>
      <c r="L44" t="e">
        <f ca="1">INDEX(K$65:INDIRECT("K"&amp;$C$61),$C44)</f>
        <v>#NUM!</v>
      </c>
      <c r="M44" t="e">
        <f ca="1">INDEX(L$65:INDIRECT("L"&amp;$C$61),$C44)</f>
        <v>#NUM!</v>
      </c>
      <c r="N44" t="e">
        <f ca="1">INDEX(M$65:INDIRECT("M"&amp;$C$61),$C44)</f>
        <v>#NUM!</v>
      </c>
      <c r="O44" s="23" t="e">
        <f ca="1">INDEX(N$65:INDIRECT("N"&amp;$C$61),$C44)</f>
        <v>#NUM!</v>
      </c>
      <c r="P44" t="e">
        <f ca="1">INDEX(O$65:INDIRECT("O"&amp;$C$61),$C44)</f>
        <v>#NUM!</v>
      </c>
      <c r="Q44" s="104"/>
      <c r="R44" s="73" t="s">
        <v>70</v>
      </c>
      <c r="S44" s="69" t="s">
        <v>35</v>
      </c>
      <c r="T44" s="73" t="e">
        <f t="array" aca="1" ref="T44" ca="1">MATCH(IF(ISBLANK($AE$11),LARGE(IF($E$65:INDIRECT("E"&amp;$C$61)=$AE$10,INDIRECT(AJ44&amp;65):INDIRECT(AJ44&amp;$C$61)),$AH44),IF(ISBLANK($AE$10),LARGE(IF($D$65:INDIRECT("D"&amp;$C$61)=$AE$11,INDIRECT(AJ44&amp;65):INDIRECT(AJ44&amp;$C$61)),$AH44),LARGE(IF(($E$65:INDIRECT("E"&amp;$C$61)=$AE$10)*($D$65:INDIRECT("D"&amp;$C$61)=$AE$11),INDIRECT(AJ44&amp;65):INDIRECT(AJ44&amp;$C$61)),$AH44))),INDIRECT(AJ44&amp;65):INDIRECT(AJ44&amp;$C$61),0)</f>
        <v>#NUM!</v>
      </c>
      <c r="U44" s="69" t="e">
        <f ca="1">INDEX(D$65:INDIRECT("D"&amp;$C$61),$T44)</f>
        <v>#NUM!</v>
      </c>
      <c r="V44" s="69" t="e">
        <f ca="1">INDEX(INDIRECT(("'MemberID'!$C$6:C"&amp;MemberID!$C$1)),MATCH(U44,INDIRECT(("'MemberID'!$G$6:G"&amp;MemberID!$C$1)),0))</f>
        <v>#NUM!</v>
      </c>
      <c r="W44" s="69" t="e">
        <f ca="1">INDEX(E$65:INDIRECT("E"&amp;$C$61),$T44)</f>
        <v>#NUM!</v>
      </c>
      <c r="X44" t="e">
        <f ca="1">INDEX(F$65:INDIRECT("F"&amp;$C$61),$T44)</f>
        <v>#NUM!</v>
      </c>
      <c r="Y44" t="e">
        <f ca="1">INDEX(G$65:INDIRECT("G"&amp;$C$61),$T44)</f>
        <v>#NUM!</v>
      </c>
      <c r="Z44" t="e">
        <f ca="1">INDEX(H$65:INDIRECT("H"&amp;$C$61),$T44)</f>
        <v>#NUM!</v>
      </c>
      <c r="AA44" t="e">
        <f ca="1">INDEX(I$65:INDIRECT("I"&amp;$C$61),$T44)</f>
        <v>#NUM!</v>
      </c>
      <c r="AB44" t="e">
        <f ca="1">INDEX(J$65:INDIRECT("J"&amp;$C$61),$T44)</f>
        <v>#NUM!</v>
      </c>
      <c r="AC44" t="e">
        <f ca="1">INDEX(K$65:INDIRECT("K"&amp;$C$61),$T44)</f>
        <v>#NUM!</v>
      </c>
      <c r="AD44" t="e">
        <f ca="1">INDEX(L$65:INDIRECT("L"&amp;$C$61),$T44)</f>
        <v>#NUM!</v>
      </c>
      <c r="AE44" t="e">
        <f ca="1">INDEX(M$65:INDIRECT("M"&amp;$C$61),$T44)</f>
        <v>#NUM!</v>
      </c>
      <c r="AF44" s="23" t="e">
        <f t="array" aca="1" ref="AF44" ca="1">IF(ISBLANK($AE$11),LARGE(IF($E$65:INDIRECT("E"&amp;$C$61)=$AE$10,N$65:INDIRECT(AF$13&amp;$C$61)),$AH44),IF(ISBLANK($AE$10),LARGE(IF($D$65:INDIRECT("D"&amp;$C$61)=$AE$11,N$65:INDIRECT(AF$13&amp;$C$61)),$AH44),LARGE(IF(($E$65:INDIRECT("E"&amp;$C$61)=$AE$10)*($D$65:INDIRECT("D"&amp;$C$61)=$AE$11),N$65:INDIRECT(AF$13&amp;$C$61)),$AH44)))</f>
        <v>#NUM!</v>
      </c>
      <c r="AG44" t="e">
        <f ca="1">INDEX(O$65:INDIRECT("O"&amp;$C$61),$T44)</f>
        <v>#NUM!</v>
      </c>
      <c r="AH44" s="69">
        <v>2</v>
      </c>
      <c r="AI44" s="69" t="str">
        <f>AI43</f>
        <v>N</v>
      </c>
      <c r="AJ44" s="69" t="str">
        <f>AJ43</f>
        <v>U</v>
      </c>
    </row>
    <row r="45" spans="1:52" x14ac:dyDescent="0.25">
      <c r="A45" s="73" t="s">
        <v>71</v>
      </c>
      <c r="B45" s="69" t="s">
        <v>35</v>
      </c>
      <c r="C45" s="73" t="e">
        <f ca="1">AD3</f>
        <v>#NUM!</v>
      </c>
      <c r="D45" s="69" t="e">
        <f ca="1">INDEX(D$65:INDIRECT("D"&amp;$C$61),$C45)</f>
        <v>#NUM!</v>
      </c>
      <c r="E45" s="69" t="e">
        <f ca="1">INDEX(INDIRECT(("'MemberID'!$C$6:C"&amp;MemberID!$C$1)),MATCH(D45,INDIRECT(("'MemberID'!$G$6:G"&amp;MemberID!$C$1)),0))</f>
        <v>#NUM!</v>
      </c>
      <c r="F45" s="69" t="e">
        <f ca="1">INDEX(E$65:INDIRECT("E"&amp;$C$61),$C45)</f>
        <v>#NUM!</v>
      </c>
      <c r="G45" t="e">
        <f ca="1">INDEX(F$65:INDIRECT("F"&amp;$C$61),$C45)</f>
        <v>#NUM!</v>
      </c>
      <c r="H45" t="e">
        <f ca="1">INDEX(G$65:INDIRECT("G"&amp;$C$61),$C45)</f>
        <v>#NUM!</v>
      </c>
      <c r="I45" t="e">
        <f ca="1">INDEX(H$65:INDIRECT("H"&amp;$C$61),$C45)</f>
        <v>#NUM!</v>
      </c>
      <c r="J45" t="e">
        <f ca="1">INDEX(I$65:INDIRECT("I"&amp;$C$61),$C45)</f>
        <v>#NUM!</v>
      </c>
      <c r="K45" s="7" t="e">
        <f ca="1">INDEX(J$65:INDIRECT("J"&amp;$C$61),$C45)</f>
        <v>#NUM!</v>
      </c>
      <c r="L45" t="e">
        <f ca="1">INDEX(K$65:INDIRECT("K"&amp;$C$61),$C45)</f>
        <v>#NUM!</v>
      </c>
      <c r="M45" t="e">
        <f ca="1">INDEX(L$65:INDIRECT("L"&amp;$C$61),$C45)</f>
        <v>#NUM!</v>
      </c>
      <c r="N45" t="e">
        <f ca="1">INDEX(M$65:INDIRECT("M"&amp;$C$61),$C45)</f>
        <v>#NUM!</v>
      </c>
      <c r="O45" s="23" t="e">
        <f ca="1">INDEX(N$65:INDIRECT("N"&amp;$C$61),$C45)</f>
        <v>#NUM!</v>
      </c>
      <c r="P45" t="e">
        <f ca="1">INDEX(O$65:INDIRECT("O"&amp;$C$61),$C45)</f>
        <v>#NUM!</v>
      </c>
      <c r="Q45" s="104"/>
      <c r="R45" s="73" t="s">
        <v>71</v>
      </c>
      <c r="S45" s="69" t="s">
        <v>35</v>
      </c>
      <c r="T45" s="73" t="e">
        <f t="array" aca="1" ref="T45" ca="1">MATCH(IF(ISBLANK($AE$11),LARGE(IF($E$65:INDIRECT("E"&amp;$C$61)=$AE$10,INDIRECT(AJ45&amp;65):INDIRECT(AJ45&amp;$C$61)),$AH45),IF(ISBLANK($AE$10),LARGE(IF($D$65:INDIRECT("D"&amp;$C$61)=$AE$11,INDIRECT(AJ45&amp;65):INDIRECT(AJ45&amp;$C$61)),$AH45),LARGE(IF(($E$65:INDIRECT("E"&amp;$C$61)=$AE$10)*($D$65:INDIRECT("D"&amp;$C$61)=$AE$11),INDIRECT(AJ45&amp;65):INDIRECT(AJ45&amp;$C$61)),$AH45))),INDIRECT(AJ45&amp;65):INDIRECT(AJ45&amp;$C$61),0)</f>
        <v>#NUM!</v>
      </c>
      <c r="U45" s="69" t="e">
        <f ca="1">INDEX(D$65:INDIRECT("D"&amp;$C$61),$T45)</f>
        <v>#NUM!</v>
      </c>
      <c r="V45" s="69" t="e">
        <f ca="1">INDEX(INDIRECT(("'MemberID'!$C$6:C"&amp;MemberID!$C$1)),MATCH(U45,INDIRECT(("'MemberID'!$G$6:G"&amp;MemberID!$C$1)),0))</f>
        <v>#NUM!</v>
      </c>
      <c r="W45" s="69" t="e">
        <f ca="1">INDEX(E$65:INDIRECT("E"&amp;$C$61),$T45)</f>
        <v>#NUM!</v>
      </c>
      <c r="X45" t="e">
        <f ca="1">INDEX(F$65:INDIRECT("F"&amp;$C$61),$T45)</f>
        <v>#NUM!</v>
      </c>
      <c r="Y45" t="e">
        <f ca="1">INDEX(G$65:INDIRECT("G"&amp;$C$61),$T45)</f>
        <v>#NUM!</v>
      </c>
      <c r="Z45" t="e">
        <f ca="1">INDEX(H$65:INDIRECT("H"&amp;$C$61),$T45)</f>
        <v>#NUM!</v>
      </c>
      <c r="AA45" t="e">
        <f ca="1">INDEX(I$65:INDIRECT("I"&amp;$C$61),$T45)</f>
        <v>#NUM!</v>
      </c>
      <c r="AB45" t="e">
        <f ca="1">INDEX(J$65:INDIRECT("J"&amp;$C$61),$T45)</f>
        <v>#NUM!</v>
      </c>
      <c r="AC45" t="e">
        <f ca="1">INDEX(K$65:INDIRECT("K"&amp;$C$61),$T45)</f>
        <v>#NUM!</v>
      </c>
      <c r="AD45" t="e">
        <f ca="1">INDEX(L$65:INDIRECT("L"&amp;$C$61),$T45)</f>
        <v>#NUM!</v>
      </c>
      <c r="AE45" t="e">
        <f ca="1">INDEX(M$65:INDIRECT("M"&amp;$C$61),$T45)</f>
        <v>#NUM!</v>
      </c>
      <c r="AF45" s="23" t="e">
        <f t="array" aca="1" ref="AF45" ca="1">IF(ISBLANK($AE$11),LARGE(IF($E$65:INDIRECT("E"&amp;$C$61)=$AE$10,N$65:INDIRECT(AF$13&amp;$C$61)),$AH45),IF(ISBLANK($AE$10),LARGE(IF($D$65:INDIRECT("D"&amp;$C$61)=$AE$11,N$65:INDIRECT(AF$13&amp;$C$61)),$AH45),LARGE(IF(($E$65:INDIRECT("E"&amp;$C$61)=$AE$10)*($D$65:INDIRECT("D"&amp;$C$61)=$AE$11),N$65:INDIRECT(AF$13&amp;$C$61)),$AH45)))</f>
        <v>#NUM!</v>
      </c>
      <c r="AG45" t="e">
        <f ca="1">INDEX(O$65:INDIRECT("O"&amp;$C$61),$T45)</f>
        <v>#NUM!</v>
      </c>
      <c r="AH45" s="69">
        <v>3</v>
      </c>
      <c r="AI45" s="69" t="str">
        <f t="shared" ref="AI45:AJ48" si="4">AI44</f>
        <v>N</v>
      </c>
      <c r="AJ45" s="69" t="str">
        <f t="shared" si="4"/>
        <v>U</v>
      </c>
    </row>
    <row r="46" spans="1:52" x14ac:dyDescent="0.25">
      <c r="A46" s="74" t="s">
        <v>72</v>
      </c>
      <c r="B46" s="69" t="s">
        <v>35</v>
      </c>
      <c r="C46" s="74" t="e">
        <f ca="1">N6</f>
        <v>#N/A</v>
      </c>
      <c r="D46" s="69" t="e">
        <f ca="1">INDEX(D$65:INDIRECT("D"&amp;$C$61),$C46)</f>
        <v>#N/A</v>
      </c>
      <c r="E46" s="69" t="e">
        <f ca="1">INDEX(INDIRECT(("'MemberID'!$C$6:C"&amp;MemberID!$C$1)),MATCH(D46,INDIRECT(("'MemberID'!$G$6:G"&amp;MemberID!$C$1)),0))</f>
        <v>#N/A</v>
      </c>
      <c r="F46" s="69" t="e">
        <f ca="1">INDEX(E$65:INDIRECT("E"&amp;$C$61),$C46)</f>
        <v>#N/A</v>
      </c>
      <c r="G46" t="e">
        <f ca="1">INDEX(F$65:INDIRECT("F"&amp;$C$61),$C46)</f>
        <v>#N/A</v>
      </c>
      <c r="H46" t="e">
        <f ca="1">INDEX(G$65:INDIRECT("G"&amp;$C$61),$C46)</f>
        <v>#N/A</v>
      </c>
      <c r="I46" t="e">
        <f ca="1">INDEX(H$65:INDIRECT("H"&amp;$C$61),$C46)</f>
        <v>#N/A</v>
      </c>
      <c r="J46" t="e">
        <f ca="1">INDEX(I$65:INDIRECT("I"&amp;$C$61),$C46)</f>
        <v>#N/A</v>
      </c>
      <c r="K46" s="7" t="e">
        <f ca="1">INDEX(J$65:INDIRECT("J"&amp;$C$61),$C46)</f>
        <v>#N/A</v>
      </c>
      <c r="L46" t="e">
        <f ca="1">INDEX(K$65:INDIRECT("K"&amp;$C$61),$C46)</f>
        <v>#N/A</v>
      </c>
      <c r="M46" t="e">
        <f ca="1">INDEX(L$65:INDIRECT("L"&amp;$C$61),$C46)</f>
        <v>#N/A</v>
      </c>
      <c r="N46" t="e">
        <f ca="1">INDEX(M$65:INDIRECT("M"&amp;$C$61),$C46)</f>
        <v>#N/A</v>
      </c>
      <c r="O46" s="23" t="e">
        <f ca="1">INDEX(N$65:INDIRECT("N"&amp;$C$61),$C46)</f>
        <v>#N/A</v>
      </c>
      <c r="P46" t="e">
        <f ca="1">INDEX(O$65:INDIRECT("O"&amp;$C$61),$C46)</f>
        <v>#N/A</v>
      </c>
      <c r="Q46" s="104"/>
      <c r="R46" s="74" t="s">
        <v>72</v>
      </c>
      <c r="S46" s="69" t="s">
        <v>35</v>
      </c>
      <c r="T46" s="74" t="e">
        <f t="array" aca="1" ref="T46" ca="1">MATCH(IF(ISBLANK($AE$11),SMALL(IF($E$65:INDIRECT("E"&amp;$C$61)=$AE$10,INDIRECT(AJ46&amp;65):INDIRECT(AJ46&amp;$C$61)),$AH46),IF(ISBLANK($AE$10),SMALL(IF($D$65:INDIRECT("D"&amp;$C$61)=$AE$11,INDIRECT(AJ46&amp;65):INDIRECT(AJ46&amp;$C$61)),$AH46),SMALL(IF(($E$65:INDIRECT("E"&amp;$C$61)=$AE$10)*($D$65:INDIRECT("D"&amp;$C$61)=$AE$11),INDIRECT(AJ46&amp;65):INDIRECT(AJ46&amp;$C$61)),$AH46))),INDIRECT(AJ46&amp;65):INDIRECT(AJ46&amp;$C$61),0)</f>
        <v>#NUM!</v>
      </c>
      <c r="U46" s="69" t="e">
        <f ca="1">INDEX(D$65:INDIRECT("D"&amp;$C$61),$T46)</f>
        <v>#NUM!</v>
      </c>
      <c r="V46" s="69" t="e">
        <f ca="1">INDEX(INDIRECT(("'MemberID'!$C$6:C"&amp;MemberID!$C$1)),MATCH(U46,INDIRECT(("'MemberID'!$G$6:G"&amp;MemberID!$C$1)),0))</f>
        <v>#NUM!</v>
      </c>
      <c r="W46" s="69" t="e">
        <f ca="1">INDEX(E$65:INDIRECT("E"&amp;$C$61),$T46)</f>
        <v>#NUM!</v>
      </c>
      <c r="X46" t="e">
        <f ca="1">INDEX(F$65:INDIRECT("F"&amp;$C$61),$T46)</f>
        <v>#NUM!</v>
      </c>
      <c r="Y46" t="e">
        <f ca="1">INDEX(G$65:INDIRECT("G"&amp;$C$61),$T46)</f>
        <v>#NUM!</v>
      </c>
      <c r="Z46" t="e">
        <f ca="1">INDEX(H$65:INDIRECT("H"&amp;$C$61),$T46)</f>
        <v>#NUM!</v>
      </c>
      <c r="AA46" t="e">
        <f ca="1">INDEX(I$65:INDIRECT("I"&amp;$C$61),$T46)</f>
        <v>#NUM!</v>
      </c>
      <c r="AB46" t="e">
        <f ca="1">INDEX(J$65:INDIRECT("J"&amp;$C$61),$T46)</f>
        <v>#NUM!</v>
      </c>
      <c r="AC46" t="e">
        <f ca="1">INDEX(K$65:INDIRECT("K"&amp;$C$61),$T46)</f>
        <v>#NUM!</v>
      </c>
      <c r="AD46" t="e">
        <f ca="1">INDEX(L$65:INDIRECT("L"&amp;$C$61),$T46)</f>
        <v>#NUM!</v>
      </c>
      <c r="AE46" t="e">
        <f ca="1">INDEX(M$65:INDIRECT("M"&amp;$C$61),$T46)</f>
        <v>#NUM!</v>
      </c>
      <c r="AF46" s="23" t="e">
        <f t="array" aca="1" ref="AF46" ca="1">IF(ISBLANK($AE$11),SMALL(IF($E$65:INDIRECT("E"&amp;$C$61)=$AE$10,N$65:INDIRECT(AF$13&amp;$C$61)),$AH46),IF(ISBLANK($AE$10),SMALL(IF($D$65:INDIRECT("D"&amp;$C$61)=$AE$11,N$65:INDIRECT(AF$13&amp;$C$61)),$AH46),SMALL(IF(($E$65:INDIRECT("E"&amp;$C$61)=$AE$10)*($D$65:INDIRECT("D"&amp;$C$61)=$AE$11),N$65:INDIRECT(AF$13&amp;$C$61)),$AH46)))</f>
        <v>#NUM!</v>
      </c>
      <c r="AG46" t="e">
        <f ca="1">INDEX(O$65:INDIRECT("O"&amp;$C$61),$T46)</f>
        <v>#NUM!</v>
      </c>
      <c r="AH46" s="69">
        <v>1</v>
      </c>
      <c r="AI46" s="69" t="str">
        <f t="shared" si="4"/>
        <v>N</v>
      </c>
      <c r="AJ46" s="69" t="str">
        <f t="shared" si="4"/>
        <v>U</v>
      </c>
    </row>
    <row r="47" spans="1:52" x14ac:dyDescent="0.25">
      <c r="A47" s="74" t="s">
        <v>73</v>
      </c>
      <c r="B47" s="69" t="s">
        <v>35</v>
      </c>
      <c r="C47" s="74" t="e">
        <f ca="1">V6</f>
        <v>#NUM!</v>
      </c>
      <c r="D47" s="69" t="e">
        <f ca="1">INDEX(D$65:INDIRECT("D"&amp;$C$61),$C47)</f>
        <v>#NUM!</v>
      </c>
      <c r="E47" s="69" t="e">
        <f ca="1">INDEX(INDIRECT(("'MemberID'!$C$6:C"&amp;MemberID!$C$1)),MATCH(D47,INDIRECT(("'MemberID'!$G$6:G"&amp;MemberID!$C$1)),0))</f>
        <v>#NUM!</v>
      </c>
      <c r="F47" s="69" t="e">
        <f ca="1">INDEX(E$65:INDIRECT("E"&amp;$C$61),$C47)</f>
        <v>#NUM!</v>
      </c>
      <c r="G47" t="e">
        <f ca="1">INDEX(F$65:INDIRECT("F"&amp;$C$61),$C47)</f>
        <v>#NUM!</v>
      </c>
      <c r="H47" t="e">
        <f ca="1">INDEX(G$65:INDIRECT("G"&amp;$C$61),$C47)</f>
        <v>#NUM!</v>
      </c>
      <c r="I47" t="e">
        <f ca="1">INDEX(H$65:INDIRECT("H"&amp;$C$61),$C47)</f>
        <v>#NUM!</v>
      </c>
      <c r="J47" t="e">
        <f ca="1">INDEX(I$65:INDIRECT("I"&amp;$C$61),$C47)</f>
        <v>#NUM!</v>
      </c>
      <c r="K47" s="7" t="e">
        <f ca="1">INDEX(J$65:INDIRECT("J"&amp;$C$61),$C47)</f>
        <v>#NUM!</v>
      </c>
      <c r="L47" t="e">
        <f ca="1">INDEX(K$65:INDIRECT("K"&amp;$C$61),$C47)</f>
        <v>#NUM!</v>
      </c>
      <c r="M47" t="e">
        <f ca="1">INDEX(L$65:INDIRECT("L"&amp;$C$61),$C47)</f>
        <v>#NUM!</v>
      </c>
      <c r="N47" t="e">
        <f ca="1">INDEX(M$65:INDIRECT("M"&amp;$C$61),$C47)</f>
        <v>#NUM!</v>
      </c>
      <c r="O47" s="23" t="e">
        <f ca="1">INDEX(N$65:INDIRECT("N"&amp;$C$61),$C47)</f>
        <v>#NUM!</v>
      </c>
      <c r="P47" t="e">
        <f ca="1">INDEX(O$65:INDIRECT("O"&amp;$C$61),$C47)</f>
        <v>#NUM!</v>
      </c>
      <c r="Q47" s="104"/>
      <c r="R47" s="74" t="s">
        <v>73</v>
      </c>
      <c r="S47" s="69" t="s">
        <v>35</v>
      </c>
      <c r="T47" s="74" t="e">
        <f t="array" aca="1" ref="T47" ca="1">MATCH(IF(ISBLANK($AE$11),SMALL(IF($E$65:INDIRECT("E"&amp;$C$61)=$AE$10,INDIRECT(AJ47&amp;65):INDIRECT(AJ47&amp;$C$61)),$AH47),IF(ISBLANK($AE$10),SMALL(IF($D$65:INDIRECT("D"&amp;$C$61)=$AE$11,INDIRECT(AJ47&amp;65):INDIRECT(AJ47&amp;$C$61)),$AH47),SMALL(IF(($E$65:INDIRECT("E"&amp;$C$61)=$AE$10)*($D$65:INDIRECT("D"&amp;$C$61)=$AE$11),INDIRECT(AJ47&amp;65):INDIRECT(AJ47&amp;$C$61)),$AH47))),INDIRECT(AJ47&amp;65):INDIRECT(AJ47&amp;$C$61),0)</f>
        <v>#NUM!</v>
      </c>
      <c r="U47" s="69" t="e">
        <f ca="1">INDEX(D$65:INDIRECT("D"&amp;$C$61),$T47)</f>
        <v>#NUM!</v>
      </c>
      <c r="V47" s="69" t="e">
        <f ca="1">INDEX(INDIRECT(("'MemberID'!$C$6:C"&amp;MemberID!$C$1)),MATCH(U47,INDIRECT(("'MemberID'!$G$6:G"&amp;MemberID!$C$1)),0))</f>
        <v>#NUM!</v>
      </c>
      <c r="W47" s="69" t="e">
        <f ca="1">INDEX(E$65:INDIRECT("E"&amp;$C$61),$T47)</f>
        <v>#NUM!</v>
      </c>
      <c r="X47" t="e">
        <f ca="1">INDEX(F$65:INDIRECT("F"&amp;$C$61),$T47)</f>
        <v>#NUM!</v>
      </c>
      <c r="Y47" t="e">
        <f ca="1">INDEX(G$65:INDIRECT("G"&amp;$C$61),$T47)</f>
        <v>#NUM!</v>
      </c>
      <c r="Z47" t="e">
        <f ca="1">INDEX(H$65:INDIRECT("H"&amp;$C$61),$T47)</f>
        <v>#NUM!</v>
      </c>
      <c r="AA47" t="e">
        <f ca="1">INDEX(I$65:INDIRECT("I"&amp;$C$61),$T47)</f>
        <v>#NUM!</v>
      </c>
      <c r="AB47" t="e">
        <f ca="1">INDEX(J$65:INDIRECT("J"&amp;$C$61),$T47)</f>
        <v>#NUM!</v>
      </c>
      <c r="AC47" t="e">
        <f ca="1">INDEX(K$65:INDIRECT("K"&amp;$C$61),$T47)</f>
        <v>#NUM!</v>
      </c>
      <c r="AD47" t="e">
        <f ca="1">INDEX(L$65:INDIRECT("L"&amp;$C$61),$T47)</f>
        <v>#NUM!</v>
      </c>
      <c r="AE47" t="e">
        <f ca="1">INDEX(M$65:INDIRECT("M"&amp;$C$61),$T47)</f>
        <v>#NUM!</v>
      </c>
      <c r="AF47" s="23" t="e">
        <f t="array" aca="1" ref="AF47" ca="1">IF(ISBLANK($AE$11),SMALL(IF($E$65:INDIRECT("E"&amp;$C$61)=$AE$10,N$65:INDIRECT(AF$13&amp;$C$61)),$AH47),IF(ISBLANK($AE$10),SMALL(IF($D$65:INDIRECT("D"&amp;$C$61)=$AE$11,N$65:INDIRECT(AF$13&amp;$C$61)),$AH47),SMALL(IF(($E$65:INDIRECT("E"&amp;$C$61)=$AE$10)*($D$65:INDIRECT("D"&amp;$C$61)=$AE$11),N$65:INDIRECT(AF$13&amp;$C$61)),$AH47)))</f>
        <v>#NUM!</v>
      </c>
      <c r="AG47" t="e">
        <f ca="1">INDEX(O$65:INDIRECT("O"&amp;$C$61),$T47)</f>
        <v>#NUM!</v>
      </c>
      <c r="AH47" s="69">
        <v>2</v>
      </c>
      <c r="AI47" s="69" t="str">
        <f t="shared" si="4"/>
        <v>N</v>
      </c>
      <c r="AJ47" s="69" t="str">
        <f t="shared" si="4"/>
        <v>U</v>
      </c>
    </row>
    <row r="48" spans="1:52" x14ac:dyDescent="0.25">
      <c r="A48" s="74" t="s">
        <v>74</v>
      </c>
      <c r="B48" s="69" t="s">
        <v>35</v>
      </c>
      <c r="C48" s="74" t="e">
        <f ca="1">AD6</f>
        <v>#NUM!</v>
      </c>
      <c r="D48" s="69" t="e">
        <f ca="1">INDEX(D$65:INDIRECT("D"&amp;$C$61),$C48)</f>
        <v>#NUM!</v>
      </c>
      <c r="E48" s="69" t="e">
        <f ca="1">INDEX(INDIRECT(("'MemberID'!$C$6:C"&amp;MemberID!$C$1)),MATCH(D48,INDIRECT(("'MemberID'!$G$6:G"&amp;MemberID!$C$1)),0))</f>
        <v>#NUM!</v>
      </c>
      <c r="F48" s="69" t="e">
        <f ca="1">INDEX(E$65:INDIRECT("E"&amp;$C$61),$C48)</f>
        <v>#NUM!</v>
      </c>
      <c r="G48" t="e">
        <f ca="1">INDEX(F$65:INDIRECT("F"&amp;$C$61),$C48)</f>
        <v>#NUM!</v>
      </c>
      <c r="H48" t="e">
        <f ca="1">INDEX(G$65:INDIRECT("G"&amp;$C$61),$C48)</f>
        <v>#NUM!</v>
      </c>
      <c r="I48" t="e">
        <f ca="1">INDEX(H$65:INDIRECT("H"&amp;$C$61),$C48)</f>
        <v>#NUM!</v>
      </c>
      <c r="J48" t="e">
        <f ca="1">INDEX(I$65:INDIRECT("I"&amp;$C$61),$C48)</f>
        <v>#NUM!</v>
      </c>
      <c r="K48" s="7" t="e">
        <f ca="1">INDEX(J$65:INDIRECT("J"&amp;$C$61),$C48)</f>
        <v>#NUM!</v>
      </c>
      <c r="L48" t="e">
        <f ca="1">INDEX(K$65:INDIRECT("K"&amp;$C$61),$C48)</f>
        <v>#NUM!</v>
      </c>
      <c r="M48" t="e">
        <f ca="1">INDEX(L$65:INDIRECT("L"&amp;$C$61),$C48)</f>
        <v>#NUM!</v>
      </c>
      <c r="N48" t="e">
        <f ca="1">INDEX(M$65:INDIRECT("M"&amp;$C$61),$C48)</f>
        <v>#NUM!</v>
      </c>
      <c r="O48" s="23" t="e">
        <f ca="1">INDEX(N$65:INDIRECT("N"&amp;$C$61),$C48)</f>
        <v>#NUM!</v>
      </c>
      <c r="P48" t="e">
        <f ca="1">INDEX(O$65:INDIRECT("O"&amp;$C$61),$C48)</f>
        <v>#NUM!</v>
      </c>
      <c r="Q48" s="104"/>
      <c r="R48" s="74" t="s">
        <v>74</v>
      </c>
      <c r="S48" s="69" t="s">
        <v>35</v>
      </c>
      <c r="T48" s="74" t="e">
        <f t="array" aca="1" ref="T48" ca="1">MATCH(IF(ISBLANK($AE$11),SMALL(IF($E$65:INDIRECT("E"&amp;$C$61)=$AE$10,INDIRECT(AJ48&amp;65):INDIRECT(AJ48&amp;$C$61)),$AH48),IF(ISBLANK($AE$10),SMALL(IF($D$65:INDIRECT("D"&amp;$C$61)=$AE$11,INDIRECT(AJ48&amp;65):INDIRECT(AJ48&amp;$C$61)),$AH48),SMALL(IF(($E$65:INDIRECT("E"&amp;$C$61)=$AE$10)*($D$65:INDIRECT("D"&amp;$C$61)=$AE$11),INDIRECT(AJ48&amp;65):INDIRECT(AJ48&amp;$C$61)),$AH48))),INDIRECT(AJ48&amp;65):INDIRECT(AJ48&amp;$C$61),0)</f>
        <v>#NUM!</v>
      </c>
      <c r="U48" s="69" t="e">
        <f ca="1">INDEX(D$65:INDIRECT("D"&amp;$C$61),$T48)</f>
        <v>#NUM!</v>
      </c>
      <c r="V48" s="69" t="e">
        <f ca="1">INDEX(INDIRECT(("'MemberID'!$C$6:C"&amp;MemberID!$C$1)),MATCH(U48,INDIRECT(("'MemberID'!$G$6:G"&amp;MemberID!$C$1)),0))</f>
        <v>#NUM!</v>
      </c>
      <c r="W48" s="69" t="e">
        <f ca="1">INDEX(E$65:INDIRECT("E"&amp;$C$61),$T48)</f>
        <v>#NUM!</v>
      </c>
      <c r="X48" t="e">
        <f ca="1">INDEX(F$65:INDIRECT("F"&amp;$C$61),$T48)</f>
        <v>#NUM!</v>
      </c>
      <c r="Y48" t="e">
        <f ca="1">INDEX(G$65:INDIRECT("G"&amp;$C$61),$T48)</f>
        <v>#NUM!</v>
      </c>
      <c r="Z48" t="e">
        <f ca="1">INDEX(H$65:INDIRECT("H"&amp;$C$61),$T48)</f>
        <v>#NUM!</v>
      </c>
      <c r="AA48" t="e">
        <f ca="1">INDEX(I$65:INDIRECT("I"&amp;$C$61),$T48)</f>
        <v>#NUM!</v>
      </c>
      <c r="AB48" t="e">
        <f ca="1">INDEX(J$65:INDIRECT("J"&amp;$C$61),$T48)</f>
        <v>#NUM!</v>
      </c>
      <c r="AC48" t="e">
        <f ca="1">INDEX(K$65:INDIRECT("K"&amp;$C$61),$T48)</f>
        <v>#NUM!</v>
      </c>
      <c r="AD48" t="e">
        <f ca="1">INDEX(L$65:INDIRECT("L"&amp;$C$61),$T48)</f>
        <v>#NUM!</v>
      </c>
      <c r="AE48" t="e">
        <f ca="1">INDEX(M$65:INDIRECT("M"&amp;$C$61),$T48)</f>
        <v>#NUM!</v>
      </c>
      <c r="AF48" s="23" t="e">
        <f t="array" aca="1" ref="AF48" ca="1">IF(ISBLANK($AE$11),SMALL(IF($E$65:INDIRECT("E"&amp;$C$61)=$AE$10,N$65:INDIRECT(AF$13&amp;$C$61)),$AH48),IF(ISBLANK($AE$10),SMALL(IF($D$65:INDIRECT("D"&amp;$C$61)=$AE$11,N$65:INDIRECT(AF$13&amp;$C$61)),$AH48),SMALL(IF(($E$65:INDIRECT("E"&amp;$C$61)=$AE$10)*($D$65:INDIRECT("D"&amp;$C$61)=$AE$11),N$65:INDIRECT(AF$13&amp;$C$61)),$AH48)))</f>
        <v>#NUM!</v>
      </c>
      <c r="AG48" t="e">
        <f ca="1">INDEX(O$65:INDIRECT("O"&amp;$C$61),$T48)</f>
        <v>#NUM!</v>
      </c>
      <c r="AH48" s="69">
        <v>3</v>
      </c>
      <c r="AI48" s="69" t="str">
        <f t="shared" si="4"/>
        <v>N</v>
      </c>
      <c r="AJ48" s="69" t="str">
        <f t="shared" si="4"/>
        <v>U</v>
      </c>
    </row>
    <row r="49" spans="1:49" x14ac:dyDescent="0.25">
      <c r="B49" s="69"/>
      <c r="C49" s="69"/>
      <c r="D49" s="69"/>
      <c r="E49" s="69"/>
      <c r="F49" s="69"/>
      <c r="K49" s="7"/>
      <c r="Q49" s="104"/>
      <c r="S49" s="69"/>
      <c r="T49" s="69"/>
      <c r="V49" s="69"/>
      <c r="W49" s="69"/>
      <c r="AH49" s="69"/>
      <c r="AI49" s="69"/>
      <c r="AJ49" s="69"/>
    </row>
    <row r="50" spans="1:49" x14ac:dyDescent="0.25">
      <c r="A50" s="73" t="s">
        <v>69</v>
      </c>
      <c r="B50" s="69" t="s">
        <v>36</v>
      </c>
      <c r="C50" s="73" t="e">
        <f ca="1">O3</f>
        <v>#N/A</v>
      </c>
      <c r="D50" s="69" t="e">
        <f ca="1">INDEX(D$65:INDIRECT("D"&amp;$C$61),$C50)</f>
        <v>#N/A</v>
      </c>
      <c r="E50" s="69" t="e">
        <f ca="1">INDEX(INDIRECT(("'MemberID'!$C$6:C"&amp;MemberID!$C$1)),MATCH(D50,INDIRECT(("'MemberID'!$G$6:G"&amp;MemberID!$C$1)),0))</f>
        <v>#N/A</v>
      </c>
      <c r="F50" s="69" t="e">
        <f ca="1">INDEX(E$65:INDIRECT("E"&amp;$C$61),$C50)</f>
        <v>#N/A</v>
      </c>
      <c r="G50" t="e">
        <f ca="1">INDEX(F$65:INDIRECT("F"&amp;$C$61),$C50)</f>
        <v>#N/A</v>
      </c>
      <c r="H50" t="e">
        <f ca="1">INDEX(G$65:INDIRECT("G"&amp;$C$61),$C50)</f>
        <v>#N/A</v>
      </c>
      <c r="I50" t="e">
        <f ca="1">INDEX(H$65:INDIRECT("H"&amp;$C$61),$C50)</f>
        <v>#N/A</v>
      </c>
      <c r="J50" t="e">
        <f ca="1">INDEX(I$65:INDIRECT("I"&amp;$C$61),$C50)</f>
        <v>#N/A</v>
      </c>
      <c r="K50" s="7" t="e">
        <f ca="1">INDEX(J$65:INDIRECT("J"&amp;$C$61),$C50)</f>
        <v>#N/A</v>
      </c>
      <c r="L50" t="e">
        <f ca="1">INDEX(K$65:INDIRECT("K"&amp;$C$61),$C50)</f>
        <v>#N/A</v>
      </c>
      <c r="M50" t="e">
        <f ca="1">INDEX(L$65:INDIRECT("L"&amp;$C$61),$C50)</f>
        <v>#N/A</v>
      </c>
      <c r="N50" t="e">
        <f ca="1">INDEX(M$65:INDIRECT("M"&amp;$C$61),$C50)</f>
        <v>#N/A</v>
      </c>
      <c r="O50" t="e">
        <f ca="1">INDEX(N$65:INDIRECT("N"&amp;$C$61),$C50)</f>
        <v>#N/A</v>
      </c>
      <c r="P50" s="23" t="e">
        <f ca="1">INDEX(O$65:INDIRECT("O"&amp;$C$61),$C50)</f>
        <v>#N/A</v>
      </c>
      <c r="Q50" s="104"/>
      <c r="R50" s="73" t="s">
        <v>69</v>
      </c>
      <c r="S50" s="69" t="s">
        <v>36</v>
      </c>
      <c r="T50" s="73" t="e">
        <f t="array" aca="1" ref="T50" ca="1">MATCH(IF(ISBLANK($AE$11),LARGE(IF($E$65:INDIRECT("E"&amp;$C$61)=$AE$10,INDIRECT(AJ50&amp;65):INDIRECT(AJ50&amp;$C$61)),$AH50),IF(ISBLANK($AE$10),LARGE(IF($D$65:INDIRECT("D"&amp;$C$61)=$AE$11,INDIRECT(AJ50&amp;65):INDIRECT(AJ50&amp;$C$61)),$AH50),LARGE(IF(($E$65:INDIRECT("E"&amp;$C$61)=$AE$10)*($D$65:INDIRECT("D"&amp;$C$61)=$AE$11),INDIRECT(AJ50&amp;65):INDIRECT(AJ50&amp;$C$61)),$AH50))),INDIRECT(AJ50&amp;65):INDIRECT(AJ50&amp;$C$61),0)</f>
        <v>#NUM!</v>
      </c>
      <c r="U50" s="69" t="e">
        <f ca="1">INDEX(D$65:INDIRECT("D"&amp;$C$61),$T50)</f>
        <v>#NUM!</v>
      </c>
      <c r="V50" s="69" t="e">
        <f ca="1">INDEX(INDIRECT(("'MemberID'!$C$6:C"&amp;MemberID!$C$1)),MATCH(U50,INDIRECT(("'MemberID'!$G$6:G"&amp;MemberID!$C$1)),0))</f>
        <v>#NUM!</v>
      </c>
      <c r="W50" s="69" t="e">
        <f ca="1">INDEX(E$65:INDIRECT("E"&amp;$C$61),$T50)</f>
        <v>#NUM!</v>
      </c>
      <c r="X50" t="e">
        <f ca="1">INDEX(F$65:INDIRECT("F"&amp;$C$61),$T50)</f>
        <v>#NUM!</v>
      </c>
      <c r="Y50" t="e">
        <f ca="1">INDEX(G$65:INDIRECT("G"&amp;$C$61),$T50)</f>
        <v>#NUM!</v>
      </c>
      <c r="Z50" t="e">
        <f ca="1">INDEX(H$65:INDIRECT("H"&amp;$C$61),$T50)</f>
        <v>#NUM!</v>
      </c>
      <c r="AA50" t="e">
        <f ca="1">INDEX(I$65:INDIRECT("I"&amp;$C$61),$T50)</f>
        <v>#NUM!</v>
      </c>
      <c r="AB50" t="e">
        <f ca="1">INDEX(J$65:INDIRECT("J"&amp;$C$61),$T50)</f>
        <v>#NUM!</v>
      </c>
      <c r="AC50" t="e">
        <f ca="1">INDEX(K$65:INDIRECT("K"&amp;$C$61),$T50)</f>
        <v>#NUM!</v>
      </c>
      <c r="AD50" t="e">
        <f ca="1">INDEX(L$65:INDIRECT("L"&amp;$C$61),$T50)</f>
        <v>#NUM!</v>
      </c>
      <c r="AE50" t="e">
        <f ca="1">INDEX(M$65:INDIRECT("M"&amp;$C$61),$T50)</f>
        <v>#NUM!</v>
      </c>
      <c r="AF50" t="e">
        <f ca="1">INDEX(N$65:INDIRECT("N"&amp;$C$61),$T50)</f>
        <v>#NUM!</v>
      </c>
      <c r="AG50" s="23" t="e">
        <f t="array" aca="1" ref="AG50" ca="1">IF(ISBLANK($AE$11),LARGE(IF($E$65:INDIRECT("E"&amp;$C$61)=$AE$10,O$65:INDIRECT(AG$13&amp;$C$61)),$AH50),IF(ISBLANK($AE$10),LARGE(IF($D$65:INDIRECT("D"&amp;$C$61)=$AE$11,O$65:INDIRECT(AG$13&amp;$C$61)),$AH50),LARGE(IF(($E$65:INDIRECT("E"&amp;$C$61)=$AE$10)*($D$65:INDIRECT("D"&amp;$C$61)=$AE$11),O$65:INDIRECT(AG$13&amp;$C$61)),$AH50)))</f>
        <v>#NUM!</v>
      </c>
      <c r="AH50" s="69">
        <v>1</v>
      </c>
      <c r="AI50" s="69" t="s">
        <v>155</v>
      </c>
      <c r="AJ50" s="69" t="s">
        <v>197</v>
      </c>
    </row>
    <row r="51" spans="1:49" x14ac:dyDescent="0.25">
      <c r="A51" s="73" t="s">
        <v>70</v>
      </c>
      <c r="B51" s="69" t="s">
        <v>36</v>
      </c>
      <c r="C51" s="73" t="e">
        <f ca="1">W3</f>
        <v>#NUM!</v>
      </c>
      <c r="D51" s="69" t="e">
        <f ca="1">INDEX(D$65:INDIRECT("D"&amp;$C$61),$C51)</f>
        <v>#NUM!</v>
      </c>
      <c r="E51" s="69" t="e">
        <f ca="1">INDEX(INDIRECT(("'MemberID'!$C$6:C"&amp;MemberID!$C$1)),MATCH(D51,INDIRECT(("'MemberID'!$G$6:G"&amp;MemberID!$C$1)),0))</f>
        <v>#NUM!</v>
      </c>
      <c r="F51" s="69" t="e">
        <f ca="1">INDEX(E$65:INDIRECT("E"&amp;$C$61),$C51)</f>
        <v>#NUM!</v>
      </c>
      <c r="G51" t="e">
        <f ca="1">INDEX(F$65:INDIRECT("F"&amp;$C$61),$C51)</f>
        <v>#NUM!</v>
      </c>
      <c r="H51" t="e">
        <f ca="1">INDEX(G$65:INDIRECT("G"&amp;$C$61),$C51)</f>
        <v>#NUM!</v>
      </c>
      <c r="I51" t="e">
        <f ca="1">INDEX(H$65:INDIRECT("H"&amp;$C$61),$C51)</f>
        <v>#NUM!</v>
      </c>
      <c r="J51" t="e">
        <f ca="1">INDEX(I$65:INDIRECT("I"&amp;$C$61),$C51)</f>
        <v>#NUM!</v>
      </c>
      <c r="K51" s="7" t="e">
        <f ca="1">INDEX(J$65:INDIRECT("J"&amp;$C$61),$C51)</f>
        <v>#NUM!</v>
      </c>
      <c r="L51" t="e">
        <f ca="1">INDEX(K$65:INDIRECT("K"&amp;$C$61),$C51)</f>
        <v>#NUM!</v>
      </c>
      <c r="M51" t="e">
        <f ca="1">INDEX(L$65:INDIRECT("L"&amp;$C$61),$C51)</f>
        <v>#NUM!</v>
      </c>
      <c r="N51" t="e">
        <f ca="1">INDEX(M$65:INDIRECT("M"&amp;$C$61),$C51)</f>
        <v>#NUM!</v>
      </c>
      <c r="O51" t="e">
        <f ca="1">INDEX(N$65:INDIRECT("N"&amp;$C$61),$C51)</f>
        <v>#NUM!</v>
      </c>
      <c r="P51" s="23" t="e">
        <f ca="1">INDEX(O$65:INDIRECT("O"&amp;$C$61),$C51)</f>
        <v>#NUM!</v>
      </c>
      <c r="Q51" s="104"/>
      <c r="R51" s="73" t="s">
        <v>70</v>
      </c>
      <c r="S51" s="69" t="s">
        <v>36</v>
      </c>
      <c r="T51" s="73" t="e">
        <f t="array" aca="1" ref="T51" ca="1">MATCH(IF(ISBLANK($AE$11),LARGE(IF($E$65:INDIRECT("E"&amp;$C$61)=$AE$10,INDIRECT(AJ51&amp;65):INDIRECT(AJ51&amp;$C$61)),$AH51),IF(ISBLANK($AE$10),LARGE(IF($D$65:INDIRECT("D"&amp;$C$61)=$AE$11,INDIRECT(AJ51&amp;65):INDIRECT(AJ51&amp;$C$61)),$AH51),LARGE(IF(($E$65:INDIRECT("E"&amp;$C$61)=$AE$10)*($D$65:INDIRECT("D"&amp;$C$61)=$AE$11),INDIRECT(AJ51&amp;65):INDIRECT(AJ51&amp;$C$61)),$AH51))),INDIRECT(AJ51&amp;65):INDIRECT(AJ51&amp;$C$61),0)</f>
        <v>#NUM!</v>
      </c>
      <c r="U51" s="69" t="e">
        <f ca="1">INDEX(D$65:INDIRECT("D"&amp;$C$61),$T51)</f>
        <v>#NUM!</v>
      </c>
      <c r="V51" s="69" t="e">
        <f ca="1">INDEX(INDIRECT(("'MemberID'!$C$6:C"&amp;MemberID!$C$1)),MATCH(U51,INDIRECT(("'MemberID'!$G$6:G"&amp;MemberID!$C$1)),0))</f>
        <v>#NUM!</v>
      </c>
      <c r="W51" s="69" t="e">
        <f ca="1">INDEX(E$65:INDIRECT("E"&amp;$C$61),$T51)</f>
        <v>#NUM!</v>
      </c>
      <c r="X51" t="e">
        <f ca="1">INDEX(F$65:INDIRECT("F"&amp;$C$61),$T51)</f>
        <v>#NUM!</v>
      </c>
      <c r="Y51" t="e">
        <f ca="1">INDEX(G$65:INDIRECT("G"&amp;$C$61),$T51)</f>
        <v>#NUM!</v>
      </c>
      <c r="Z51" t="e">
        <f ca="1">INDEX(H$65:INDIRECT("H"&amp;$C$61),$T51)</f>
        <v>#NUM!</v>
      </c>
      <c r="AA51" t="e">
        <f ca="1">INDEX(I$65:INDIRECT("I"&amp;$C$61),$T51)</f>
        <v>#NUM!</v>
      </c>
      <c r="AB51" t="e">
        <f ca="1">INDEX(J$65:INDIRECT("J"&amp;$C$61),$T51)</f>
        <v>#NUM!</v>
      </c>
      <c r="AC51" t="e">
        <f ca="1">INDEX(K$65:INDIRECT("K"&amp;$C$61),$T51)</f>
        <v>#NUM!</v>
      </c>
      <c r="AD51" t="e">
        <f ca="1">INDEX(L$65:INDIRECT("L"&amp;$C$61),$T51)</f>
        <v>#NUM!</v>
      </c>
      <c r="AE51" t="e">
        <f ca="1">INDEX(M$65:INDIRECT("M"&amp;$C$61),$T51)</f>
        <v>#NUM!</v>
      </c>
      <c r="AF51" t="e">
        <f ca="1">INDEX(N$65:INDIRECT("N"&amp;$C$61),$T51)</f>
        <v>#NUM!</v>
      </c>
      <c r="AG51" s="23" t="e">
        <f t="array" aca="1" ref="AG51" ca="1">IF(ISBLANK($AE$11),LARGE(IF($E$65:INDIRECT("E"&amp;$C$61)=$AE$10,O$65:INDIRECT(AG$13&amp;$C$61)),$AH51),IF(ISBLANK($AE$10),LARGE(IF($D$65:INDIRECT("D"&amp;$C$61)=$AE$11,O$65:INDIRECT(AG$13&amp;$C$61)),$AH51),LARGE(IF(($E$65:INDIRECT("E"&amp;$C$61)=$AE$10)*($D$65:INDIRECT("D"&amp;$C$61)=$AE$11),O$65:INDIRECT(AG$13&amp;$C$61)),$AH51)))</f>
        <v>#NUM!</v>
      </c>
      <c r="AH51" s="69">
        <v>2</v>
      </c>
      <c r="AI51" s="69" t="str">
        <f>AI50</f>
        <v>O</v>
      </c>
      <c r="AJ51" s="69" t="str">
        <f>AJ50</f>
        <v>V</v>
      </c>
    </row>
    <row r="52" spans="1:49" x14ac:dyDescent="0.25">
      <c r="A52" s="73" t="s">
        <v>71</v>
      </c>
      <c r="B52" s="69" t="s">
        <v>36</v>
      </c>
      <c r="C52" s="73" t="e">
        <f ca="1">AE3</f>
        <v>#NUM!</v>
      </c>
      <c r="D52" s="69" t="e">
        <f ca="1">INDEX(D$65:INDIRECT("D"&amp;$C$61),$C52)</f>
        <v>#NUM!</v>
      </c>
      <c r="E52" s="69" t="e">
        <f ca="1">INDEX(INDIRECT(("'MemberID'!$C$6:C"&amp;MemberID!$C$1)),MATCH(D52,INDIRECT(("'MemberID'!$G$6:G"&amp;MemberID!$C$1)),0))</f>
        <v>#NUM!</v>
      </c>
      <c r="F52" s="69" t="e">
        <f ca="1">INDEX(E$65:INDIRECT("E"&amp;$C$61),$C52)</f>
        <v>#NUM!</v>
      </c>
      <c r="G52" t="e">
        <f ca="1">INDEX(F$65:INDIRECT("F"&amp;$C$61),$C52)</f>
        <v>#NUM!</v>
      </c>
      <c r="H52" t="e">
        <f ca="1">INDEX(G$65:INDIRECT("G"&amp;$C$61),$C52)</f>
        <v>#NUM!</v>
      </c>
      <c r="I52" t="e">
        <f ca="1">INDEX(H$65:INDIRECT("H"&amp;$C$61),$C52)</f>
        <v>#NUM!</v>
      </c>
      <c r="J52" t="e">
        <f ca="1">INDEX(I$65:INDIRECT("I"&amp;$C$61),$C52)</f>
        <v>#NUM!</v>
      </c>
      <c r="K52" s="7" t="e">
        <f ca="1">INDEX(J$65:INDIRECT("J"&amp;$C$61),$C52)</f>
        <v>#NUM!</v>
      </c>
      <c r="L52" t="e">
        <f ca="1">INDEX(K$65:INDIRECT("K"&amp;$C$61),$C52)</f>
        <v>#NUM!</v>
      </c>
      <c r="M52" t="e">
        <f ca="1">INDEX(L$65:INDIRECT("L"&amp;$C$61),$C52)</f>
        <v>#NUM!</v>
      </c>
      <c r="N52" t="e">
        <f ca="1">INDEX(M$65:INDIRECT("M"&amp;$C$61),$C52)</f>
        <v>#NUM!</v>
      </c>
      <c r="O52" t="e">
        <f ca="1">INDEX(N$65:INDIRECT("N"&amp;$C$61),$C52)</f>
        <v>#NUM!</v>
      </c>
      <c r="P52" s="23" t="e">
        <f ca="1">INDEX(O$65:INDIRECT("O"&amp;$C$61),$C52)</f>
        <v>#NUM!</v>
      </c>
      <c r="Q52" s="104"/>
      <c r="R52" s="73" t="s">
        <v>71</v>
      </c>
      <c r="S52" s="69" t="s">
        <v>36</v>
      </c>
      <c r="T52" s="73" t="e">
        <f t="array" aca="1" ref="T52" ca="1">MATCH(IF(ISBLANK($AE$11),LARGE(IF($E$65:INDIRECT("E"&amp;$C$61)=$AE$10,INDIRECT(AJ52&amp;65):INDIRECT(AJ52&amp;$C$61)),$AH52),IF(ISBLANK($AE$10),LARGE(IF($D$65:INDIRECT("D"&amp;$C$61)=$AE$11,INDIRECT(AJ52&amp;65):INDIRECT(AJ52&amp;$C$61)),$AH52),LARGE(IF(($E$65:INDIRECT("E"&amp;$C$61)=$AE$10)*($D$65:INDIRECT("D"&amp;$C$61)=$AE$11),INDIRECT(AJ52&amp;65):INDIRECT(AJ52&amp;$C$61)),$AH52))),INDIRECT(AJ52&amp;65):INDIRECT(AJ52&amp;$C$61),0)</f>
        <v>#NUM!</v>
      </c>
      <c r="U52" s="69" t="e">
        <f ca="1">INDEX(D$65:INDIRECT("D"&amp;$C$61),$T52)</f>
        <v>#NUM!</v>
      </c>
      <c r="V52" s="69" t="e">
        <f ca="1">INDEX(INDIRECT(("'MemberID'!$C$6:C"&amp;MemberID!$C$1)),MATCH(U52,INDIRECT(("'MemberID'!$G$6:G"&amp;MemberID!$C$1)),0))</f>
        <v>#NUM!</v>
      </c>
      <c r="W52" s="69" t="e">
        <f ca="1">INDEX(E$65:INDIRECT("E"&amp;$C$61),$T52)</f>
        <v>#NUM!</v>
      </c>
      <c r="X52" t="e">
        <f ca="1">INDEX(F$65:INDIRECT("F"&amp;$C$61),$T52)</f>
        <v>#NUM!</v>
      </c>
      <c r="Y52" t="e">
        <f ca="1">INDEX(G$65:INDIRECT("G"&amp;$C$61),$T52)</f>
        <v>#NUM!</v>
      </c>
      <c r="Z52" t="e">
        <f ca="1">INDEX(H$65:INDIRECT("H"&amp;$C$61),$T52)</f>
        <v>#NUM!</v>
      </c>
      <c r="AA52" t="e">
        <f ca="1">INDEX(I$65:INDIRECT("I"&amp;$C$61),$T52)</f>
        <v>#NUM!</v>
      </c>
      <c r="AB52" t="e">
        <f ca="1">INDEX(J$65:INDIRECT("J"&amp;$C$61),$T52)</f>
        <v>#NUM!</v>
      </c>
      <c r="AC52" t="e">
        <f ca="1">INDEX(K$65:INDIRECT("K"&amp;$C$61),$T52)</f>
        <v>#NUM!</v>
      </c>
      <c r="AD52" t="e">
        <f ca="1">INDEX(L$65:INDIRECT("L"&amp;$C$61),$T52)</f>
        <v>#NUM!</v>
      </c>
      <c r="AE52" t="e">
        <f ca="1">INDEX(M$65:INDIRECT("M"&amp;$C$61),$T52)</f>
        <v>#NUM!</v>
      </c>
      <c r="AF52" t="e">
        <f ca="1">INDEX(N$65:INDIRECT("N"&amp;$C$61),$T52)</f>
        <v>#NUM!</v>
      </c>
      <c r="AG52" s="23" t="e">
        <f t="array" aca="1" ref="AG52" ca="1">IF(ISBLANK($AE$11),LARGE(IF($E$65:INDIRECT("E"&amp;$C$61)=$AE$10,O$65:INDIRECT(AG$13&amp;$C$61)),$AH52),IF(ISBLANK($AE$10),LARGE(IF($D$65:INDIRECT("D"&amp;$C$61)=$AE$11,O$65:INDIRECT(AG$13&amp;$C$61)),$AH52),LARGE(IF(($E$65:INDIRECT("E"&amp;$C$61)=$AE$10)*($D$65:INDIRECT("D"&amp;$C$61)=$AE$11),O$65:INDIRECT(AG$13&amp;$C$61)),$AH52)))</f>
        <v>#NUM!</v>
      </c>
      <c r="AH52" s="69">
        <v>3</v>
      </c>
      <c r="AI52" s="69" t="str">
        <f t="shared" ref="AI52:AJ55" si="5">AI51</f>
        <v>O</v>
      </c>
      <c r="AJ52" s="69" t="str">
        <f t="shared" si="5"/>
        <v>V</v>
      </c>
    </row>
    <row r="53" spans="1:49" x14ac:dyDescent="0.25">
      <c r="A53" s="74" t="s">
        <v>72</v>
      </c>
      <c r="B53" s="69" t="s">
        <v>36</v>
      </c>
      <c r="C53" s="74" t="e">
        <f ca="1">O6</f>
        <v>#N/A</v>
      </c>
      <c r="D53" s="69" t="e">
        <f ca="1">INDEX(D$65:INDIRECT("D"&amp;$C$61),$C53)</f>
        <v>#N/A</v>
      </c>
      <c r="E53" s="69" t="e">
        <f ca="1">INDEX(INDIRECT(("'MemberID'!$C$6:C"&amp;MemberID!$C$1)),MATCH(D53,INDIRECT(("'MemberID'!$G$6:G"&amp;MemberID!$C$1)),0))</f>
        <v>#N/A</v>
      </c>
      <c r="F53" s="69" t="e">
        <f ca="1">INDEX(E$65:INDIRECT("E"&amp;$C$61),$C53)</f>
        <v>#N/A</v>
      </c>
      <c r="G53" t="e">
        <f ca="1">INDEX(F$65:INDIRECT("F"&amp;$C$61),$C53)</f>
        <v>#N/A</v>
      </c>
      <c r="H53" t="e">
        <f ca="1">INDEX(G$65:INDIRECT("G"&amp;$C$61),$C53)</f>
        <v>#N/A</v>
      </c>
      <c r="I53" t="e">
        <f ca="1">INDEX(H$65:INDIRECT("H"&amp;$C$61),$C53)</f>
        <v>#N/A</v>
      </c>
      <c r="J53" t="e">
        <f ca="1">INDEX(I$65:INDIRECT("I"&amp;$C$61),$C53)</f>
        <v>#N/A</v>
      </c>
      <c r="K53" s="7" t="e">
        <f ca="1">INDEX(J$65:INDIRECT("J"&amp;$C$61),$C53)</f>
        <v>#N/A</v>
      </c>
      <c r="L53" t="e">
        <f ca="1">INDEX(K$65:INDIRECT("K"&amp;$C$61),$C53)</f>
        <v>#N/A</v>
      </c>
      <c r="M53" t="e">
        <f ca="1">INDEX(L$65:INDIRECT("L"&amp;$C$61),$C53)</f>
        <v>#N/A</v>
      </c>
      <c r="N53" t="e">
        <f ca="1">INDEX(M$65:INDIRECT("M"&amp;$C$61),$C53)</f>
        <v>#N/A</v>
      </c>
      <c r="O53" t="e">
        <f ca="1">INDEX(N$65:INDIRECT("N"&amp;$C$61),$C53)</f>
        <v>#N/A</v>
      </c>
      <c r="P53" s="23" t="e">
        <f ca="1">INDEX(O$65:INDIRECT("O"&amp;$C$61),$C53)</f>
        <v>#N/A</v>
      </c>
      <c r="Q53" s="104"/>
      <c r="R53" s="74" t="s">
        <v>72</v>
      </c>
      <c r="S53" s="69" t="s">
        <v>36</v>
      </c>
      <c r="T53" s="74" t="e">
        <f t="array" aca="1" ref="T53" ca="1">MATCH(IF(ISBLANK($AE$11),SMALL(IF($E$65:INDIRECT("E"&amp;$C$61)=$AE$10,INDIRECT(AJ53&amp;65):INDIRECT(AJ53&amp;$C$61)),$AH53),IF(ISBLANK($AE$10),SMALL(IF($D$65:INDIRECT("D"&amp;$C$61)=$AE$11,INDIRECT(AJ53&amp;65):INDIRECT(AJ53&amp;$C$61)),$AH53),SMALL(IF(($E$65:INDIRECT("E"&amp;$C$61)=$AE$10)*($D$65:INDIRECT("D"&amp;$C$61)=$AE$11),INDIRECT(AJ53&amp;65):INDIRECT(AJ53&amp;$C$61)),$AH53))),INDIRECT(AJ53&amp;65):INDIRECT(AJ53&amp;$C$61),0)</f>
        <v>#NUM!</v>
      </c>
      <c r="U53" s="69" t="e">
        <f ca="1">INDEX(D$65:INDIRECT("D"&amp;$C$61),$T53)</f>
        <v>#NUM!</v>
      </c>
      <c r="V53" s="69" t="e">
        <f ca="1">INDEX(INDIRECT(("'MemberID'!$C$6:C"&amp;MemberID!$C$1)),MATCH(U53,INDIRECT(("'MemberID'!$G$6:G"&amp;MemberID!$C$1)),0))</f>
        <v>#NUM!</v>
      </c>
      <c r="W53" s="69" t="e">
        <f ca="1">INDEX(E$65:INDIRECT("E"&amp;$C$61),$T53)</f>
        <v>#NUM!</v>
      </c>
      <c r="X53" t="e">
        <f ca="1">INDEX(F$65:INDIRECT("F"&amp;$C$61),$T53)</f>
        <v>#NUM!</v>
      </c>
      <c r="Y53" t="e">
        <f ca="1">INDEX(G$65:INDIRECT("G"&amp;$C$61),$T53)</f>
        <v>#NUM!</v>
      </c>
      <c r="Z53" t="e">
        <f ca="1">INDEX(H$65:INDIRECT("H"&amp;$C$61),$T53)</f>
        <v>#NUM!</v>
      </c>
      <c r="AA53" t="e">
        <f ca="1">INDEX(I$65:INDIRECT("I"&amp;$C$61),$T53)</f>
        <v>#NUM!</v>
      </c>
      <c r="AB53" t="e">
        <f ca="1">INDEX(J$65:INDIRECT("J"&amp;$C$61),$T53)</f>
        <v>#NUM!</v>
      </c>
      <c r="AC53" t="e">
        <f ca="1">INDEX(K$65:INDIRECT("K"&amp;$C$61),$T53)</f>
        <v>#NUM!</v>
      </c>
      <c r="AD53" t="e">
        <f ca="1">INDEX(L$65:INDIRECT("L"&amp;$C$61),$T53)</f>
        <v>#NUM!</v>
      </c>
      <c r="AE53" t="e">
        <f ca="1">INDEX(M$65:INDIRECT("M"&amp;$C$61),$T53)</f>
        <v>#NUM!</v>
      </c>
      <c r="AF53" t="e">
        <f ca="1">INDEX(N$65:INDIRECT("N"&amp;$C$61),$T53)</f>
        <v>#NUM!</v>
      </c>
      <c r="AG53" s="23" t="e">
        <f t="array" aca="1" ref="AG53" ca="1">IF(ISBLANK($AE$11),SMALL(IF($E$65:INDIRECT("E"&amp;$C$61)=$AE$10,O$65:INDIRECT(AG$13&amp;$C$61)),$AH53),IF(ISBLANK($AE$10),SMALL(IF($D$65:INDIRECT("D"&amp;$C$61)=$AE$11,O$65:INDIRECT(AG$13&amp;$C$61)),$AH53),SMALL(IF(($E$65:INDIRECT("E"&amp;$C$61)=$AE$10)*($D$65:INDIRECT("D"&amp;$C$61)=$AE$11),O$65:INDIRECT(AG$13&amp;$C$61)),$AH53)))</f>
        <v>#NUM!</v>
      </c>
      <c r="AH53" s="69">
        <v>1</v>
      </c>
      <c r="AI53" s="69" t="str">
        <f t="shared" si="5"/>
        <v>O</v>
      </c>
      <c r="AJ53" s="69" t="str">
        <f t="shared" si="5"/>
        <v>V</v>
      </c>
    </row>
    <row r="54" spans="1:49" x14ac:dyDescent="0.25">
      <c r="A54" s="74" t="s">
        <v>73</v>
      </c>
      <c r="B54" s="69" t="s">
        <v>36</v>
      </c>
      <c r="C54" s="74" t="e">
        <f ca="1">W6</f>
        <v>#NUM!</v>
      </c>
      <c r="D54" s="69" t="e">
        <f ca="1">INDEX(D$65:INDIRECT("D"&amp;$C$61),$C54)</f>
        <v>#NUM!</v>
      </c>
      <c r="E54" s="69" t="e">
        <f ca="1">INDEX(INDIRECT(("'MemberID'!$C$6:C"&amp;MemberID!$C$1)),MATCH(D54,INDIRECT(("'MemberID'!$G$6:G"&amp;MemberID!$C$1)),0))</f>
        <v>#NUM!</v>
      </c>
      <c r="F54" s="69" t="e">
        <f ca="1">INDEX(E$65:INDIRECT("E"&amp;$C$61),$C54)</f>
        <v>#NUM!</v>
      </c>
      <c r="G54" t="e">
        <f ca="1">INDEX(F$65:INDIRECT("F"&amp;$C$61),$C54)</f>
        <v>#NUM!</v>
      </c>
      <c r="H54" t="e">
        <f ca="1">INDEX(G$65:INDIRECT("G"&amp;$C$61),$C54)</f>
        <v>#NUM!</v>
      </c>
      <c r="I54" t="e">
        <f ca="1">INDEX(H$65:INDIRECT("H"&amp;$C$61),$C54)</f>
        <v>#NUM!</v>
      </c>
      <c r="J54" t="e">
        <f ca="1">INDEX(I$65:INDIRECT("I"&amp;$C$61),$C54)</f>
        <v>#NUM!</v>
      </c>
      <c r="K54" s="7" t="e">
        <f ca="1">INDEX(J$65:INDIRECT("J"&amp;$C$61),$C54)</f>
        <v>#NUM!</v>
      </c>
      <c r="L54" t="e">
        <f ca="1">INDEX(K$65:INDIRECT("K"&amp;$C$61),$C54)</f>
        <v>#NUM!</v>
      </c>
      <c r="M54" t="e">
        <f ca="1">INDEX(L$65:INDIRECT("L"&amp;$C$61),$C54)</f>
        <v>#NUM!</v>
      </c>
      <c r="N54" t="e">
        <f ca="1">INDEX(M$65:INDIRECT("M"&amp;$C$61),$C54)</f>
        <v>#NUM!</v>
      </c>
      <c r="O54" t="e">
        <f ca="1">INDEX(N$65:INDIRECT("N"&amp;$C$61),$C54)</f>
        <v>#NUM!</v>
      </c>
      <c r="P54" s="23" t="e">
        <f ca="1">INDEX(O$65:INDIRECT("O"&amp;$C$61),$C54)</f>
        <v>#NUM!</v>
      </c>
      <c r="Q54" s="104"/>
      <c r="R54" s="74" t="s">
        <v>73</v>
      </c>
      <c r="S54" s="69" t="s">
        <v>36</v>
      </c>
      <c r="T54" s="74" t="e">
        <f t="array" aca="1" ref="T54" ca="1">MATCH(IF(ISBLANK($AE$11),SMALL(IF($E$65:INDIRECT("E"&amp;$C$61)=$AE$10,INDIRECT(AJ54&amp;65):INDIRECT(AJ54&amp;$C$61)),$AH54),IF(ISBLANK($AE$10),SMALL(IF($D$65:INDIRECT("D"&amp;$C$61)=$AE$11,INDIRECT(AJ54&amp;65):INDIRECT(AJ54&amp;$C$61)),$AH54),SMALL(IF(($E$65:INDIRECT("E"&amp;$C$61)=$AE$10)*($D$65:INDIRECT("D"&amp;$C$61)=$AE$11),INDIRECT(AJ54&amp;65):INDIRECT(AJ54&amp;$C$61)),$AH54))),INDIRECT(AJ54&amp;65):INDIRECT(AJ54&amp;$C$61),0)</f>
        <v>#NUM!</v>
      </c>
      <c r="U54" s="69" t="e">
        <f ca="1">INDEX(D$65:INDIRECT("D"&amp;$C$61),$T54)</f>
        <v>#NUM!</v>
      </c>
      <c r="V54" s="69" t="e">
        <f ca="1">INDEX(INDIRECT(("'MemberID'!$C$6:C"&amp;MemberID!$C$1)),MATCH(U54,INDIRECT(("'MemberID'!$G$6:G"&amp;MemberID!$C$1)),0))</f>
        <v>#NUM!</v>
      </c>
      <c r="W54" s="69" t="e">
        <f ca="1">INDEX(E$65:INDIRECT("E"&amp;$C$61),$T54)</f>
        <v>#NUM!</v>
      </c>
      <c r="X54" t="e">
        <f ca="1">INDEX(F$65:INDIRECT("F"&amp;$C$61),$T54)</f>
        <v>#NUM!</v>
      </c>
      <c r="Y54" t="e">
        <f ca="1">INDEX(G$65:INDIRECT("G"&amp;$C$61),$T54)</f>
        <v>#NUM!</v>
      </c>
      <c r="Z54" t="e">
        <f ca="1">INDEX(H$65:INDIRECT("H"&amp;$C$61),$T54)</f>
        <v>#NUM!</v>
      </c>
      <c r="AA54" t="e">
        <f ca="1">INDEX(I$65:INDIRECT("I"&amp;$C$61),$T54)</f>
        <v>#NUM!</v>
      </c>
      <c r="AB54" t="e">
        <f ca="1">INDEX(J$65:INDIRECT("J"&amp;$C$61),$T54)</f>
        <v>#NUM!</v>
      </c>
      <c r="AC54" t="e">
        <f ca="1">INDEX(K$65:INDIRECT("K"&amp;$C$61),$T54)</f>
        <v>#NUM!</v>
      </c>
      <c r="AD54" t="e">
        <f ca="1">INDEX(L$65:INDIRECT("L"&amp;$C$61),$T54)</f>
        <v>#NUM!</v>
      </c>
      <c r="AE54" t="e">
        <f ca="1">INDEX(M$65:INDIRECT("M"&amp;$C$61),$T54)</f>
        <v>#NUM!</v>
      </c>
      <c r="AF54" t="e">
        <f ca="1">INDEX(N$65:INDIRECT("N"&amp;$C$61),$T54)</f>
        <v>#NUM!</v>
      </c>
      <c r="AG54" s="23" t="e">
        <f t="array" aca="1" ref="AG54" ca="1">IF(ISBLANK($AE$11),SMALL(IF($E$65:INDIRECT("E"&amp;$C$61)=$AE$10,O$65:INDIRECT(AG$13&amp;$C$61)),$AH54),IF(ISBLANK($AE$10),SMALL(IF($D$65:INDIRECT("D"&amp;$C$61)=$AE$11,O$65:INDIRECT(AG$13&amp;$C$61)),$AH54),SMALL(IF(($E$65:INDIRECT("E"&amp;$C$61)=$AE$10)*($D$65:INDIRECT("D"&amp;$C$61)=$AE$11),O$65:INDIRECT(AG$13&amp;$C$61)),$AH54)))</f>
        <v>#NUM!</v>
      </c>
      <c r="AH54" s="69">
        <v>2</v>
      </c>
      <c r="AI54" s="69" t="str">
        <f t="shared" si="5"/>
        <v>O</v>
      </c>
      <c r="AJ54" s="69" t="str">
        <f t="shared" si="5"/>
        <v>V</v>
      </c>
    </row>
    <row r="55" spans="1:49" x14ac:dyDescent="0.25">
      <c r="A55" s="74" t="s">
        <v>74</v>
      </c>
      <c r="B55" s="69" t="s">
        <v>36</v>
      </c>
      <c r="C55" s="74" t="e">
        <f ca="1">AE6</f>
        <v>#NUM!</v>
      </c>
      <c r="D55" s="69" t="e">
        <f ca="1">INDEX(D$65:INDIRECT("D"&amp;$C$61),$C55)</f>
        <v>#NUM!</v>
      </c>
      <c r="E55" s="69" t="e">
        <f ca="1">INDEX(INDIRECT(("'MemberID'!$C$6:C"&amp;MemberID!$C$1)),MATCH(D55,INDIRECT(("'MemberID'!$G$6:G"&amp;MemberID!$C$1)),0))</f>
        <v>#NUM!</v>
      </c>
      <c r="F55" s="69" t="e">
        <f ca="1">INDEX(E$65:INDIRECT("E"&amp;$C$61),$C55)</f>
        <v>#NUM!</v>
      </c>
      <c r="G55" t="e">
        <f ca="1">INDEX(F$65:INDIRECT("F"&amp;$C$61),$C55)</f>
        <v>#NUM!</v>
      </c>
      <c r="H55" t="e">
        <f ca="1">INDEX(G$65:INDIRECT("G"&amp;$C$61),$C55)</f>
        <v>#NUM!</v>
      </c>
      <c r="I55" t="e">
        <f ca="1">INDEX(H$65:INDIRECT("H"&amp;$C$61),$C55)</f>
        <v>#NUM!</v>
      </c>
      <c r="J55" t="e">
        <f ca="1">INDEX(I$65:INDIRECT("I"&amp;$C$61),$C55)</f>
        <v>#NUM!</v>
      </c>
      <c r="K55" s="7" t="e">
        <f ca="1">INDEX(J$65:INDIRECT("J"&amp;$C$61),$C55)</f>
        <v>#NUM!</v>
      </c>
      <c r="L55" t="e">
        <f ca="1">INDEX(K$65:INDIRECT("K"&amp;$C$61),$C55)</f>
        <v>#NUM!</v>
      </c>
      <c r="M55" t="e">
        <f ca="1">INDEX(L$65:INDIRECT("L"&amp;$C$61),$C55)</f>
        <v>#NUM!</v>
      </c>
      <c r="N55" t="e">
        <f ca="1">INDEX(M$65:INDIRECT("M"&amp;$C$61),$C55)</f>
        <v>#NUM!</v>
      </c>
      <c r="O55" t="e">
        <f ca="1">INDEX(N$65:INDIRECT("N"&amp;$C$61),$C55)</f>
        <v>#NUM!</v>
      </c>
      <c r="P55" s="23" t="e">
        <f ca="1">INDEX(O$65:INDIRECT("O"&amp;$C$61),$C55)</f>
        <v>#NUM!</v>
      </c>
      <c r="Q55" s="104"/>
      <c r="R55" s="74" t="s">
        <v>74</v>
      </c>
      <c r="S55" s="69" t="s">
        <v>36</v>
      </c>
      <c r="T55" s="74" t="e">
        <f t="array" aca="1" ref="T55" ca="1">MATCH(IF(ISBLANK($AE$11),SMALL(IF($E$65:INDIRECT("E"&amp;$C$61)=$AE$10,INDIRECT(AJ55&amp;65):INDIRECT(AJ55&amp;$C$61)),$AH55),IF(ISBLANK($AE$10),SMALL(IF($D$65:INDIRECT("D"&amp;$C$61)=$AE$11,INDIRECT(AJ55&amp;65):INDIRECT(AJ55&amp;$C$61)),$AH55),SMALL(IF(($E$65:INDIRECT("E"&amp;$C$61)=$AE$10)*($D$65:INDIRECT("D"&amp;$C$61)=$AE$11),INDIRECT(AJ55&amp;65):INDIRECT(AJ55&amp;$C$61)),$AH55))),INDIRECT(AJ55&amp;65):INDIRECT(AJ55&amp;$C$61),0)</f>
        <v>#NUM!</v>
      </c>
      <c r="U55" s="69" t="e">
        <f ca="1">INDEX(D$65:INDIRECT("D"&amp;$C$61),$T55)</f>
        <v>#NUM!</v>
      </c>
      <c r="V55" s="69" t="e">
        <f ca="1">INDEX(INDIRECT(("'MemberID'!$C$6:C"&amp;MemberID!$C$1)),MATCH(U55,INDIRECT(("'MemberID'!$G$6:G"&amp;MemberID!$C$1)),0))</f>
        <v>#NUM!</v>
      </c>
      <c r="W55" s="69" t="e">
        <f ca="1">INDEX(E$65:INDIRECT("E"&amp;$C$61),$T55)</f>
        <v>#NUM!</v>
      </c>
      <c r="X55" t="e">
        <f ca="1">INDEX(F$65:INDIRECT("F"&amp;$C$61),$T55)</f>
        <v>#NUM!</v>
      </c>
      <c r="Y55" t="e">
        <f ca="1">INDEX(G$65:INDIRECT("G"&amp;$C$61),$T55)</f>
        <v>#NUM!</v>
      </c>
      <c r="Z55" t="e">
        <f ca="1">INDEX(H$65:INDIRECT("H"&amp;$C$61),$T55)</f>
        <v>#NUM!</v>
      </c>
      <c r="AA55" t="e">
        <f ca="1">INDEX(I$65:INDIRECT("I"&amp;$C$61),$T55)</f>
        <v>#NUM!</v>
      </c>
      <c r="AB55" t="e">
        <f ca="1">INDEX(J$65:INDIRECT("J"&amp;$C$61),$T55)</f>
        <v>#NUM!</v>
      </c>
      <c r="AC55" t="e">
        <f ca="1">INDEX(K$65:INDIRECT("K"&amp;$C$61),$T55)</f>
        <v>#NUM!</v>
      </c>
      <c r="AD55" t="e">
        <f ca="1">INDEX(L$65:INDIRECT("L"&amp;$C$61),$T55)</f>
        <v>#NUM!</v>
      </c>
      <c r="AE55" t="e">
        <f ca="1">INDEX(M$65:INDIRECT("M"&amp;$C$61),$T55)</f>
        <v>#NUM!</v>
      </c>
      <c r="AF55" t="e">
        <f ca="1">INDEX(N$65:INDIRECT("N"&amp;$C$61),$T55)</f>
        <v>#NUM!</v>
      </c>
      <c r="AG55" s="23" t="e">
        <f t="array" aca="1" ref="AG55" ca="1">IF(ISBLANK($AE$11),SMALL(IF($E$65:INDIRECT("E"&amp;$C$61)=$AE$10,O$65:INDIRECT(AG$13&amp;$C$61)),$AH55),IF(ISBLANK($AE$10),SMALL(IF($D$65:INDIRECT("D"&amp;$C$61)=$AE$11,O$65:INDIRECT(AG$13&amp;$C$61)),$AH55),SMALL(IF(($E$65:INDIRECT("E"&amp;$C$61)=$AE$10)*($D$65:INDIRECT("D"&amp;$C$61)=$AE$11),O$65:INDIRECT(AG$13&amp;$C$61)),$AH55)))</f>
        <v>#NUM!</v>
      </c>
      <c r="AH55" s="69">
        <v>3</v>
      </c>
      <c r="AI55" s="69" t="str">
        <f t="shared" si="5"/>
        <v>O</v>
      </c>
      <c r="AJ55" s="69" t="str">
        <f t="shared" si="5"/>
        <v>V</v>
      </c>
    </row>
    <row r="56" spans="1:49" x14ac:dyDescent="0.25">
      <c r="Q56" s="104"/>
    </row>
    <row r="57" spans="1:49" x14ac:dyDescent="0.25">
      <c r="E57" s="57"/>
      <c r="F57" s="57"/>
      <c r="G57" s="57"/>
      <c r="H57" s="57"/>
      <c r="Q57" s="104"/>
    </row>
    <row r="58" spans="1:49" x14ac:dyDescent="0.25">
      <c r="D58" s="7"/>
      <c r="E58" s="77"/>
      <c r="F58" s="77"/>
      <c r="G58" s="77"/>
      <c r="H58" s="77"/>
      <c r="I58" s="7"/>
      <c r="J58" s="7"/>
      <c r="K58" s="7"/>
      <c r="L58" s="7"/>
      <c r="M58" s="7"/>
      <c r="N58" s="7"/>
      <c r="O58" s="7"/>
      <c r="Q58" s="105"/>
      <c r="R58" s="7"/>
      <c r="S58" s="7"/>
      <c r="T58" s="7"/>
      <c r="U58" s="7"/>
      <c r="V58" s="7"/>
      <c r="W58" s="7"/>
      <c r="X58" s="7"/>
    </row>
    <row r="59" spans="1:49" x14ac:dyDescent="0.25">
      <c r="D59" s="66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8"/>
      <c r="Q59" s="105"/>
      <c r="R59" s="7"/>
      <c r="S59" s="7"/>
      <c r="T59" s="7"/>
      <c r="U59" s="7"/>
      <c r="V59" s="7"/>
      <c r="W59" s="7"/>
      <c r="X59" s="7"/>
    </row>
    <row r="60" spans="1:49" x14ac:dyDescent="0.25">
      <c r="D60" s="66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8"/>
      <c r="Q60" s="105"/>
      <c r="R60" s="7"/>
      <c r="S60" s="7"/>
      <c r="T60" s="7"/>
      <c r="U60" s="7"/>
      <c r="V60" s="7"/>
      <c r="W60" s="7"/>
      <c r="X60" s="7"/>
    </row>
    <row r="61" spans="1:49" x14ac:dyDescent="0.25">
      <c r="B61" t="s">
        <v>23</v>
      </c>
      <c r="C61" s="23">
        <f>LOOKUP(2,1/(NOT(ISBLANK(D:D))),ROW(D:D))</f>
        <v>64</v>
      </c>
      <c r="D61" s="66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8"/>
      <c r="Q61" s="105"/>
      <c r="R61" s="7"/>
      <c r="S61" s="7"/>
      <c r="T61" s="7"/>
      <c r="U61" s="7"/>
      <c r="V61" s="7"/>
      <c r="W61" s="7"/>
      <c r="X61" s="7"/>
    </row>
    <row r="62" spans="1:49" x14ac:dyDescent="0.25">
      <c r="Q62" s="104"/>
    </row>
    <row r="63" spans="1:49" x14ac:dyDescent="0.25">
      <c r="C63" s="7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Q63" s="22" t="s">
        <v>168</v>
      </c>
      <c r="R63" s="22"/>
      <c r="S63" s="22"/>
      <c r="T63" s="22"/>
      <c r="U63" s="22"/>
      <c r="V63" s="22"/>
    </row>
    <row r="64" spans="1:49" x14ac:dyDescent="0.25">
      <c r="C64" s="7"/>
      <c r="D64" t="s">
        <v>0</v>
      </c>
      <c r="E64" s="28" t="s">
        <v>191</v>
      </c>
      <c r="F64" s="28" t="s">
        <v>192</v>
      </c>
      <c r="G64" s="28" t="s">
        <v>193</v>
      </c>
      <c r="H64" s="28" t="s">
        <v>194</v>
      </c>
      <c r="I64" t="s">
        <v>129</v>
      </c>
      <c r="J64" t="s">
        <v>5</v>
      </c>
      <c r="K64" t="s">
        <v>6</v>
      </c>
      <c r="L64" t="s">
        <v>7</v>
      </c>
      <c r="M64" t="s">
        <v>8</v>
      </c>
      <c r="N64" t="s">
        <v>9</v>
      </c>
      <c r="O64" t="s">
        <v>10</v>
      </c>
      <c r="Q64" s="69" t="s">
        <v>140</v>
      </c>
      <c r="R64" s="69" t="s">
        <v>141</v>
      </c>
      <c r="S64" s="69" t="s">
        <v>142</v>
      </c>
      <c r="T64" s="69" t="s">
        <v>143</v>
      </c>
      <c r="U64" s="69" t="s">
        <v>144</v>
      </c>
      <c r="V64" s="69" t="s">
        <v>145</v>
      </c>
      <c r="AD64" s="1"/>
      <c r="AE64" s="1"/>
      <c r="AO64" s="1"/>
      <c r="AP64" s="1"/>
      <c r="AQ64" s="1"/>
      <c r="AR64" s="1"/>
      <c r="AS64" s="1"/>
      <c r="AT64" s="1"/>
      <c r="AU64" s="1"/>
      <c r="AW64" s="1"/>
    </row>
  </sheetData>
  <dataValidations count="2">
    <dataValidation type="list" showInputMessage="1" showErrorMessage="1" sqref="AE10" xr:uid="{FF29593D-2232-442C-8F48-DA6057129114}">
      <formula1>StationList</formula1>
    </dataValidation>
    <dataValidation type="list" showInputMessage="1" showErrorMessage="1" sqref="AE11" xr:uid="{5F3DA38C-31B7-49D5-93B6-1434E78B806F}">
      <formula1>MemberList</formula1>
    </dataValidation>
  </dataValidation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15DF1-4EA5-4AD1-8CF4-04CC023CDA80}">
  <sheetPr codeName="Sheet66"/>
  <dimension ref="A1:AZ65"/>
  <sheetViews>
    <sheetView zoomScale="70" zoomScaleNormal="70" workbookViewId="0"/>
  </sheetViews>
  <sheetFormatPr defaultRowHeight="15" x14ac:dyDescent="0.25"/>
  <cols>
    <col min="1" max="1" width="10.28515625" customWidth="1"/>
    <col min="2" max="2" width="11.7109375" customWidth="1"/>
    <col min="3" max="3" width="13.42578125" bestFit="1" customWidth="1"/>
    <col min="4" max="4" width="8.85546875" customWidth="1"/>
    <col min="5" max="6" width="14.85546875" bestFit="1" customWidth="1"/>
    <col min="7" max="8" width="20.5703125" bestFit="1" customWidth="1"/>
    <col min="9" max="10" width="35.7109375" customWidth="1"/>
    <col min="11" max="11" width="17.28515625" bestFit="1" customWidth="1"/>
    <col min="12" max="13" width="15.85546875" bestFit="1" customWidth="1"/>
    <col min="14" max="15" width="19.140625" bestFit="1" customWidth="1"/>
    <col min="16" max="16" width="18.85546875" customWidth="1"/>
    <col min="17" max="17" width="15.85546875" customWidth="1"/>
    <col min="18" max="21" width="15.85546875" bestFit="1" customWidth="1"/>
    <col min="22" max="22" width="16.85546875" bestFit="1" customWidth="1"/>
    <col min="23" max="23" width="16.7109375" bestFit="1" customWidth="1"/>
    <col min="24" max="24" width="13" bestFit="1" customWidth="1"/>
    <col min="25" max="25" width="20.5703125" bestFit="1" customWidth="1"/>
    <col min="26" max="26" width="14.85546875" bestFit="1" customWidth="1"/>
    <col min="27" max="27" width="35.7109375" customWidth="1"/>
    <col min="28" max="29" width="15.85546875" bestFit="1" customWidth="1"/>
    <col min="30" max="30" width="16.85546875" bestFit="1" customWidth="1"/>
    <col min="31" max="31" width="16.85546875" customWidth="1"/>
    <col min="32" max="33" width="15.85546875" bestFit="1" customWidth="1"/>
    <col min="34" max="34" width="12.5703125" customWidth="1"/>
    <col min="35" max="36" width="14.42578125" customWidth="1"/>
  </cols>
  <sheetData>
    <row r="1" spans="1:38" x14ac:dyDescent="0.25">
      <c r="A1" s="26" t="str">
        <f>'MODEL INTRO'!M19</f>
        <v>S2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</row>
    <row r="2" spans="1:38" x14ac:dyDescent="0.25">
      <c r="A2" s="27" t="str">
        <f>'STR1 Forces'!A2</f>
        <v>Column Forces</v>
      </c>
      <c r="I2" s="103" t="s">
        <v>63</v>
      </c>
      <c r="J2" s="25">
        <f ca="1">MAX(J$65:INDIRECT("G"&amp;$C$61))</f>
        <v>0</v>
      </c>
      <c r="K2" s="25">
        <f ca="1">MAX(K$65:INDIRECT("H"&amp;$C$61))</f>
        <v>0</v>
      </c>
      <c r="L2" s="25">
        <f ca="1">MAX(L$65:INDIRECT("I"&amp;$C$61))</f>
        <v>0</v>
      </c>
      <c r="M2" s="25">
        <f ca="1">MAX(M$65:INDIRECT("J"&amp;$C$61))</f>
        <v>0</v>
      </c>
      <c r="N2" s="25">
        <f ca="1">MAX(N$65:INDIRECT("K"&amp;$C$61))</f>
        <v>0</v>
      </c>
      <c r="O2" s="25">
        <f ca="1">MAX(O$65:INDIRECT("L"&amp;$C$61))</f>
        <v>0</v>
      </c>
      <c r="Q2" s="103" t="s">
        <v>64</v>
      </c>
      <c r="R2" s="25" t="e">
        <f ca="1">LARGE(J$65:INDIRECT("G"&amp;$C$61),2)</f>
        <v>#NUM!</v>
      </c>
      <c r="S2" s="25" t="e">
        <f ca="1">LARGE(K$65:INDIRECT("H"&amp;$C$61),2)</f>
        <v>#NUM!</v>
      </c>
      <c r="T2" s="25" t="e">
        <f ca="1">LARGE(L$65:INDIRECT("I"&amp;$C$61),2)</f>
        <v>#NUM!</v>
      </c>
      <c r="U2" s="25" t="e">
        <f ca="1">LARGE(M$65:INDIRECT("J"&amp;$C$61),2)</f>
        <v>#NUM!</v>
      </c>
      <c r="V2" s="25" t="e">
        <f ca="1">LARGE(N$65:INDIRECT("K"&amp;$C$61),2)</f>
        <v>#NUM!</v>
      </c>
      <c r="W2" s="25" t="e">
        <f ca="1">LARGE(O$65:INDIRECT("L"&amp;$C$61),2)</f>
        <v>#NUM!</v>
      </c>
      <c r="Y2" s="103" t="s">
        <v>65</v>
      </c>
      <c r="Z2" s="25" t="e">
        <f ca="1">LARGE(J$65:INDIRECT("G"&amp;$C$61),3)</f>
        <v>#NUM!</v>
      </c>
      <c r="AA2" s="25" t="e">
        <f ca="1">LARGE(K$65:INDIRECT("H"&amp;$C$61),3)</f>
        <v>#NUM!</v>
      </c>
      <c r="AB2" s="25" t="e">
        <f ca="1">LARGE(L$65:INDIRECT("I"&amp;$C$61),3)</f>
        <v>#NUM!</v>
      </c>
      <c r="AC2" s="25" t="e">
        <f ca="1">LARGE(M$65:INDIRECT("J"&amp;$C$61),3)</f>
        <v>#NUM!</v>
      </c>
      <c r="AD2" s="25" t="e">
        <f ca="1">LARGE(N$65:INDIRECT("K"&amp;$C$61),3)</f>
        <v>#NUM!</v>
      </c>
      <c r="AE2" s="25" t="e">
        <f ca="1">LARGE(O$65:INDIRECT("L"&amp;$C$61),3)</f>
        <v>#NUM!</v>
      </c>
      <c r="AI2" s="24" t="s">
        <v>163</v>
      </c>
    </row>
    <row r="3" spans="1:38" x14ac:dyDescent="0.25">
      <c r="A3" s="27" t="s">
        <v>260</v>
      </c>
      <c r="I3" s="103" t="s">
        <v>30</v>
      </c>
      <c r="J3" s="56" t="e">
        <f ca="1">MATCH(MAX(Q$65:INDIRECT(AB14&amp;$C$61)),Q$65:INDIRECT(AB14&amp;$C$61),0)</f>
        <v>#N/A</v>
      </c>
      <c r="K3" s="56" t="e">
        <f ca="1">MATCH(MAX(R$65:INDIRECT(AC14&amp;$C$61)),R$65:INDIRECT(AC14&amp;$C$61),0)</f>
        <v>#N/A</v>
      </c>
      <c r="L3" s="56" t="e">
        <f ca="1">MATCH(MAX(S$65:INDIRECT(AD14&amp;$C$61)),S$65:INDIRECT(AD14&amp;$C$61),0)</f>
        <v>#N/A</v>
      </c>
      <c r="M3" s="56" t="e">
        <f ca="1">MATCH(MAX(T$65:INDIRECT(AE14&amp;$C$61)),T$65:INDIRECT(AE14&amp;$C$61),0)</f>
        <v>#N/A</v>
      </c>
      <c r="N3" s="56" t="e">
        <f ca="1">MATCH(MAX(U$65:INDIRECT(AF14&amp;$C$61)),U$65:INDIRECT(AF14&amp;$C$61),0)</f>
        <v>#N/A</v>
      </c>
      <c r="O3" s="56" t="e">
        <f ca="1">MATCH(MAX(V$65:INDIRECT(AG14&amp;$C$61)),V$65:INDIRECT(AG14&amp;$C$61),0)</f>
        <v>#N/A</v>
      </c>
      <c r="Q3" s="103" t="s">
        <v>30</v>
      </c>
      <c r="R3" s="56" t="e">
        <f ca="1">MATCH(LARGE(Q$65:INDIRECT(AB14&amp;$C$61),2),Q$65:INDIRECT(AB14&amp;$C$61),0)</f>
        <v>#NUM!</v>
      </c>
      <c r="S3" s="56" t="e">
        <f ca="1">MATCH(LARGE(R$65:INDIRECT(AC14&amp;$C$61),2),R$65:INDIRECT(AC14&amp;$C$61),0)</f>
        <v>#NUM!</v>
      </c>
      <c r="T3" s="56" t="e">
        <f ca="1">MATCH(LARGE(S$65:INDIRECT(AD14&amp;$C$61),2),S$65:INDIRECT(AD14&amp;$C$61),0)</f>
        <v>#NUM!</v>
      </c>
      <c r="U3" s="56" t="e">
        <f ca="1">MATCH(LARGE(T$65:INDIRECT(AE14&amp;$C$61),2),T$65:INDIRECT(AE14&amp;$C$61),0)</f>
        <v>#NUM!</v>
      </c>
      <c r="V3" s="56" t="e">
        <f ca="1">MATCH(LARGE(U$65:INDIRECT(AF14&amp;$C$61),2),U$65:INDIRECT(AF14&amp;$C$61),0)</f>
        <v>#NUM!</v>
      </c>
      <c r="W3" s="56" t="e">
        <f ca="1">MATCH(LARGE(V$65:INDIRECT(AG14&amp;$C$61),2),V$65:INDIRECT(AG14&amp;$C$61),0)</f>
        <v>#NUM!</v>
      </c>
      <c r="Y3" s="103" t="s">
        <v>30</v>
      </c>
      <c r="Z3" s="56" t="e">
        <f ca="1">MATCH(LARGE(Q$65:INDIRECT(AB14&amp;$C$61),3),Q$65:INDIRECT(AB14&amp;$C$61),0)</f>
        <v>#NUM!</v>
      </c>
      <c r="AA3" s="56" t="e">
        <f ca="1">MATCH(LARGE(R$65:INDIRECT(AC14&amp;$C$61),3),R$65:INDIRECT(AC14&amp;$C$61),0)</f>
        <v>#NUM!</v>
      </c>
      <c r="AB3" s="56" t="e">
        <f ca="1">MATCH(LARGE(S$65:INDIRECT(AD14&amp;$C$61),3),S$65:INDIRECT(AD14&amp;$C$61),0)</f>
        <v>#NUM!</v>
      </c>
      <c r="AC3" s="56" t="e">
        <f ca="1">MATCH(LARGE(T$65:INDIRECT(AE14&amp;$C$61),3),T$65:INDIRECT(AE14&amp;$C$61),0)</f>
        <v>#NUM!</v>
      </c>
      <c r="AD3" s="56" t="e">
        <f ca="1">MATCH(LARGE(U$65:INDIRECT(AF14&amp;$C$61),3),U$65:INDIRECT(AF14&amp;$C$61),0)</f>
        <v>#NUM!</v>
      </c>
      <c r="AE3" s="56" t="e">
        <f ca="1">MATCH(LARGE(V$65:INDIRECT(AG14&amp;$C$61),3),V$65:INDIRECT(AG14&amp;$C$61),0)</f>
        <v>#NUM!</v>
      </c>
      <c r="AI3" s="24" t="s">
        <v>164</v>
      </c>
      <c r="AJ3" s="71" t="s">
        <v>146</v>
      </c>
    </row>
    <row r="4" spans="1:38" x14ac:dyDescent="0.25">
      <c r="I4" s="103"/>
      <c r="J4" s="69"/>
      <c r="K4" s="69"/>
      <c r="L4" s="69"/>
      <c r="M4" s="69"/>
      <c r="N4" s="69"/>
      <c r="O4" s="69"/>
      <c r="Q4" s="103"/>
      <c r="R4" s="69"/>
      <c r="S4" s="69"/>
      <c r="T4" s="69"/>
      <c r="U4" s="69"/>
      <c r="V4" s="69"/>
      <c r="W4" s="69"/>
      <c r="Y4" s="103"/>
      <c r="Z4" s="69"/>
      <c r="AA4" s="69"/>
      <c r="AB4" s="69"/>
      <c r="AC4" s="69"/>
      <c r="AD4" s="69"/>
      <c r="AE4" s="69"/>
      <c r="AI4" s="24" t="s">
        <v>165</v>
      </c>
      <c r="AJ4" s="71" t="s">
        <v>147</v>
      </c>
    </row>
    <row r="5" spans="1:38" x14ac:dyDescent="0.25">
      <c r="I5" s="103" t="s">
        <v>66</v>
      </c>
      <c r="J5" s="25">
        <f ca="1">MIN(J$65:INDIRECT("G"&amp;$C$61))</f>
        <v>0</v>
      </c>
      <c r="K5" s="25">
        <f ca="1">MIN(K$65:INDIRECT("H"&amp;$C$61))</f>
        <v>0</v>
      </c>
      <c r="L5" s="25">
        <f ca="1">MIN(L$65:INDIRECT("I"&amp;$C$61))</f>
        <v>0</v>
      </c>
      <c r="M5" s="25">
        <f ca="1">MIN(M$65:INDIRECT("J"&amp;$C$61))</f>
        <v>0</v>
      </c>
      <c r="N5" s="25">
        <f ca="1">MIN(N$65:INDIRECT("K"&amp;$C$61))</f>
        <v>0</v>
      </c>
      <c r="O5" s="25">
        <f ca="1">MIN(O$65:INDIRECT("L"&amp;$C$61))</f>
        <v>0</v>
      </c>
      <c r="Q5" s="103" t="s">
        <v>67</v>
      </c>
      <c r="R5" s="25" t="e">
        <f ca="1">SMALL(J$65:INDIRECT("G"&amp;$C$61),2)</f>
        <v>#NUM!</v>
      </c>
      <c r="S5" s="25" t="e">
        <f ca="1">SMALL(K$65:INDIRECT("H"&amp;$C$61),2)</f>
        <v>#NUM!</v>
      </c>
      <c r="T5" s="25" t="e">
        <f ca="1">SMALL(L$65:INDIRECT("I"&amp;$C$61),2)</f>
        <v>#NUM!</v>
      </c>
      <c r="U5" s="25" t="e">
        <f ca="1">SMALL(M$65:INDIRECT("J"&amp;$C$61),2)</f>
        <v>#NUM!</v>
      </c>
      <c r="V5" s="25" t="e">
        <f ca="1">SMALL(N$65:INDIRECT("K"&amp;$C$61),2)</f>
        <v>#NUM!</v>
      </c>
      <c r="W5" s="25" t="e">
        <f ca="1">SMALL(O$65:INDIRECT("L"&amp;$C$61),2)</f>
        <v>#NUM!</v>
      </c>
      <c r="Y5" s="103" t="s">
        <v>68</v>
      </c>
      <c r="Z5" s="25" t="e">
        <f ca="1">SMALL(J$65:INDIRECT("G"&amp;$C$61),3)</f>
        <v>#NUM!</v>
      </c>
      <c r="AA5" s="25" t="e">
        <f ca="1">SMALL(K$65:INDIRECT("H"&amp;$C$61),3)</f>
        <v>#NUM!</v>
      </c>
      <c r="AB5" s="25" t="e">
        <f ca="1">SMALL(L$65:INDIRECT("I"&amp;$C$61),3)</f>
        <v>#NUM!</v>
      </c>
      <c r="AC5" s="25" t="e">
        <f ca="1">SMALL(M$65:INDIRECT("J"&amp;$C$61),3)</f>
        <v>#NUM!</v>
      </c>
      <c r="AD5" s="25" t="e">
        <f ca="1">SMALL(N$65:INDIRECT("K"&amp;$C$61),3)</f>
        <v>#NUM!</v>
      </c>
      <c r="AE5" s="25" t="e">
        <f ca="1">SMALL(O$65:INDIRECT("L"&amp;$C$61),3)</f>
        <v>#NUM!</v>
      </c>
      <c r="AI5" s="24" t="s">
        <v>166</v>
      </c>
      <c r="AJ5" s="70" t="s">
        <v>148</v>
      </c>
    </row>
    <row r="6" spans="1:38" x14ac:dyDescent="0.25">
      <c r="I6" s="103" t="s">
        <v>30</v>
      </c>
      <c r="J6" s="56" t="e">
        <f ca="1">MATCH(MIN(Q$65:INDIRECT(AB14&amp;$C$61)),Q$65:INDIRECT(AB14&amp;$C$61),0)</f>
        <v>#N/A</v>
      </c>
      <c r="K6" s="56" t="e">
        <f ca="1">MATCH(MIN(R$65:INDIRECT(AC14&amp;$C$61)),R$65:INDIRECT(AC14&amp;$C$61),0)</f>
        <v>#N/A</v>
      </c>
      <c r="L6" s="56" t="e">
        <f ca="1">MATCH(MIN(S$65:INDIRECT(AD14&amp;$C$61)),S$65:INDIRECT(AD14&amp;$C$61),0)</f>
        <v>#N/A</v>
      </c>
      <c r="M6" s="56" t="e">
        <f ca="1">MATCH(MIN(T$65:INDIRECT(AE14&amp;$C$61)),T$65:INDIRECT(AE14&amp;$C$61),0)</f>
        <v>#N/A</v>
      </c>
      <c r="N6" s="56" t="e">
        <f ca="1">MATCH(MIN(U$65:INDIRECT(AF14&amp;$C$61)),U$65:INDIRECT(AF14&amp;$C$61),0)</f>
        <v>#N/A</v>
      </c>
      <c r="O6" s="56" t="e">
        <f ca="1">MATCH(MIN(V$65:INDIRECT(AG14&amp;$C$61)),V$65:INDIRECT(AG14&amp;$C$61),0)</f>
        <v>#N/A</v>
      </c>
      <c r="Q6" s="103" t="s">
        <v>30</v>
      </c>
      <c r="R6" s="56" t="e">
        <f ca="1">MATCH(SMALL(Q$65:INDIRECT(AB14&amp;$C$61),2),Q$65:INDIRECT(AB14&amp;$C$61),0)</f>
        <v>#NUM!</v>
      </c>
      <c r="S6" s="56" t="e">
        <f ca="1">MATCH(SMALL(R$65:INDIRECT(AC14&amp;$C$61),2),R$65:INDIRECT(AC14&amp;$C$61),0)</f>
        <v>#NUM!</v>
      </c>
      <c r="T6" s="56" t="e">
        <f ca="1">MATCH(SMALL(S$65:INDIRECT(AD14&amp;$C$61),2),S$65:INDIRECT(AD14&amp;$C$61),0)</f>
        <v>#NUM!</v>
      </c>
      <c r="U6" s="56" t="e">
        <f ca="1">MATCH(SMALL(T$65:INDIRECT(AE14&amp;$C$61),2),T$65:INDIRECT(AE14&amp;$C$61),0)</f>
        <v>#NUM!</v>
      </c>
      <c r="V6" s="56" t="e">
        <f ca="1">MATCH(SMALL(U$65:INDIRECT(AF14&amp;$C$61),2),U$65:INDIRECT(AF14&amp;$C$61),0)</f>
        <v>#NUM!</v>
      </c>
      <c r="W6" s="56" t="e">
        <f ca="1">MATCH(SMALL(V$65:INDIRECT(AG14&amp;$C$61),2),V$65:INDIRECT(AG14&amp;$C$61),0)</f>
        <v>#NUM!</v>
      </c>
      <c r="Y6" s="103" t="s">
        <v>30</v>
      </c>
      <c r="Z6" s="56" t="e">
        <f ca="1">MATCH(SMALL(Q$65:INDIRECT(AB14&amp;$C$61),3),Q$65:INDIRECT(AB14&amp;$C$61),0)</f>
        <v>#NUM!</v>
      </c>
      <c r="AA6" s="56" t="e">
        <f ca="1">MATCH(SMALL(R$65:INDIRECT(AC14&amp;$C$61),3),R$65:INDIRECT(AC14&amp;$C$61),0)</f>
        <v>#NUM!</v>
      </c>
      <c r="AB6" s="56" t="e">
        <f ca="1">MATCH(SMALL(S$65:INDIRECT(AD14&amp;$C$61),3),S$65:INDIRECT(AD14&amp;$C$61),0)</f>
        <v>#NUM!</v>
      </c>
      <c r="AC6" s="56" t="e">
        <f ca="1">MATCH(SMALL(T$65:INDIRECT(AE14&amp;$C$61),3),T$65:INDIRECT(AE14&amp;$C$61),0)</f>
        <v>#NUM!</v>
      </c>
      <c r="AD6" s="56" t="e">
        <f ca="1">MATCH(SMALL(U$65:INDIRECT(AF14&amp;$C$61),3),U$65:INDIRECT(AF14&amp;$C$61),0)</f>
        <v>#NUM!</v>
      </c>
      <c r="AE6" s="56" t="e">
        <f ca="1">MATCH(SMALL(V$65:INDIRECT(AG14&amp;$C$61),3),V$65:INDIRECT(AG14&amp;$C$61),0)</f>
        <v>#NUM!</v>
      </c>
      <c r="AI6" s="24" t="s">
        <v>167</v>
      </c>
      <c r="AJ6" s="70" t="s">
        <v>159</v>
      </c>
    </row>
    <row r="7" spans="1:38" x14ac:dyDescent="0.25">
      <c r="Q7" s="104"/>
      <c r="AJ7" s="72" t="s">
        <v>160</v>
      </c>
    </row>
    <row r="8" spans="1:38" x14ac:dyDescent="0.25">
      <c r="Q8" s="104"/>
      <c r="AJ8" t="s">
        <v>161</v>
      </c>
    </row>
    <row r="9" spans="1:38" x14ac:dyDescent="0.25">
      <c r="Q9" s="104"/>
    </row>
    <row r="10" spans="1:38" x14ac:dyDescent="0.25">
      <c r="Q10" s="104"/>
      <c r="AC10" s="23"/>
      <c r="AD10" s="64" t="s">
        <v>176</v>
      </c>
      <c r="AE10" s="76">
        <v>1</v>
      </c>
      <c r="AF10" t="s">
        <v>183</v>
      </c>
    </row>
    <row r="11" spans="1:38" x14ac:dyDescent="0.25">
      <c r="Q11" s="104"/>
      <c r="AC11" s="23"/>
      <c r="AD11" s="64" t="s">
        <v>177</v>
      </c>
      <c r="AE11" s="76">
        <v>2983</v>
      </c>
    </row>
    <row r="12" spans="1:38" x14ac:dyDescent="0.25">
      <c r="D12" s="69" t="s">
        <v>0</v>
      </c>
      <c r="E12" s="69" t="s">
        <v>266</v>
      </c>
      <c r="F12" s="106" t="s">
        <v>191</v>
      </c>
      <c r="G12" s="28" t="s">
        <v>192</v>
      </c>
      <c r="H12" s="28" t="s">
        <v>193</v>
      </c>
      <c r="I12" s="28" t="s">
        <v>194</v>
      </c>
      <c r="J12" t="s">
        <v>129</v>
      </c>
      <c r="K12" t="s">
        <v>5</v>
      </c>
      <c r="L12" t="s">
        <v>6</v>
      </c>
      <c r="M12" t="s">
        <v>7</v>
      </c>
      <c r="N12" t="s">
        <v>8</v>
      </c>
      <c r="O12" t="s">
        <v>9</v>
      </c>
      <c r="P12" t="s">
        <v>10</v>
      </c>
      <c r="Q12" s="104"/>
      <c r="T12" s="69" t="s">
        <v>122</v>
      </c>
      <c r="U12" s="69" t="s">
        <v>0</v>
      </c>
      <c r="V12" s="69" t="s">
        <v>266</v>
      </c>
      <c r="W12" s="28" t="s">
        <v>191</v>
      </c>
      <c r="X12" s="28" t="s">
        <v>192</v>
      </c>
      <c r="Y12" s="28" t="s">
        <v>193</v>
      </c>
      <c r="Z12" s="28" t="s">
        <v>194</v>
      </c>
      <c r="AA12" s="69" t="s">
        <v>129</v>
      </c>
      <c r="AB12" s="69" t="s">
        <v>123</v>
      </c>
      <c r="AC12" s="69" t="s">
        <v>124</v>
      </c>
      <c r="AD12" s="69" t="s">
        <v>125</v>
      </c>
      <c r="AE12" s="69" t="s">
        <v>126</v>
      </c>
      <c r="AF12" s="69" t="s">
        <v>127</v>
      </c>
      <c r="AG12" s="69" t="s">
        <v>128</v>
      </c>
      <c r="AH12" s="69" t="s">
        <v>153</v>
      </c>
      <c r="AI12" s="69" t="s">
        <v>149</v>
      </c>
      <c r="AJ12" s="69" t="s">
        <v>162</v>
      </c>
      <c r="AL12" s="89"/>
    </row>
    <row r="13" spans="1:38" x14ac:dyDescent="0.25">
      <c r="D13" s="69"/>
      <c r="F13" s="69"/>
      <c r="Q13" s="104"/>
      <c r="T13" s="24"/>
      <c r="AB13" s="69" t="s">
        <v>150</v>
      </c>
      <c r="AC13" s="69" t="s">
        <v>151</v>
      </c>
      <c r="AD13" s="69" t="s">
        <v>152</v>
      </c>
      <c r="AE13" s="69" t="s">
        <v>198</v>
      </c>
      <c r="AF13" s="69" t="s">
        <v>154</v>
      </c>
      <c r="AG13" s="69" t="s">
        <v>155</v>
      </c>
      <c r="AH13" s="69"/>
      <c r="AI13" s="69"/>
      <c r="AJ13" s="69"/>
    </row>
    <row r="14" spans="1:38" x14ac:dyDescent="0.25">
      <c r="C14" s="24" t="s">
        <v>30</v>
      </c>
      <c r="D14" s="69"/>
      <c r="E14" s="69"/>
      <c r="F14" s="69"/>
      <c r="Q14" s="104"/>
      <c r="T14" s="24"/>
      <c r="V14" s="69"/>
      <c r="AB14" s="69" t="s">
        <v>156</v>
      </c>
      <c r="AC14" s="69" t="s">
        <v>157</v>
      </c>
      <c r="AD14" s="69" t="s">
        <v>158</v>
      </c>
      <c r="AE14" s="69" t="s">
        <v>195</v>
      </c>
      <c r="AF14" s="69" t="s">
        <v>196</v>
      </c>
      <c r="AG14" s="69" t="s">
        <v>197</v>
      </c>
      <c r="AH14" s="69"/>
      <c r="AI14" s="69"/>
      <c r="AJ14" s="69"/>
    </row>
    <row r="15" spans="1:38" x14ac:dyDescent="0.25">
      <c r="A15" s="73" t="s">
        <v>69</v>
      </c>
      <c r="B15" s="69" t="s">
        <v>31</v>
      </c>
      <c r="C15" s="73" t="e">
        <f ca="1">J3</f>
        <v>#N/A</v>
      </c>
      <c r="D15" s="69" t="e">
        <f ca="1">INDEX(D$65:INDIRECT("D"&amp;$C$61),$C15)</f>
        <v>#N/A</v>
      </c>
      <c r="E15" s="69" t="e">
        <f ca="1">INDEX(INDIRECT(("'MemberID'!$C$6:C"&amp;MemberID!$C$1)),MATCH(D15,INDIRECT(("'MemberID'!$G$6:G"&amp;MemberID!$C$1)),0))</f>
        <v>#N/A</v>
      </c>
      <c r="F15" s="69" t="e">
        <f ca="1">INDEX(E$65:INDIRECT("E"&amp;$C$61),$C15)</f>
        <v>#N/A</v>
      </c>
      <c r="G15" t="e">
        <f ca="1">INDEX(F$65:INDIRECT("F"&amp;$C$61),$C15)</f>
        <v>#N/A</v>
      </c>
      <c r="H15" t="e">
        <f ca="1">INDEX(G$65:INDIRECT("G"&amp;$C$61),$C15)</f>
        <v>#N/A</v>
      </c>
      <c r="I15" t="e">
        <f ca="1">INDEX(H$65:INDIRECT("H"&amp;$C$61),$C15)</f>
        <v>#N/A</v>
      </c>
      <c r="J15" t="e">
        <f ca="1">INDEX(I$65:INDIRECT("I"&amp;$C$61),$C15)</f>
        <v>#N/A</v>
      </c>
      <c r="K15" s="23" t="e">
        <f ca="1">INDEX(J$65:INDIRECT("J"&amp;$C$61),$C15)</f>
        <v>#N/A</v>
      </c>
      <c r="L15" t="e">
        <f ca="1">INDEX(K$65:INDIRECT("K"&amp;$C$61),$C15)</f>
        <v>#N/A</v>
      </c>
      <c r="M15" t="e">
        <f ca="1">INDEX(L$65:INDIRECT("L"&amp;$C$61),$C15)</f>
        <v>#N/A</v>
      </c>
      <c r="N15" t="e">
        <f ca="1">INDEX(M$65:INDIRECT("M"&amp;$C$61),$C15)</f>
        <v>#N/A</v>
      </c>
      <c r="O15" t="e">
        <f ca="1">INDEX(N$65:INDIRECT("N"&amp;$C$61),$C15)</f>
        <v>#N/A</v>
      </c>
      <c r="P15" t="e">
        <f ca="1">INDEX(O$65:INDIRECT("O"&amp;$C$61),$C15)</f>
        <v>#N/A</v>
      </c>
      <c r="Q15" s="104"/>
      <c r="R15" s="73" t="s">
        <v>69</v>
      </c>
      <c r="S15" s="69" t="s">
        <v>31</v>
      </c>
      <c r="T15" s="73" t="e">
        <f t="array" aca="1" ref="T15" ca="1">MATCH(IF(ISBLANK($AE$11),LARGE(IF($E$65:INDIRECT("E"&amp;$C$61)=$AE$10,INDIRECT(AJ15&amp;65):INDIRECT(AJ15&amp;$C$61)),$AH15),IF(ISBLANK($AE$10),LARGE(IF($D$65:INDIRECT("D"&amp;$C$61)=$AE$11,INDIRECT(AJ15&amp;65):INDIRECT(AJ15&amp;$C$61)),$AH15),LARGE(IF(($E$65:INDIRECT("E"&amp;$C$61)=$AE$10)*($D$65:INDIRECT("D"&amp;$C$61)=$AE$11),INDIRECT(AJ15&amp;65):INDIRECT(AJ15&amp;$C$61)),$AH15))),INDIRECT(AJ15&amp;65):INDIRECT(AJ15&amp;$C$61),0)</f>
        <v>#NUM!</v>
      </c>
      <c r="U15" s="69" t="e">
        <f ca="1">INDEX(D$65:INDIRECT("D"&amp;$C$61),$T15)</f>
        <v>#NUM!</v>
      </c>
      <c r="V15" s="69" t="e">
        <f ca="1">INDEX(INDIRECT(("'MemberID'!$C$6:C"&amp;MemberID!$C$1)),MATCH(U15,INDIRECT(("'MemberID'!$G$6:G"&amp;MemberID!$C$1)),0))</f>
        <v>#NUM!</v>
      </c>
      <c r="W15" s="69" t="e">
        <f ca="1">INDEX(E$65:INDIRECT("E"&amp;$C$61),$T15)</f>
        <v>#NUM!</v>
      </c>
      <c r="X15" t="e">
        <f ca="1">INDEX(F$65:INDIRECT("F"&amp;$C$61),$T15)</f>
        <v>#NUM!</v>
      </c>
      <c r="Y15" t="e">
        <f ca="1">INDEX(G$65:INDIRECT("G"&amp;$C$61),$T15)</f>
        <v>#NUM!</v>
      </c>
      <c r="Z15" t="e">
        <f ca="1">INDEX(H$65:INDIRECT("H"&amp;$C$61),$T15)</f>
        <v>#NUM!</v>
      </c>
      <c r="AA15" t="e">
        <f ca="1">INDEX(I$65:INDIRECT("I"&amp;$C$61),$T15)</f>
        <v>#NUM!</v>
      </c>
      <c r="AB15" s="23" t="e">
        <f t="array" aca="1" ref="AB15" ca="1">IF(ISBLANK($AE$11),LARGE(IF($E$65:INDIRECT("E"&amp;$C$61)=$AE$10,J$65:INDIRECT(AB$13&amp;$C$61)),$AH15),IF(ISBLANK($AE$10),LARGE(IF($D$65:INDIRECT("D"&amp;$C$61)=$AE$11,J$65:INDIRECT(AB$13&amp;$C$61)),$AH15),LARGE(IF(($E$65:INDIRECT("E"&amp;$C$61)=$AE$10)*($D$65:INDIRECT("D"&amp;$C$61)=$AE$11),J$65:INDIRECT(AB$13&amp;$C$61)),$AH15)))</f>
        <v>#NUM!</v>
      </c>
      <c r="AC15" t="e">
        <f ca="1">INDEX(K$65:INDIRECT("K"&amp;$C$61),$T15)</f>
        <v>#NUM!</v>
      </c>
      <c r="AD15" t="e">
        <f ca="1">INDEX(L$65:INDIRECT("L"&amp;$C$61),$T15)</f>
        <v>#NUM!</v>
      </c>
      <c r="AE15" t="e">
        <f ca="1">INDEX(M$65:INDIRECT("M"&amp;$C$61),$T15)</f>
        <v>#NUM!</v>
      </c>
      <c r="AF15" t="e">
        <f ca="1">INDEX(N$65:INDIRECT("N"&amp;$C$61),$T15)</f>
        <v>#NUM!</v>
      </c>
      <c r="AG15" t="e">
        <f ca="1">INDEX(O$65:INDIRECT("O"&amp;$C$61),$T15)</f>
        <v>#NUM!</v>
      </c>
      <c r="AH15" s="69">
        <v>1</v>
      </c>
      <c r="AI15" s="69" t="s">
        <v>150</v>
      </c>
      <c r="AJ15" s="69" t="s">
        <v>156</v>
      </c>
    </row>
    <row r="16" spans="1:38" x14ac:dyDescent="0.25">
      <c r="A16" s="73" t="s">
        <v>70</v>
      </c>
      <c r="B16" s="69" t="s">
        <v>31</v>
      </c>
      <c r="C16" s="73" t="e">
        <f ca="1">R3</f>
        <v>#NUM!</v>
      </c>
      <c r="D16" s="69" t="e">
        <f ca="1">INDEX(D$65:INDIRECT("D"&amp;$C$61),$C16)</f>
        <v>#NUM!</v>
      </c>
      <c r="E16" s="69" t="e">
        <f ca="1">INDEX(INDIRECT(("'MemberID'!$C$6:C"&amp;MemberID!$C$1)),MATCH(D16,INDIRECT(("'MemberID'!$G$6:G"&amp;MemberID!$C$1)),0))</f>
        <v>#NUM!</v>
      </c>
      <c r="F16" s="69" t="e">
        <f ca="1">INDEX(E$65:INDIRECT("E"&amp;$C$61),$C16)</f>
        <v>#NUM!</v>
      </c>
      <c r="G16" t="e">
        <f ca="1">INDEX(F$65:INDIRECT("F"&amp;$C$61),$C16)</f>
        <v>#NUM!</v>
      </c>
      <c r="H16" t="e">
        <f ca="1">INDEX(G$65:INDIRECT("G"&amp;$C$61),$C16)</f>
        <v>#NUM!</v>
      </c>
      <c r="I16" t="e">
        <f ca="1">INDEX(H$65:INDIRECT("H"&amp;$C$61),$C16)</f>
        <v>#NUM!</v>
      </c>
      <c r="J16" t="e">
        <f ca="1">INDEX(I$65:INDIRECT("I"&amp;$C$61),$C16)</f>
        <v>#NUM!</v>
      </c>
      <c r="K16" s="23" t="e">
        <f ca="1">INDEX(J$65:INDIRECT("J"&amp;$C$61),$C16)</f>
        <v>#NUM!</v>
      </c>
      <c r="L16" t="e">
        <f ca="1">INDEX(K$65:INDIRECT("K"&amp;$C$61),$C16)</f>
        <v>#NUM!</v>
      </c>
      <c r="M16" t="e">
        <f ca="1">INDEX(L$65:INDIRECT("L"&amp;$C$61),$C16)</f>
        <v>#NUM!</v>
      </c>
      <c r="N16" t="e">
        <f ca="1">INDEX(M$65:INDIRECT("M"&amp;$C$61),$C16)</f>
        <v>#NUM!</v>
      </c>
      <c r="O16" t="e">
        <f ca="1">INDEX(N$65:INDIRECT("N"&amp;$C$61),$C16)</f>
        <v>#NUM!</v>
      </c>
      <c r="P16" t="e">
        <f ca="1">INDEX(O$65:INDIRECT("O"&amp;$C$61),$C16)</f>
        <v>#NUM!</v>
      </c>
      <c r="Q16" s="104"/>
      <c r="R16" s="73" t="s">
        <v>70</v>
      </c>
      <c r="S16" s="69" t="s">
        <v>31</v>
      </c>
      <c r="T16" s="73" t="e">
        <f t="array" aca="1" ref="T16" ca="1">MATCH(IF(ISBLANK($AE$11),LARGE(IF($E$65:INDIRECT("E"&amp;$C$61)=$AE$10,INDIRECT(AJ16&amp;65):INDIRECT(AJ16&amp;$C$61)),$AH16),IF(ISBLANK($AE$10),LARGE(IF($D$65:INDIRECT("D"&amp;$C$61)=$AE$11,INDIRECT(AJ16&amp;65):INDIRECT(AJ16&amp;$C$61)),$AH16),LARGE(IF(($E$65:INDIRECT("E"&amp;$C$61)=$AE$10)*($D$65:INDIRECT("D"&amp;$C$61)=$AE$11),INDIRECT(AJ16&amp;65):INDIRECT(AJ16&amp;$C$61)),$AH16))),INDIRECT(AJ16&amp;65):INDIRECT(AJ16&amp;$C$61),0)</f>
        <v>#NUM!</v>
      </c>
      <c r="U16" s="69" t="e">
        <f ca="1">INDEX(D$65:INDIRECT("D"&amp;$C$61),$T16)</f>
        <v>#NUM!</v>
      </c>
      <c r="V16" s="69" t="e">
        <f ca="1">INDEX(INDIRECT(("'MemberID'!$C$6:C"&amp;MemberID!$C$1)),MATCH(U16,INDIRECT(("'MemberID'!$G$6:G"&amp;MemberID!$C$1)),0))</f>
        <v>#NUM!</v>
      </c>
      <c r="W16" s="69" t="e">
        <f ca="1">INDEX(E$65:INDIRECT("E"&amp;$C$61),$T16)</f>
        <v>#NUM!</v>
      </c>
      <c r="X16" t="e">
        <f ca="1">INDEX(F$65:INDIRECT("F"&amp;$C$61),$T16)</f>
        <v>#NUM!</v>
      </c>
      <c r="Y16" t="e">
        <f ca="1">INDEX(G$65:INDIRECT("G"&amp;$C$61),$T16)</f>
        <v>#NUM!</v>
      </c>
      <c r="Z16" t="e">
        <f ca="1">INDEX(H$65:INDIRECT("H"&amp;$C$61),$T16)</f>
        <v>#NUM!</v>
      </c>
      <c r="AA16" t="e">
        <f ca="1">INDEX(I$65:INDIRECT("I"&amp;$C$61),$T16)</f>
        <v>#NUM!</v>
      </c>
      <c r="AB16" s="23" t="e">
        <f t="array" aca="1" ref="AB16" ca="1">IF(ISBLANK($AE$11),LARGE(IF($E$65:INDIRECT("E"&amp;$C$61)=$AE$10,J$65:INDIRECT(AB$13&amp;$C$61)),$AH16),IF(ISBLANK($AE$10),LARGE(IF($D$65:INDIRECT("D"&amp;$C$61)=$AE$11,J$65:INDIRECT(AB$13&amp;$C$61)),$AH16),LARGE(IF(($E$65:INDIRECT("E"&amp;$C$61)=$AE$10)*($D$65:INDIRECT("D"&amp;$C$61)=$AE$11),J$65:INDIRECT(AB$13&amp;$C$61)),$AH16)))</f>
        <v>#NUM!</v>
      </c>
      <c r="AC16" t="e">
        <f ca="1">INDEX(K$65:INDIRECT("K"&amp;$C$61),$T16)</f>
        <v>#NUM!</v>
      </c>
      <c r="AD16" t="e">
        <f ca="1">INDEX(L$65:INDIRECT("L"&amp;$C$61),$T16)</f>
        <v>#NUM!</v>
      </c>
      <c r="AE16" t="e">
        <f ca="1">INDEX(M$65:INDIRECT("M"&amp;$C$61),$T16)</f>
        <v>#NUM!</v>
      </c>
      <c r="AF16" t="e">
        <f ca="1">INDEX(N$65:INDIRECT("N"&amp;$C$61),$T16)</f>
        <v>#NUM!</v>
      </c>
      <c r="AG16" t="e">
        <f ca="1">INDEX(O$65:INDIRECT("O"&amp;$C$61),$T16)</f>
        <v>#NUM!</v>
      </c>
      <c r="AH16" s="69">
        <v>2</v>
      </c>
      <c r="AI16" s="69" t="str">
        <f>AI15</f>
        <v>J</v>
      </c>
      <c r="AJ16" s="69" t="str">
        <f>AJ15</f>
        <v>Q</v>
      </c>
    </row>
    <row r="17" spans="1:36" x14ac:dyDescent="0.25">
      <c r="A17" s="73" t="s">
        <v>71</v>
      </c>
      <c r="B17" s="69" t="s">
        <v>31</v>
      </c>
      <c r="C17" s="73" t="e">
        <f ca="1">Z3</f>
        <v>#NUM!</v>
      </c>
      <c r="D17" s="69" t="e">
        <f ca="1">INDEX(D$65:INDIRECT("D"&amp;$C$61),$C17)</f>
        <v>#NUM!</v>
      </c>
      <c r="E17" s="69" t="e">
        <f ca="1">INDEX(INDIRECT(("'MemberID'!$C$6:C"&amp;MemberID!$C$1)),MATCH(D17,INDIRECT(("'MemberID'!$G$6:G"&amp;MemberID!$C$1)),0))</f>
        <v>#NUM!</v>
      </c>
      <c r="F17" s="69" t="e">
        <f ca="1">INDEX(E$65:INDIRECT("E"&amp;$C$61),$C17)</f>
        <v>#NUM!</v>
      </c>
      <c r="G17" t="e">
        <f ca="1">INDEX(F$65:INDIRECT("F"&amp;$C$61),$C17)</f>
        <v>#NUM!</v>
      </c>
      <c r="H17" t="e">
        <f ca="1">INDEX(G$65:INDIRECT("G"&amp;$C$61),$C17)</f>
        <v>#NUM!</v>
      </c>
      <c r="I17" t="e">
        <f ca="1">INDEX(H$65:INDIRECT("H"&amp;$C$61),$C17)</f>
        <v>#NUM!</v>
      </c>
      <c r="J17" t="e">
        <f ca="1">INDEX(I$65:INDIRECT("I"&amp;$C$61),$C17)</f>
        <v>#NUM!</v>
      </c>
      <c r="K17" s="23" t="e">
        <f ca="1">INDEX(J$65:INDIRECT("J"&amp;$C$61),$C17)</f>
        <v>#NUM!</v>
      </c>
      <c r="L17" t="e">
        <f ca="1">INDEX(K$65:INDIRECT("K"&amp;$C$61),$C17)</f>
        <v>#NUM!</v>
      </c>
      <c r="M17" t="e">
        <f ca="1">INDEX(L$65:INDIRECT("L"&amp;$C$61),$C17)</f>
        <v>#NUM!</v>
      </c>
      <c r="N17" t="e">
        <f ca="1">INDEX(M$65:INDIRECT("M"&amp;$C$61),$C17)</f>
        <v>#NUM!</v>
      </c>
      <c r="O17" t="e">
        <f ca="1">INDEX(N$65:INDIRECT("N"&amp;$C$61),$C17)</f>
        <v>#NUM!</v>
      </c>
      <c r="P17" t="e">
        <f ca="1">INDEX(O$65:INDIRECT("O"&amp;$C$61),$C17)</f>
        <v>#NUM!</v>
      </c>
      <c r="Q17" s="104"/>
      <c r="R17" s="73" t="s">
        <v>71</v>
      </c>
      <c r="S17" s="69" t="s">
        <v>31</v>
      </c>
      <c r="T17" s="73" t="e">
        <f t="array" aca="1" ref="T17" ca="1">MATCH(IF(ISBLANK($AE$11),LARGE(IF($E$65:INDIRECT("E"&amp;$C$61)=$AE$10,INDIRECT(AJ17&amp;65):INDIRECT(AJ17&amp;$C$61)),$AH17),IF(ISBLANK($AE$10),LARGE(IF($D$65:INDIRECT("D"&amp;$C$61)=$AE$11,INDIRECT(AJ17&amp;65):INDIRECT(AJ17&amp;$C$61)),$AH17),LARGE(IF(($E$65:INDIRECT("E"&amp;$C$61)=$AE$10)*($D$65:INDIRECT("D"&amp;$C$61)=$AE$11),INDIRECT(AJ17&amp;65):INDIRECT(AJ17&amp;$C$61)),$AH17))),INDIRECT(AJ17&amp;65):INDIRECT(AJ17&amp;$C$61),0)</f>
        <v>#NUM!</v>
      </c>
      <c r="U17" s="69" t="e">
        <f ca="1">INDEX(D$65:INDIRECT("D"&amp;$C$61),$T17)</f>
        <v>#NUM!</v>
      </c>
      <c r="V17" s="69" t="e">
        <f ca="1">INDEX(INDIRECT(("'MemberID'!$C$6:C"&amp;MemberID!$C$1)),MATCH(U17,INDIRECT(("'MemberID'!$G$6:G"&amp;MemberID!$C$1)),0))</f>
        <v>#NUM!</v>
      </c>
      <c r="W17" s="69" t="e">
        <f ca="1">INDEX(E$65:INDIRECT("E"&amp;$C$61),$T17)</f>
        <v>#NUM!</v>
      </c>
      <c r="X17" t="e">
        <f ca="1">INDEX(F$65:INDIRECT("F"&amp;$C$61),$T17)</f>
        <v>#NUM!</v>
      </c>
      <c r="Y17" t="e">
        <f ca="1">INDEX(G$65:INDIRECT("G"&amp;$C$61),$T17)</f>
        <v>#NUM!</v>
      </c>
      <c r="Z17" t="e">
        <f ca="1">INDEX(H$65:INDIRECT("H"&amp;$C$61),$T17)</f>
        <v>#NUM!</v>
      </c>
      <c r="AA17" t="e">
        <f ca="1">INDEX(I$65:INDIRECT("I"&amp;$C$61),$T17)</f>
        <v>#NUM!</v>
      </c>
      <c r="AB17" s="23" t="e">
        <f t="array" aca="1" ref="AB17" ca="1">IF(ISBLANK($AE$11),LARGE(IF($E$65:INDIRECT("E"&amp;$C$61)=$AE$10,J$65:INDIRECT(AB$13&amp;$C$61)),$AH17),IF(ISBLANK($AE$10),LARGE(IF($D$65:INDIRECT("D"&amp;$C$61)=$AE$11,J$65:INDIRECT(AB$13&amp;$C$61)),$AH17),LARGE(IF(($E$65:INDIRECT("E"&amp;$C$61)=$AE$10)*($D$65:INDIRECT("D"&amp;$C$61)=$AE$11),J$65:INDIRECT(AB$13&amp;$C$61)),$AH17)))</f>
        <v>#NUM!</v>
      </c>
      <c r="AC17" t="e">
        <f ca="1">INDEX(K$65:INDIRECT("K"&amp;$C$61),$T17)</f>
        <v>#NUM!</v>
      </c>
      <c r="AD17" t="e">
        <f ca="1">INDEX(L$65:INDIRECT("L"&amp;$C$61),$T17)</f>
        <v>#NUM!</v>
      </c>
      <c r="AE17" t="e">
        <f ca="1">INDEX(M$65:INDIRECT("M"&amp;$C$61),$T17)</f>
        <v>#NUM!</v>
      </c>
      <c r="AF17" t="e">
        <f ca="1">INDEX(N$65:INDIRECT("N"&amp;$C$61),$T17)</f>
        <v>#NUM!</v>
      </c>
      <c r="AG17" t="e">
        <f ca="1">INDEX(O$65:INDIRECT("O"&amp;$C$61),$T17)</f>
        <v>#NUM!</v>
      </c>
      <c r="AH17" s="69">
        <v>3</v>
      </c>
      <c r="AI17" s="69" t="str">
        <f t="shared" ref="AI17:AJ20" si="0">AI16</f>
        <v>J</v>
      </c>
      <c r="AJ17" s="69" t="str">
        <f t="shared" si="0"/>
        <v>Q</v>
      </c>
    </row>
    <row r="18" spans="1:36" x14ac:dyDescent="0.25">
      <c r="A18" s="74" t="s">
        <v>72</v>
      </c>
      <c r="B18" s="69" t="s">
        <v>31</v>
      </c>
      <c r="C18" s="74" t="e">
        <f ca="1">J6</f>
        <v>#N/A</v>
      </c>
      <c r="D18" s="69" t="e">
        <f ca="1">INDEX(D$65:INDIRECT("D"&amp;$C$61),$C18)</f>
        <v>#N/A</v>
      </c>
      <c r="E18" s="69" t="e">
        <f ca="1">INDEX(INDIRECT(("'MemberID'!$C$6:C"&amp;MemberID!$C$1)),MATCH(D18,INDIRECT(("'MemberID'!$G$6:G"&amp;MemberID!$C$1)),0))</f>
        <v>#N/A</v>
      </c>
      <c r="F18" s="69" t="e">
        <f ca="1">INDEX(E$65:INDIRECT("E"&amp;$C$61),$C18)</f>
        <v>#N/A</v>
      </c>
      <c r="G18" t="e">
        <f ca="1">INDEX(F$65:INDIRECT("F"&amp;$C$61),$C18)</f>
        <v>#N/A</v>
      </c>
      <c r="H18" t="e">
        <f ca="1">INDEX(G$65:INDIRECT("G"&amp;$C$61),$C18)</f>
        <v>#N/A</v>
      </c>
      <c r="I18" t="e">
        <f ca="1">INDEX(H$65:INDIRECT("H"&amp;$C$61),$C18)</f>
        <v>#N/A</v>
      </c>
      <c r="J18" t="e">
        <f ca="1">INDEX(I$65:INDIRECT("I"&amp;$C$61),$C18)</f>
        <v>#N/A</v>
      </c>
      <c r="K18" s="23" t="e">
        <f ca="1">INDEX(J$65:INDIRECT("J"&amp;$C$61),$C18)</f>
        <v>#N/A</v>
      </c>
      <c r="L18" t="e">
        <f ca="1">INDEX(K$65:INDIRECT("K"&amp;$C$61),$C18)</f>
        <v>#N/A</v>
      </c>
      <c r="M18" t="e">
        <f ca="1">INDEX(L$65:INDIRECT("L"&amp;$C$61),$C18)</f>
        <v>#N/A</v>
      </c>
      <c r="N18" t="e">
        <f ca="1">INDEX(M$65:INDIRECT("M"&amp;$C$61),$C18)</f>
        <v>#N/A</v>
      </c>
      <c r="O18" t="e">
        <f ca="1">INDEX(N$65:INDIRECT("N"&amp;$C$61),$C18)</f>
        <v>#N/A</v>
      </c>
      <c r="P18" t="e">
        <f ca="1">INDEX(O$65:INDIRECT("O"&amp;$C$61),$C18)</f>
        <v>#N/A</v>
      </c>
      <c r="Q18" s="104"/>
      <c r="R18" s="74" t="s">
        <v>72</v>
      </c>
      <c r="S18" s="69" t="s">
        <v>31</v>
      </c>
      <c r="T18" s="74" t="e">
        <f t="array" aca="1" ref="T18" ca="1">MATCH(IF(ISBLANK($AE$11),SMALL(IF($E$65:INDIRECT("E"&amp;$C$61)=$AE$10,INDIRECT(AJ18&amp;65):INDIRECT(AJ18&amp;$C$61)),$AH18),IF(ISBLANK($AE$10),SMALL(IF($D$65:INDIRECT("D"&amp;$C$61)=$AE$11,INDIRECT(AJ18&amp;65):INDIRECT(AJ18&amp;$C$61)),$AH18),SMALL(IF(($E$65:INDIRECT("E"&amp;$C$61)=$AE$10)*($D$65:INDIRECT("D"&amp;$C$61)=$AE$11),INDIRECT(AJ18&amp;65):INDIRECT(AJ18&amp;$C$61)),$AH18))),INDIRECT(AJ18&amp;65):INDIRECT(AJ18&amp;$C$61),0)</f>
        <v>#NUM!</v>
      </c>
      <c r="U18" s="69" t="e">
        <f ca="1">INDEX(D$65:INDIRECT("D"&amp;$C$61),$T18)</f>
        <v>#NUM!</v>
      </c>
      <c r="V18" s="69" t="e">
        <f ca="1">INDEX(INDIRECT(("'MemberID'!$C$6:C"&amp;MemberID!$C$1)),MATCH(U18,INDIRECT(("'MemberID'!$G$6:G"&amp;MemberID!$C$1)),0))</f>
        <v>#NUM!</v>
      </c>
      <c r="W18" s="69" t="e">
        <f ca="1">INDEX(E$65:INDIRECT("E"&amp;$C$61),$T18)</f>
        <v>#NUM!</v>
      </c>
      <c r="X18" t="e">
        <f ca="1">INDEX(F$65:INDIRECT("F"&amp;$C$61),$T18)</f>
        <v>#NUM!</v>
      </c>
      <c r="Y18" t="e">
        <f ca="1">INDEX(G$65:INDIRECT("G"&amp;$C$61),$T18)</f>
        <v>#NUM!</v>
      </c>
      <c r="Z18" t="e">
        <f ca="1">INDEX(H$65:INDIRECT("H"&amp;$C$61),$T18)</f>
        <v>#NUM!</v>
      </c>
      <c r="AA18" t="e">
        <f ca="1">INDEX(I$65:INDIRECT("I"&amp;$C$61),$T18)</f>
        <v>#NUM!</v>
      </c>
      <c r="AB18" s="23" t="e">
        <f t="array" aca="1" ref="AB18" ca="1">IF(ISBLANK($AE$11),SMALL(IF($E$65:INDIRECT("E"&amp;$C$61)=$AE$10,J$65:INDIRECT(AB$13&amp;$C$61)),$AH18),IF(ISBLANK($AE$10),SMALL(IF($D$65:INDIRECT("D"&amp;$C$61)=$AE$11,J$65:INDIRECT(AB$13&amp;$C$61)),$AH18),SMALL(IF(($E$65:INDIRECT("E"&amp;$C$61)=$AE$10)*($D$65:INDIRECT("D"&amp;$C$61)=$AE$11),J$65:INDIRECT(AB$13&amp;$C$61)),$AH18)))</f>
        <v>#NUM!</v>
      </c>
      <c r="AC18" t="e">
        <f ca="1">INDEX(K$65:INDIRECT("K"&amp;$C$61),$T18)</f>
        <v>#NUM!</v>
      </c>
      <c r="AD18" t="e">
        <f ca="1">INDEX(L$65:INDIRECT("L"&amp;$C$61),$T18)</f>
        <v>#NUM!</v>
      </c>
      <c r="AE18" t="e">
        <f ca="1">INDEX(M$65:INDIRECT("M"&amp;$C$61),$T18)</f>
        <v>#NUM!</v>
      </c>
      <c r="AF18" t="e">
        <f ca="1">INDEX(N$65:INDIRECT("N"&amp;$C$61),$T18)</f>
        <v>#NUM!</v>
      </c>
      <c r="AG18" t="e">
        <f ca="1">INDEX(O$65:INDIRECT("O"&amp;$C$61),$T18)</f>
        <v>#NUM!</v>
      </c>
      <c r="AH18" s="69">
        <v>1</v>
      </c>
      <c r="AI18" s="69" t="str">
        <f t="shared" si="0"/>
        <v>J</v>
      </c>
      <c r="AJ18" s="69" t="str">
        <f t="shared" si="0"/>
        <v>Q</v>
      </c>
    </row>
    <row r="19" spans="1:36" x14ac:dyDescent="0.25">
      <c r="A19" s="74" t="s">
        <v>73</v>
      </c>
      <c r="B19" s="69" t="s">
        <v>31</v>
      </c>
      <c r="C19" s="74" t="e">
        <f ca="1">R6</f>
        <v>#NUM!</v>
      </c>
      <c r="D19" s="69" t="e">
        <f ca="1">INDEX(D$65:INDIRECT("D"&amp;$C$61),$C19)</f>
        <v>#NUM!</v>
      </c>
      <c r="E19" s="69" t="e">
        <f ca="1">INDEX(INDIRECT(("'MemberID'!$C$6:C"&amp;MemberID!$C$1)),MATCH(D19,INDIRECT(("'MemberID'!$G$6:G"&amp;MemberID!$C$1)),0))</f>
        <v>#NUM!</v>
      </c>
      <c r="F19" s="69" t="e">
        <f ca="1">INDEX(E$65:INDIRECT("E"&amp;$C$61),$C19)</f>
        <v>#NUM!</v>
      </c>
      <c r="G19" t="e">
        <f ca="1">INDEX(F$65:INDIRECT("F"&amp;$C$61),$C19)</f>
        <v>#NUM!</v>
      </c>
      <c r="H19" t="e">
        <f ca="1">INDEX(G$65:INDIRECT("G"&amp;$C$61),$C19)</f>
        <v>#NUM!</v>
      </c>
      <c r="I19" t="e">
        <f ca="1">INDEX(H$65:INDIRECT("H"&amp;$C$61),$C19)</f>
        <v>#NUM!</v>
      </c>
      <c r="J19" t="e">
        <f ca="1">INDEX(I$65:INDIRECT("I"&amp;$C$61),$C19)</f>
        <v>#NUM!</v>
      </c>
      <c r="K19" s="23" t="e">
        <f ca="1">INDEX(J$65:INDIRECT("J"&amp;$C$61),$C19)</f>
        <v>#NUM!</v>
      </c>
      <c r="L19" t="e">
        <f ca="1">INDEX(K$65:INDIRECT("K"&amp;$C$61),$C19)</f>
        <v>#NUM!</v>
      </c>
      <c r="M19" t="e">
        <f ca="1">INDEX(L$65:INDIRECT("L"&amp;$C$61),$C19)</f>
        <v>#NUM!</v>
      </c>
      <c r="N19" t="e">
        <f ca="1">INDEX(M$65:INDIRECT("M"&amp;$C$61),$C19)</f>
        <v>#NUM!</v>
      </c>
      <c r="O19" t="e">
        <f ca="1">INDEX(N$65:INDIRECT("N"&amp;$C$61),$C19)</f>
        <v>#NUM!</v>
      </c>
      <c r="P19" t="e">
        <f ca="1">INDEX(O$65:INDIRECT("O"&amp;$C$61),$C19)</f>
        <v>#NUM!</v>
      </c>
      <c r="Q19" s="104"/>
      <c r="R19" s="74" t="s">
        <v>73</v>
      </c>
      <c r="S19" s="69" t="s">
        <v>31</v>
      </c>
      <c r="T19" s="74" t="e">
        <f t="array" aca="1" ref="T19" ca="1">MATCH(IF(ISBLANK($AE$11),SMALL(IF($E$65:INDIRECT("E"&amp;$C$61)=$AE$10,INDIRECT(AJ19&amp;65):INDIRECT(AJ19&amp;$C$61)),$AH19),IF(ISBLANK($AE$10),SMALL(IF($D$65:INDIRECT("D"&amp;$C$61)=$AE$11,INDIRECT(AJ19&amp;65):INDIRECT(AJ19&amp;$C$61)),$AH19),SMALL(IF(($E$65:INDIRECT("E"&amp;$C$61)=$AE$10)*($D$65:INDIRECT("D"&amp;$C$61)=$AE$11),INDIRECT(AJ19&amp;65):INDIRECT(AJ19&amp;$C$61)),$AH19))),INDIRECT(AJ19&amp;65):INDIRECT(AJ19&amp;$C$61),0)</f>
        <v>#NUM!</v>
      </c>
      <c r="U19" s="69" t="e">
        <f ca="1">INDEX(D$65:INDIRECT("D"&amp;$C$61),$T19)</f>
        <v>#NUM!</v>
      </c>
      <c r="V19" s="69" t="e">
        <f ca="1">INDEX(INDIRECT(("'MemberID'!$C$6:C"&amp;MemberID!$C$1)),MATCH(U19,INDIRECT(("'MemberID'!$G$6:G"&amp;MemberID!$C$1)),0))</f>
        <v>#NUM!</v>
      </c>
      <c r="W19" s="69" t="e">
        <f ca="1">INDEX(E$65:INDIRECT("E"&amp;$C$61),$T19)</f>
        <v>#NUM!</v>
      </c>
      <c r="X19" t="e">
        <f ca="1">INDEX(F$65:INDIRECT("F"&amp;$C$61),$T19)</f>
        <v>#NUM!</v>
      </c>
      <c r="Y19" t="e">
        <f ca="1">INDEX(G$65:INDIRECT("G"&amp;$C$61),$T19)</f>
        <v>#NUM!</v>
      </c>
      <c r="Z19" t="e">
        <f ca="1">INDEX(H$65:INDIRECT("H"&amp;$C$61),$T19)</f>
        <v>#NUM!</v>
      </c>
      <c r="AA19" t="e">
        <f ca="1">INDEX(I$65:INDIRECT("I"&amp;$C$61),$T19)</f>
        <v>#NUM!</v>
      </c>
      <c r="AB19" s="23" t="e">
        <f t="array" aca="1" ref="AB19" ca="1">IF(ISBLANK($AE$11),SMALL(IF($E$65:INDIRECT("E"&amp;$C$61)=$AE$10,J$65:INDIRECT(AB$13&amp;$C$61)),$AH19),IF(ISBLANK($AE$10),SMALL(IF($D$65:INDIRECT("D"&amp;$C$61)=$AE$11,J$65:INDIRECT(AB$13&amp;$C$61)),$AH19),SMALL(IF(($E$65:INDIRECT("E"&amp;$C$61)=$AE$10)*($D$65:INDIRECT("D"&amp;$C$61)=$AE$11),J$65:INDIRECT(AB$13&amp;$C$61)),$AH19)))</f>
        <v>#NUM!</v>
      </c>
      <c r="AC19" t="e">
        <f ca="1">INDEX(K$65:INDIRECT("K"&amp;$C$61),$T19)</f>
        <v>#NUM!</v>
      </c>
      <c r="AD19" t="e">
        <f ca="1">INDEX(L$65:INDIRECT("L"&amp;$C$61),$T19)</f>
        <v>#NUM!</v>
      </c>
      <c r="AE19" t="e">
        <f ca="1">INDEX(M$65:INDIRECT("M"&amp;$C$61),$T19)</f>
        <v>#NUM!</v>
      </c>
      <c r="AF19" t="e">
        <f ca="1">INDEX(N$65:INDIRECT("N"&amp;$C$61),$T19)</f>
        <v>#NUM!</v>
      </c>
      <c r="AG19" t="e">
        <f ca="1">INDEX(O$65:INDIRECT("O"&amp;$C$61),$T19)</f>
        <v>#NUM!</v>
      </c>
      <c r="AH19" s="69">
        <v>2</v>
      </c>
      <c r="AI19" s="69" t="str">
        <f t="shared" si="0"/>
        <v>J</v>
      </c>
      <c r="AJ19" s="69" t="str">
        <f t="shared" si="0"/>
        <v>Q</v>
      </c>
    </row>
    <row r="20" spans="1:36" x14ac:dyDescent="0.25">
      <c r="A20" s="74" t="s">
        <v>74</v>
      </c>
      <c r="B20" s="69" t="s">
        <v>31</v>
      </c>
      <c r="C20" s="74" t="e">
        <f ca="1">Z6</f>
        <v>#NUM!</v>
      </c>
      <c r="D20" s="69" t="e">
        <f ca="1">INDEX(D$65:INDIRECT("D"&amp;$C$61),$C20)</f>
        <v>#NUM!</v>
      </c>
      <c r="E20" s="69" t="e">
        <f ca="1">INDEX(INDIRECT(("'MemberID'!$C$6:C"&amp;MemberID!$C$1)),MATCH(D20,INDIRECT(("'MemberID'!$G$6:G"&amp;MemberID!$C$1)),0))</f>
        <v>#NUM!</v>
      </c>
      <c r="F20" s="69" t="e">
        <f ca="1">INDEX(E$65:INDIRECT("E"&amp;$C$61),$C20)</f>
        <v>#NUM!</v>
      </c>
      <c r="G20" t="e">
        <f ca="1">INDEX(F$65:INDIRECT("F"&amp;$C$61),$C20)</f>
        <v>#NUM!</v>
      </c>
      <c r="H20" t="e">
        <f ca="1">INDEX(G$65:INDIRECT("G"&amp;$C$61),$C20)</f>
        <v>#NUM!</v>
      </c>
      <c r="I20" t="e">
        <f ca="1">INDEX(H$65:INDIRECT("H"&amp;$C$61),$C20)</f>
        <v>#NUM!</v>
      </c>
      <c r="J20" t="e">
        <f ca="1">INDEX(I$65:INDIRECT("I"&amp;$C$61),$C20)</f>
        <v>#NUM!</v>
      </c>
      <c r="K20" s="23" t="e">
        <f ca="1">INDEX(J$65:INDIRECT("J"&amp;$C$61),$C20)</f>
        <v>#NUM!</v>
      </c>
      <c r="L20" t="e">
        <f ca="1">INDEX(K$65:INDIRECT("K"&amp;$C$61),$C20)</f>
        <v>#NUM!</v>
      </c>
      <c r="M20" t="e">
        <f ca="1">INDEX(L$65:INDIRECT("L"&amp;$C$61),$C20)</f>
        <v>#NUM!</v>
      </c>
      <c r="N20" t="e">
        <f ca="1">INDEX(M$65:INDIRECT("M"&amp;$C$61),$C20)</f>
        <v>#NUM!</v>
      </c>
      <c r="O20" t="e">
        <f ca="1">INDEX(N$65:INDIRECT("N"&amp;$C$61),$C20)</f>
        <v>#NUM!</v>
      </c>
      <c r="P20" t="e">
        <f ca="1">INDEX(O$65:INDIRECT("O"&amp;$C$61),$C20)</f>
        <v>#NUM!</v>
      </c>
      <c r="Q20" s="104"/>
      <c r="R20" s="74" t="s">
        <v>74</v>
      </c>
      <c r="S20" s="69" t="s">
        <v>31</v>
      </c>
      <c r="T20" s="74" t="e">
        <f t="array" aca="1" ref="T20" ca="1">MATCH(IF(ISBLANK($AE$11),SMALL(IF($E$65:INDIRECT("E"&amp;$C$61)=$AE$10,INDIRECT(AJ20&amp;65):INDIRECT(AJ20&amp;$C$61)),$AH20),IF(ISBLANK($AE$10),SMALL(IF($D$65:INDIRECT("D"&amp;$C$61)=$AE$11,INDIRECT(AJ20&amp;65):INDIRECT(AJ20&amp;$C$61)),$AH20),SMALL(IF(($E$65:INDIRECT("E"&amp;$C$61)=$AE$10)*($D$65:INDIRECT("D"&amp;$C$61)=$AE$11),INDIRECT(AJ20&amp;65):INDIRECT(AJ20&amp;$C$61)),$AH20))),INDIRECT(AJ20&amp;65):INDIRECT(AJ20&amp;$C$61),0)</f>
        <v>#NUM!</v>
      </c>
      <c r="U20" s="69" t="e">
        <f ca="1">INDEX(D$65:INDIRECT("D"&amp;$C$61),$T20)</f>
        <v>#NUM!</v>
      </c>
      <c r="V20" s="69" t="e">
        <f ca="1">INDEX(INDIRECT(("'MemberID'!$C$6:C"&amp;MemberID!$C$1)),MATCH(U20,INDIRECT(("'MemberID'!$G$6:G"&amp;MemberID!$C$1)),0))</f>
        <v>#NUM!</v>
      </c>
      <c r="W20" s="69" t="e">
        <f ca="1">INDEX(E$65:INDIRECT("E"&amp;$C$61),$T20)</f>
        <v>#NUM!</v>
      </c>
      <c r="X20" t="e">
        <f ca="1">INDEX(F$65:INDIRECT("F"&amp;$C$61),$T20)</f>
        <v>#NUM!</v>
      </c>
      <c r="Y20" t="e">
        <f ca="1">INDEX(G$65:INDIRECT("G"&amp;$C$61),$T20)</f>
        <v>#NUM!</v>
      </c>
      <c r="Z20" t="e">
        <f ca="1">INDEX(H$65:INDIRECT("H"&amp;$C$61),$T20)</f>
        <v>#NUM!</v>
      </c>
      <c r="AA20" t="e">
        <f ca="1">INDEX(I$65:INDIRECT("I"&amp;$C$61),$T20)</f>
        <v>#NUM!</v>
      </c>
      <c r="AB20" s="23" t="e">
        <f t="array" aca="1" ref="AB20" ca="1">IF(ISBLANK($AE$11),SMALL(IF($E$65:INDIRECT("E"&amp;$C$61)=$AE$10,J$65:INDIRECT(AB$13&amp;$C$61)),$AH20),IF(ISBLANK($AE$10),SMALL(IF($D$65:INDIRECT("D"&amp;$C$61)=$AE$11,J$65:INDIRECT(AB$13&amp;$C$61)),$AH20),SMALL(IF(($E$65:INDIRECT("E"&amp;$C$61)=$AE$10)*($D$65:INDIRECT("D"&amp;$C$61)=$AE$11),J$65:INDIRECT(AB$13&amp;$C$61)),$AH20)))</f>
        <v>#NUM!</v>
      </c>
      <c r="AC20" t="e">
        <f ca="1">INDEX(K$65:INDIRECT("K"&amp;$C$61),$T20)</f>
        <v>#NUM!</v>
      </c>
      <c r="AD20" t="e">
        <f ca="1">INDEX(L$65:INDIRECT("L"&amp;$C$61),$T20)</f>
        <v>#NUM!</v>
      </c>
      <c r="AE20" t="e">
        <f ca="1">INDEX(M$65:INDIRECT("M"&amp;$C$61),$T20)</f>
        <v>#NUM!</v>
      </c>
      <c r="AF20" t="e">
        <f ca="1">INDEX(N$65:INDIRECT("N"&amp;$C$61),$T20)</f>
        <v>#NUM!</v>
      </c>
      <c r="AG20" t="e">
        <f ca="1">INDEX(O$65:INDIRECT("O"&amp;$C$61),$T20)</f>
        <v>#NUM!</v>
      </c>
      <c r="AH20" s="69">
        <v>3</v>
      </c>
      <c r="AI20" s="69" t="str">
        <f t="shared" si="0"/>
        <v>J</v>
      </c>
      <c r="AJ20" s="69" t="str">
        <f t="shared" si="0"/>
        <v>Q</v>
      </c>
    </row>
    <row r="21" spans="1:36" x14ac:dyDescent="0.25">
      <c r="A21" s="5"/>
      <c r="B21" s="69"/>
      <c r="C21" s="69"/>
      <c r="D21" s="69"/>
      <c r="E21" s="69"/>
      <c r="F21" s="69"/>
      <c r="J21" s="7"/>
      <c r="K21" s="7"/>
      <c r="L21" s="7"/>
      <c r="Q21" s="104"/>
      <c r="R21" s="5"/>
      <c r="S21" s="69"/>
      <c r="T21" s="69"/>
      <c r="V21" s="69"/>
      <c r="W21" s="69"/>
      <c r="AH21" s="69"/>
      <c r="AI21" s="69"/>
      <c r="AJ21" s="69"/>
    </row>
    <row r="22" spans="1:36" x14ac:dyDescent="0.25">
      <c r="A22" s="73" t="s">
        <v>69</v>
      </c>
      <c r="B22" s="69" t="s">
        <v>32</v>
      </c>
      <c r="C22" s="73" t="e">
        <f ca="1">K3</f>
        <v>#N/A</v>
      </c>
      <c r="D22" s="69" t="e">
        <f ca="1">INDEX(D$65:INDIRECT("D"&amp;$C$61),$C22)</f>
        <v>#N/A</v>
      </c>
      <c r="E22" s="69" t="e">
        <f ca="1">INDEX(INDIRECT(("'MemberID'!$C$6:C"&amp;MemberID!$C$1)),MATCH(D22,INDIRECT(("'MemberID'!$G$6:G"&amp;MemberID!$C$1)),0))</f>
        <v>#N/A</v>
      </c>
      <c r="F22" s="69" t="e">
        <f ca="1">INDEX(E$65:INDIRECT("E"&amp;$C$61),$C22)</f>
        <v>#N/A</v>
      </c>
      <c r="G22" t="e">
        <f ca="1">INDEX(F$65:INDIRECT("F"&amp;$C$61),$C22)</f>
        <v>#N/A</v>
      </c>
      <c r="H22" t="e">
        <f ca="1">INDEX(G$65:INDIRECT("G"&amp;$C$61),$C22)</f>
        <v>#N/A</v>
      </c>
      <c r="I22" t="e">
        <f ca="1">INDEX(H$65:INDIRECT("H"&amp;$C$61),$C22)</f>
        <v>#N/A</v>
      </c>
      <c r="J22" t="e">
        <f ca="1">INDEX(I$65:INDIRECT("I"&amp;$C$61),$C22)</f>
        <v>#N/A</v>
      </c>
      <c r="K22" s="7" t="e">
        <f ca="1">INDEX(J$65:INDIRECT("J"&amp;$C$61),$C22)</f>
        <v>#N/A</v>
      </c>
      <c r="L22" s="23" t="e">
        <f ca="1">INDEX(K$65:INDIRECT("K"&amp;$C$61),$C22)</f>
        <v>#N/A</v>
      </c>
      <c r="M22" t="e">
        <f ca="1">INDEX(L$65:INDIRECT("L"&amp;$C$61),$C22)</f>
        <v>#N/A</v>
      </c>
      <c r="N22" t="e">
        <f ca="1">INDEX(M$65:INDIRECT("M"&amp;$C$61),$C22)</f>
        <v>#N/A</v>
      </c>
      <c r="O22" t="e">
        <f ca="1">INDEX(N$65:INDIRECT("N"&amp;$C$61),$C22)</f>
        <v>#N/A</v>
      </c>
      <c r="P22" t="e">
        <f ca="1">INDEX(O$65:INDIRECT("O"&amp;$C$61),$C22)</f>
        <v>#N/A</v>
      </c>
      <c r="Q22" s="104"/>
      <c r="R22" s="73" t="s">
        <v>69</v>
      </c>
      <c r="S22" s="69" t="s">
        <v>32</v>
      </c>
      <c r="T22" s="73" t="e">
        <f t="array" aca="1" ref="T22" ca="1">MATCH(IF(ISBLANK($AE$11),LARGE(IF($E$65:INDIRECT("E"&amp;$C$61)=$AE$10,INDIRECT(AJ22&amp;65):INDIRECT(AJ22&amp;$C$61)),$AH22),IF(ISBLANK($AE$10),LARGE(IF($D$65:INDIRECT("D"&amp;$C$61)=$AE$11,INDIRECT(AJ22&amp;65):INDIRECT(AJ22&amp;$C$61)),$AH22),LARGE(IF(($E$65:INDIRECT("E"&amp;$C$61)=$AE$10)*($D$65:INDIRECT("D"&amp;$C$61)=$AE$11),INDIRECT(AJ22&amp;65):INDIRECT(AJ22&amp;$C$61)),$AH22))),INDIRECT(AJ22&amp;65):INDIRECT(AJ22&amp;$C$61),0)</f>
        <v>#NUM!</v>
      </c>
      <c r="U22" s="69" t="e">
        <f ca="1">INDEX(D$65:INDIRECT("D"&amp;$C$61),$T22)</f>
        <v>#NUM!</v>
      </c>
      <c r="V22" s="69" t="e">
        <f ca="1">INDEX(INDIRECT(("'MemberID'!$C$6:C"&amp;MemberID!$C$1)),MATCH(U22,INDIRECT(("'MemberID'!$G$6:G"&amp;MemberID!$C$1)),0))</f>
        <v>#NUM!</v>
      </c>
      <c r="W22" s="69" t="e">
        <f ca="1">INDEX(E$65:INDIRECT("E"&amp;$C$61),$T22)</f>
        <v>#NUM!</v>
      </c>
      <c r="X22" t="e">
        <f ca="1">INDEX(F$65:INDIRECT("F"&amp;$C$61),$T22)</f>
        <v>#NUM!</v>
      </c>
      <c r="Y22" t="e">
        <f ca="1">INDEX(G$65:INDIRECT("G"&amp;$C$61),$T22)</f>
        <v>#NUM!</v>
      </c>
      <c r="Z22" t="e">
        <f ca="1">INDEX(H$65:INDIRECT("H"&amp;$C$61),$T22)</f>
        <v>#NUM!</v>
      </c>
      <c r="AA22" t="e">
        <f ca="1">INDEX(I$65:INDIRECT("I"&amp;$C$61),$T22)</f>
        <v>#NUM!</v>
      </c>
      <c r="AB22" t="e">
        <f ca="1">INDEX(J$65:INDIRECT("J"&amp;$C$61),$T22)</f>
        <v>#NUM!</v>
      </c>
      <c r="AC22" s="23" t="e">
        <f t="array" aca="1" ref="AC22" ca="1">IF(ISBLANK($AE$11),LARGE(IF($E$65:INDIRECT("E"&amp;$C$61)=$AE$10,K$65:INDIRECT(AC$13&amp;$C$61)),$AH22),IF(ISBLANK($AE$10),LARGE(IF($D$65:INDIRECT("D"&amp;$C$61)=$AE$11,K$65:INDIRECT(AC$13&amp;$C$61)),$AH22),LARGE(IF(($E$65:INDIRECT("E"&amp;$C$61)=$AE$10)*($D$65:INDIRECT("D"&amp;$C$61)=$AE$11),K$65:INDIRECT(AC$13&amp;$C$61)),$AH22)))</f>
        <v>#NUM!</v>
      </c>
      <c r="AD22" t="e">
        <f ca="1">INDEX(L$65:INDIRECT("L"&amp;$C$61),$T22)</f>
        <v>#NUM!</v>
      </c>
      <c r="AE22" t="e">
        <f ca="1">INDEX(M$65:INDIRECT("M"&amp;$C$61),$T22)</f>
        <v>#NUM!</v>
      </c>
      <c r="AF22" t="e">
        <f ca="1">INDEX(N$65:INDIRECT("N"&amp;$C$61),$T22)</f>
        <v>#NUM!</v>
      </c>
      <c r="AG22" t="e">
        <f ca="1">INDEX(O$65:INDIRECT("O"&amp;$C$61),$T22)</f>
        <v>#NUM!</v>
      </c>
      <c r="AH22" s="69">
        <v>1</v>
      </c>
      <c r="AI22" s="69" t="s">
        <v>151</v>
      </c>
      <c r="AJ22" s="69" t="s">
        <v>157</v>
      </c>
    </row>
    <row r="23" spans="1:36" x14ac:dyDescent="0.25">
      <c r="A23" s="73" t="s">
        <v>70</v>
      </c>
      <c r="B23" s="69" t="s">
        <v>32</v>
      </c>
      <c r="C23" s="73" t="e">
        <f ca="1">S3</f>
        <v>#NUM!</v>
      </c>
      <c r="D23" s="69" t="e">
        <f ca="1">INDEX(D$65:INDIRECT("D"&amp;$C$61),$C23)</f>
        <v>#NUM!</v>
      </c>
      <c r="E23" s="69" t="e">
        <f ca="1">INDEX(INDIRECT(("'MemberID'!$C$6:C"&amp;MemberID!$C$1)),MATCH(D23,INDIRECT(("'MemberID'!$G$6:G"&amp;MemberID!$C$1)),0))</f>
        <v>#NUM!</v>
      </c>
      <c r="F23" s="69" t="e">
        <f ca="1">INDEX(E$65:INDIRECT("E"&amp;$C$61),$C23)</f>
        <v>#NUM!</v>
      </c>
      <c r="G23" t="e">
        <f ca="1">INDEX(F$65:INDIRECT("F"&amp;$C$61),$C23)</f>
        <v>#NUM!</v>
      </c>
      <c r="H23" t="e">
        <f ca="1">INDEX(G$65:INDIRECT("G"&amp;$C$61),$C23)</f>
        <v>#NUM!</v>
      </c>
      <c r="I23" t="e">
        <f ca="1">INDEX(H$65:INDIRECT("H"&amp;$C$61),$C23)</f>
        <v>#NUM!</v>
      </c>
      <c r="J23" t="e">
        <f ca="1">INDEX(I$65:INDIRECT("I"&amp;$C$61),$C23)</f>
        <v>#NUM!</v>
      </c>
      <c r="K23" s="7" t="e">
        <f ca="1">INDEX(J$65:INDIRECT("J"&amp;$C$61),$C23)</f>
        <v>#NUM!</v>
      </c>
      <c r="L23" s="23" t="e">
        <f ca="1">INDEX(K$65:INDIRECT("K"&amp;$C$61),$C23)</f>
        <v>#NUM!</v>
      </c>
      <c r="M23" t="e">
        <f ca="1">INDEX(L$65:INDIRECT("L"&amp;$C$61),$C23)</f>
        <v>#NUM!</v>
      </c>
      <c r="N23" t="e">
        <f ca="1">INDEX(M$65:INDIRECT("M"&amp;$C$61),$C23)</f>
        <v>#NUM!</v>
      </c>
      <c r="O23" t="e">
        <f ca="1">INDEX(N$65:INDIRECT("N"&amp;$C$61),$C23)</f>
        <v>#NUM!</v>
      </c>
      <c r="P23" t="e">
        <f ca="1">INDEX(O$65:INDIRECT("O"&amp;$C$61),$C23)</f>
        <v>#NUM!</v>
      </c>
      <c r="Q23" s="104"/>
      <c r="R23" s="73" t="s">
        <v>70</v>
      </c>
      <c r="S23" s="69" t="s">
        <v>32</v>
      </c>
      <c r="T23" s="73" t="e">
        <f t="array" aca="1" ref="T23" ca="1">MATCH(IF(ISBLANK($AE$11),LARGE(IF($E$65:INDIRECT("E"&amp;$C$61)=$AE$10,INDIRECT(AJ23&amp;65):INDIRECT(AJ23&amp;$C$61)),$AH23),IF(ISBLANK($AE$10),LARGE(IF($D$65:INDIRECT("D"&amp;$C$61)=$AE$11,INDIRECT(AJ23&amp;65):INDIRECT(AJ23&amp;$C$61)),$AH23),LARGE(IF(($E$65:INDIRECT("E"&amp;$C$61)=$AE$10)*($D$65:INDIRECT("D"&amp;$C$61)=$AE$11),INDIRECT(AJ23&amp;65):INDIRECT(AJ23&amp;$C$61)),$AH23))),INDIRECT(AJ23&amp;65):INDIRECT(AJ23&amp;$C$61),0)</f>
        <v>#NUM!</v>
      </c>
      <c r="U23" s="69" t="e">
        <f ca="1">INDEX(D$65:INDIRECT("D"&amp;$C$61),$T23)</f>
        <v>#NUM!</v>
      </c>
      <c r="V23" s="69" t="e">
        <f ca="1">INDEX(INDIRECT(("'MemberID'!$C$6:C"&amp;MemberID!$C$1)),MATCH(U23,INDIRECT(("'MemberID'!$G$6:G"&amp;MemberID!$C$1)),0))</f>
        <v>#NUM!</v>
      </c>
      <c r="W23" s="69" t="e">
        <f ca="1">INDEX(E$65:INDIRECT("E"&amp;$C$61),$T23)</f>
        <v>#NUM!</v>
      </c>
      <c r="X23" t="e">
        <f ca="1">INDEX(F$65:INDIRECT("F"&amp;$C$61),$T23)</f>
        <v>#NUM!</v>
      </c>
      <c r="Y23" t="e">
        <f ca="1">INDEX(G$65:INDIRECT("G"&amp;$C$61),$T23)</f>
        <v>#NUM!</v>
      </c>
      <c r="Z23" t="e">
        <f ca="1">INDEX(H$65:INDIRECT("H"&amp;$C$61),$T23)</f>
        <v>#NUM!</v>
      </c>
      <c r="AA23" t="e">
        <f ca="1">INDEX(I$65:INDIRECT("I"&amp;$C$61),$T23)</f>
        <v>#NUM!</v>
      </c>
      <c r="AB23" t="e">
        <f ca="1">INDEX(J$65:INDIRECT("J"&amp;$C$61),$T23)</f>
        <v>#NUM!</v>
      </c>
      <c r="AC23" s="23" t="e">
        <f t="array" aca="1" ref="AC23" ca="1">IF(ISBLANK($AE$11),LARGE(IF($E$65:INDIRECT("E"&amp;$C$61)=$AE$10,K$65:INDIRECT(AC$13&amp;$C$61)),$AH23),IF(ISBLANK($AE$10),LARGE(IF($D$65:INDIRECT("D"&amp;$C$61)=$AE$11,K$65:INDIRECT(AC$13&amp;$C$61)),$AH23),LARGE(IF(($E$65:INDIRECT("E"&amp;$C$61)=$AE$10)*($D$65:INDIRECT("D"&amp;$C$61)=$AE$11),K$65:INDIRECT(AC$13&amp;$C$61)),$AH23)))</f>
        <v>#NUM!</v>
      </c>
      <c r="AD23" t="e">
        <f ca="1">INDEX(L$65:INDIRECT("L"&amp;$C$61),$T23)</f>
        <v>#NUM!</v>
      </c>
      <c r="AE23" t="e">
        <f ca="1">INDEX(M$65:INDIRECT("M"&amp;$C$61),$T23)</f>
        <v>#NUM!</v>
      </c>
      <c r="AF23" t="e">
        <f ca="1">INDEX(N$65:INDIRECT("N"&amp;$C$61),$T23)</f>
        <v>#NUM!</v>
      </c>
      <c r="AG23" t="e">
        <f ca="1">INDEX(O$65:INDIRECT("O"&amp;$C$61),$T23)</f>
        <v>#NUM!</v>
      </c>
      <c r="AH23" s="69">
        <v>2</v>
      </c>
      <c r="AI23" s="69" t="str">
        <f>AI22</f>
        <v>K</v>
      </c>
      <c r="AJ23" s="69" t="str">
        <f>AJ22</f>
        <v>R</v>
      </c>
    </row>
    <row r="24" spans="1:36" x14ac:dyDescent="0.25">
      <c r="A24" s="73" t="s">
        <v>71</v>
      </c>
      <c r="B24" s="69" t="s">
        <v>32</v>
      </c>
      <c r="C24" s="73" t="e">
        <f ca="1">AA3</f>
        <v>#NUM!</v>
      </c>
      <c r="D24" s="69" t="e">
        <f ca="1">INDEX(D$65:INDIRECT("D"&amp;$C$61),$C24)</f>
        <v>#NUM!</v>
      </c>
      <c r="E24" s="69" t="e">
        <f ca="1">INDEX(INDIRECT(("'MemberID'!$C$6:C"&amp;MemberID!$C$1)),MATCH(D24,INDIRECT(("'MemberID'!$G$6:G"&amp;MemberID!$C$1)),0))</f>
        <v>#NUM!</v>
      </c>
      <c r="F24" s="69" t="e">
        <f ca="1">INDEX(E$65:INDIRECT("E"&amp;$C$61),$C24)</f>
        <v>#NUM!</v>
      </c>
      <c r="G24" t="e">
        <f ca="1">INDEX(F$65:INDIRECT("F"&amp;$C$61),$C24)</f>
        <v>#NUM!</v>
      </c>
      <c r="H24" t="e">
        <f ca="1">INDEX(G$65:INDIRECT("G"&amp;$C$61),$C24)</f>
        <v>#NUM!</v>
      </c>
      <c r="I24" t="e">
        <f ca="1">INDEX(H$65:INDIRECT("H"&amp;$C$61),$C24)</f>
        <v>#NUM!</v>
      </c>
      <c r="J24" t="e">
        <f ca="1">INDEX(I$65:INDIRECT("I"&amp;$C$61),$C24)</f>
        <v>#NUM!</v>
      </c>
      <c r="K24" s="7" t="e">
        <f ca="1">INDEX(J$65:INDIRECT("J"&amp;$C$61),$C24)</f>
        <v>#NUM!</v>
      </c>
      <c r="L24" s="23" t="e">
        <f ca="1">INDEX(K$65:INDIRECT("K"&amp;$C$61),$C24)</f>
        <v>#NUM!</v>
      </c>
      <c r="M24" t="e">
        <f ca="1">INDEX(L$65:INDIRECT("L"&amp;$C$61),$C24)</f>
        <v>#NUM!</v>
      </c>
      <c r="N24" t="e">
        <f ca="1">INDEX(M$65:INDIRECT("M"&amp;$C$61),$C24)</f>
        <v>#NUM!</v>
      </c>
      <c r="O24" t="e">
        <f ca="1">INDEX(N$65:INDIRECT("N"&amp;$C$61),$C24)</f>
        <v>#NUM!</v>
      </c>
      <c r="P24" t="e">
        <f ca="1">INDEX(O$65:INDIRECT("O"&amp;$C$61),$C24)</f>
        <v>#NUM!</v>
      </c>
      <c r="Q24" s="104"/>
      <c r="R24" s="73" t="s">
        <v>71</v>
      </c>
      <c r="S24" s="69" t="s">
        <v>32</v>
      </c>
      <c r="T24" s="73" t="e">
        <f t="array" aca="1" ref="T24" ca="1">MATCH(IF(ISBLANK($AE$11),LARGE(IF($E$65:INDIRECT("E"&amp;$C$61)=$AE$10,INDIRECT(AJ24&amp;65):INDIRECT(AJ24&amp;$C$61)),$AH24),IF(ISBLANK($AE$10),LARGE(IF($D$65:INDIRECT("D"&amp;$C$61)=$AE$11,INDIRECT(AJ24&amp;65):INDIRECT(AJ24&amp;$C$61)),$AH24),LARGE(IF(($E$65:INDIRECT("E"&amp;$C$61)=$AE$10)*($D$65:INDIRECT("D"&amp;$C$61)=$AE$11),INDIRECT(AJ24&amp;65):INDIRECT(AJ24&amp;$C$61)),$AH24))),INDIRECT(AJ24&amp;65):INDIRECT(AJ24&amp;$C$61),0)</f>
        <v>#NUM!</v>
      </c>
      <c r="U24" s="69" t="e">
        <f ca="1">INDEX(D$65:INDIRECT("D"&amp;$C$61),$T24)</f>
        <v>#NUM!</v>
      </c>
      <c r="V24" s="69" t="e">
        <f ca="1">INDEX(INDIRECT(("'MemberID'!$C$6:C"&amp;MemberID!$C$1)),MATCH(U24,INDIRECT(("'MemberID'!$G$6:G"&amp;MemberID!$C$1)),0))</f>
        <v>#NUM!</v>
      </c>
      <c r="W24" s="69" t="e">
        <f ca="1">INDEX(E$65:INDIRECT("E"&amp;$C$61),$T24)</f>
        <v>#NUM!</v>
      </c>
      <c r="X24" t="e">
        <f ca="1">INDEX(F$65:INDIRECT("F"&amp;$C$61),$T24)</f>
        <v>#NUM!</v>
      </c>
      <c r="Y24" t="e">
        <f ca="1">INDEX(G$65:INDIRECT("G"&amp;$C$61),$T24)</f>
        <v>#NUM!</v>
      </c>
      <c r="Z24" t="e">
        <f ca="1">INDEX(H$65:INDIRECT("H"&amp;$C$61),$T24)</f>
        <v>#NUM!</v>
      </c>
      <c r="AA24" t="e">
        <f ca="1">INDEX(I$65:INDIRECT("I"&amp;$C$61),$T24)</f>
        <v>#NUM!</v>
      </c>
      <c r="AB24" t="e">
        <f ca="1">INDEX(J$65:INDIRECT("J"&amp;$C$61),$T24)</f>
        <v>#NUM!</v>
      </c>
      <c r="AC24" s="23" t="e">
        <f t="array" aca="1" ref="AC24" ca="1">IF(ISBLANK($AE$11),LARGE(IF($E$65:INDIRECT("E"&amp;$C$61)=$AE$10,K$65:INDIRECT(AC$13&amp;$C$61)),$AH24),IF(ISBLANK($AE$10),LARGE(IF($D$65:INDIRECT("D"&amp;$C$61)=$AE$11,K$65:INDIRECT(AC$13&amp;$C$61)),$AH24),LARGE(IF(($E$65:INDIRECT("E"&amp;$C$61)=$AE$10)*($D$65:INDIRECT("D"&amp;$C$61)=$AE$11),K$65:INDIRECT(AC$13&amp;$C$61)),$AH24)))</f>
        <v>#NUM!</v>
      </c>
      <c r="AD24" t="e">
        <f ca="1">INDEX(L$65:INDIRECT("L"&amp;$C$61),$T24)</f>
        <v>#NUM!</v>
      </c>
      <c r="AE24" t="e">
        <f ca="1">INDEX(M$65:INDIRECT("M"&amp;$C$61),$T24)</f>
        <v>#NUM!</v>
      </c>
      <c r="AF24" t="e">
        <f ca="1">INDEX(N$65:INDIRECT("N"&amp;$C$61),$T24)</f>
        <v>#NUM!</v>
      </c>
      <c r="AG24" t="e">
        <f ca="1">INDEX(O$65:INDIRECT("O"&amp;$C$61),$T24)</f>
        <v>#NUM!</v>
      </c>
      <c r="AH24" s="69">
        <v>3</v>
      </c>
      <c r="AI24" s="69" t="str">
        <f t="shared" ref="AI24:AJ27" si="1">AI23</f>
        <v>K</v>
      </c>
      <c r="AJ24" s="69" t="str">
        <f t="shared" si="1"/>
        <v>R</v>
      </c>
    </row>
    <row r="25" spans="1:36" x14ac:dyDescent="0.25">
      <c r="A25" s="74" t="s">
        <v>72</v>
      </c>
      <c r="B25" s="69" t="s">
        <v>32</v>
      </c>
      <c r="C25" s="74" t="e">
        <f ca="1">K6</f>
        <v>#N/A</v>
      </c>
      <c r="D25" s="69" t="e">
        <f ca="1">INDEX(D$65:INDIRECT("D"&amp;$C$61),$C25)</f>
        <v>#N/A</v>
      </c>
      <c r="E25" s="69" t="e">
        <f ca="1">INDEX(INDIRECT(("'MemberID'!$C$6:C"&amp;MemberID!$C$1)),MATCH(D25,INDIRECT(("'MemberID'!$G$6:G"&amp;MemberID!$C$1)),0))</f>
        <v>#N/A</v>
      </c>
      <c r="F25" s="69" t="e">
        <f ca="1">INDEX(E$65:INDIRECT("E"&amp;$C$61),$C25)</f>
        <v>#N/A</v>
      </c>
      <c r="G25" t="e">
        <f ca="1">INDEX(F$65:INDIRECT("F"&amp;$C$61),$C25)</f>
        <v>#N/A</v>
      </c>
      <c r="H25" t="e">
        <f ca="1">INDEX(G$65:INDIRECT("G"&amp;$C$61),$C25)</f>
        <v>#N/A</v>
      </c>
      <c r="I25" t="e">
        <f ca="1">INDEX(H$65:INDIRECT("H"&amp;$C$61),$C25)</f>
        <v>#N/A</v>
      </c>
      <c r="J25" t="e">
        <f ca="1">INDEX(I$65:INDIRECT("I"&amp;$C$61),$C25)</f>
        <v>#N/A</v>
      </c>
      <c r="K25" s="7" t="e">
        <f ca="1">INDEX(J$65:INDIRECT("J"&amp;$C$61),$C25)</f>
        <v>#N/A</v>
      </c>
      <c r="L25" s="23" t="e">
        <f ca="1">INDEX(K$65:INDIRECT("K"&amp;$C$61),$C25)</f>
        <v>#N/A</v>
      </c>
      <c r="M25" t="e">
        <f ca="1">INDEX(L$65:INDIRECT("L"&amp;$C$61),$C25)</f>
        <v>#N/A</v>
      </c>
      <c r="N25" t="e">
        <f ca="1">INDEX(M$65:INDIRECT("M"&amp;$C$61),$C25)</f>
        <v>#N/A</v>
      </c>
      <c r="O25" t="e">
        <f ca="1">INDEX(N$65:INDIRECT("N"&amp;$C$61),$C25)</f>
        <v>#N/A</v>
      </c>
      <c r="P25" t="e">
        <f ca="1">INDEX(O$65:INDIRECT("O"&amp;$C$61),$C25)</f>
        <v>#N/A</v>
      </c>
      <c r="Q25" s="104"/>
      <c r="R25" s="74" t="s">
        <v>72</v>
      </c>
      <c r="S25" s="69" t="s">
        <v>32</v>
      </c>
      <c r="T25" s="74" t="e">
        <f t="array" aca="1" ref="T25" ca="1">MATCH(IF(ISBLANK($AE$11),SMALL(IF($E$65:INDIRECT("E"&amp;$C$61)=$AE$10,INDIRECT(AJ25&amp;65):INDIRECT(AJ25&amp;$C$61)),$AH25),IF(ISBLANK($AE$10),SMALL(IF($D$65:INDIRECT("D"&amp;$C$61)=$AE$11,INDIRECT(AJ25&amp;65):INDIRECT(AJ25&amp;$C$61)),$AH25),SMALL(IF(($E$65:INDIRECT("E"&amp;$C$61)=$AE$10)*($D$65:INDIRECT("D"&amp;$C$61)=$AE$11),INDIRECT(AJ25&amp;65):INDIRECT(AJ25&amp;$C$61)),$AH25))),INDIRECT(AJ25&amp;65):INDIRECT(AJ25&amp;$C$61),0)</f>
        <v>#NUM!</v>
      </c>
      <c r="U25" s="69" t="e">
        <f ca="1">INDEX(D$65:INDIRECT("D"&amp;$C$61),$T25)</f>
        <v>#NUM!</v>
      </c>
      <c r="V25" s="69" t="e">
        <f ca="1">INDEX(INDIRECT(("'MemberID'!$C$6:C"&amp;MemberID!$C$1)),MATCH(U25,INDIRECT(("'MemberID'!$G$6:G"&amp;MemberID!$C$1)),0))</f>
        <v>#NUM!</v>
      </c>
      <c r="W25" s="69" t="e">
        <f ca="1">INDEX(E$65:INDIRECT("E"&amp;$C$61),$T25)</f>
        <v>#NUM!</v>
      </c>
      <c r="X25" t="e">
        <f ca="1">INDEX(F$65:INDIRECT("F"&amp;$C$61),$T25)</f>
        <v>#NUM!</v>
      </c>
      <c r="Y25" t="e">
        <f ca="1">INDEX(G$65:INDIRECT("G"&amp;$C$61),$T25)</f>
        <v>#NUM!</v>
      </c>
      <c r="Z25" t="e">
        <f ca="1">INDEX(H$65:INDIRECT("H"&amp;$C$61),$T25)</f>
        <v>#NUM!</v>
      </c>
      <c r="AA25" t="e">
        <f ca="1">INDEX(I$65:INDIRECT("I"&amp;$C$61),$T25)</f>
        <v>#NUM!</v>
      </c>
      <c r="AB25" t="e">
        <f ca="1">INDEX(J$65:INDIRECT("J"&amp;$C$61),$T25)</f>
        <v>#NUM!</v>
      </c>
      <c r="AC25" s="23" t="e">
        <f t="array" aca="1" ref="AC25" ca="1">IF(ISBLANK($AE$11),SMALL(IF($E$65:INDIRECT("E"&amp;$C$61)=$AE$10,K$65:INDIRECT(AC$13&amp;$C$61)),$AH25),IF(ISBLANK($AE$10),SMALL(IF($D$65:INDIRECT("D"&amp;$C$61)=$AE$11,K$65:INDIRECT(AC$13&amp;$C$61)),$AH25),SMALL(IF(($E$65:INDIRECT("E"&amp;$C$61)=$AE$10)*($D$65:INDIRECT("D"&amp;$C$61)=$AE$11),K$65:INDIRECT(AC$13&amp;$C$61)),$AH25)))</f>
        <v>#NUM!</v>
      </c>
      <c r="AD25" t="e">
        <f ca="1">INDEX(L$65:INDIRECT("L"&amp;$C$61),$T25)</f>
        <v>#NUM!</v>
      </c>
      <c r="AE25" t="e">
        <f ca="1">INDEX(M$65:INDIRECT("M"&amp;$C$61),$T25)</f>
        <v>#NUM!</v>
      </c>
      <c r="AF25" t="e">
        <f ca="1">INDEX(N$65:INDIRECT("N"&amp;$C$61),$T25)</f>
        <v>#NUM!</v>
      </c>
      <c r="AG25" t="e">
        <f ca="1">INDEX(O$65:INDIRECT("O"&amp;$C$61),$T25)</f>
        <v>#NUM!</v>
      </c>
      <c r="AH25" s="69">
        <v>1</v>
      </c>
      <c r="AI25" s="69" t="str">
        <f t="shared" si="1"/>
        <v>K</v>
      </c>
      <c r="AJ25" s="69" t="str">
        <f t="shared" si="1"/>
        <v>R</v>
      </c>
    </row>
    <row r="26" spans="1:36" x14ac:dyDescent="0.25">
      <c r="A26" s="74" t="s">
        <v>73</v>
      </c>
      <c r="B26" s="69" t="s">
        <v>32</v>
      </c>
      <c r="C26" s="74" t="e">
        <f ca="1">S6</f>
        <v>#NUM!</v>
      </c>
      <c r="D26" s="69" t="e">
        <f ca="1">INDEX(D$65:INDIRECT("D"&amp;$C$61),$C26)</f>
        <v>#NUM!</v>
      </c>
      <c r="E26" s="69" t="e">
        <f ca="1">INDEX(INDIRECT(("'MemberID'!$C$6:C"&amp;MemberID!$C$1)),MATCH(D26,INDIRECT(("'MemberID'!$G$6:G"&amp;MemberID!$C$1)),0))</f>
        <v>#NUM!</v>
      </c>
      <c r="F26" s="69" t="e">
        <f ca="1">INDEX(E$65:INDIRECT("E"&amp;$C$61),$C26)</f>
        <v>#NUM!</v>
      </c>
      <c r="G26" t="e">
        <f ca="1">INDEX(F$65:INDIRECT("F"&amp;$C$61),$C26)</f>
        <v>#NUM!</v>
      </c>
      <c r="H26" t="e">
        <f ca="1">INDEX(G$65:INDIRECT("G"&amp;$C$61),$C26)</f>
        <v>#NUM!</v>
      </c>
      <c r="I26" t="e">
        <f ca="1">INDEX(H$65:INDIRECT("H"&amp;$C$61),$C26)</f>
        <v>#NUM!</v>
      </c>
      <c r="J26" t="e">
        <f ca="1">INDEX(I$65:INDIRECT("I"&amp;$C$61),$C26)</f>
        <v>#NUM!</v>
      </c>
      <c r="K26" s="7" t="e">
        <f ca="1">INDEX(J$65:INDIRECT("J"&amp;$C$61),$C26)</f>
        <v>#NUM!</v>
      </c>
      <c r="L26" s="23" t="e">
        <f ca="1">INDEX(K$65:INDIRECT("K"&amp;$C$61),$C26)</f>
        <v>#NUM!</v>
      </c>
      <c r="M26" t="e">
        <f ca="1">INDEX(L$65:INDIRECT("L"&amp;$C$61),$C26)</f>
        <v>#NUM!</v>
      </c>
      <c r="N26" t="e">
        <f ca="1">INDEX(M$65:INDIRECT("M"&amp;$C$61),$C26)</f>
        <v>#NUM!</v>
      </c>
      <c r="O26" t="e">
        <f ca="1">INDEX(N$65:INDIRECT("N"&amp;$C$61),$C26)</f>
        <v>#NUM!</v>
      </c>
      <c r="P26" t="e">
        <f ca="1">INDEX(O$65:INDIRECT("O"&amp;$C$61),$C26)</f>
        <v>#NUM!</v>
      </c>
      <c r="Q26" s="104"/>
      <c r="R26" s="74" t="s">
        <v>73</v>
      </c>
      <c r="S26" s="69" t="s">
        <v>32</v>
      </c>
      <c r="T26" s="74" t="e">
        <f t="array" aca="1" ref="T26" ca="1">MATCH(IF(ISBLANK($AE$11),SMALL(IF($E$65:INDIRECT("E"&amp;$C$61)=$AE$10,INDIRECT(AJ26&amp;65):INDIRECT(AJ26&amp;$C$61)),$AH26),IF(ISBLANK($AE$10),SMALL(IF($D$65:INDIRECT("D"&amp;$C$61)=$AE$11,INDIRECT(AJ26&amp;65):INDIRECT(AJ26&amp;$C$61)),$AH26),SMALL(IF(($E$65:INDIRECT("E"&amp;$C$61)=$AE$10)*($D$65:INDIRECT("D"&amp;$C$61)=$AE$11),INDIRECT(AJ26&amp;65):INDIRECT(AJ26&amp;$C$61)),$AH26))),INDIRECT(AJ26&amp;65):INDIRECT(AJ26&amp;$C$61),0)</f>
        <v>#NUM!</v>
      </c>
      <c r="U26" s="69" t="e">
        <f ca="1">INDEX(D$65:INDIRECT("D"&amp;$C$61),$T26)</f>
        <v>#NUM!</v>
      </c>
      <c r="V26" s="69" t="e">
        <f ca="1">INDEX(INDIRECT(("'MemberID'!$C$6:C"&amp;MemberID!$C$1)),MATCH(U26,INDIRECT(("'MemberID'!$G$6:G"&amp;MemberID!$C$1)),0))</f>
        <v>#NUM!</v>
      </c>
      <c r="W26" s="69" t="e">
        <f ca="1">INDEX(E$65:INDIRECT("E"&amp;$C$61),$T26)</f>
        <v>#NUM!</v>
      </c>
      <c r="X26" t="e">
        <f ca="1">INDEX(F$65:INDIRECT("F"&amp;$C$61),$T26)</f>
        <v>#NUM!</v>
      </c>
      <c r="Y26" t="e">
        <f ca="1">INDEX(G$65:INDIRECT("G"&amp;$C$61),$T26)</f>
        <v>#NUM!</v>
      </c>
      <c r="Z26" t="e">
        <f ca="1">INDEX(H$65:INDIRECT("H"&amp;$C$61),$T26)</f>
        <v>#NUM!</v>
      </c>
      <c r="AA26" t="e">
        <f ca="1">INDEX(I$65:INDIRECT("I"&amp;$C$61),$T26)</f>
        <v>#NUM!</v>
      </c>
      <c r="AB26" t="e">
        <f ca="1">INDEX(J$65:INDIRECT("J"&amp;$C$61),$T26)</f>
        <v>#NUM!</v>
      </c>
      <c r="AC26" s="23" t="e">
        <f t="array" aca="1" ref="AC26" ca="1">IF(ISBLANK($AE$11),SMALL(IF($E$65:INDIRECT("E"&amp;$C$61)=$AE$10,K$65:INDIRECT(AC$13&amp;$C$61)),$AH26),IF(ISBLANK($AE$10),SMALL(IF($D$65:INDIRECT("D"&amp;$C$61)=$AE$11,K$65:INDIRECT(AC$13&amp;$C$61)),$AH26),SMALL(IF(($E$65:INDIRECT("E"&amp;$C$61)=$AE$10)*($D$65:INDIRECT("D"&amp;$C$61)=$AE$11),K$65:INDIRECT(AC$13&amp;$C$61)),$AH26)))</f>
        <v>#NUM!</v>
      </c>
      <c r="AD26" t="e">
        <f ca="1">INDEX(L$65:INDIRECT("L"&amp;$C$61),$T26)</f>
        <v>#NUM!</v>
      </c>
      <c r="AE26" t="e">
        <f ca="1">INDEX(M$65:INDIRECT("M"&amp;$C$61),$T26)</f>
        <v>#NUM!</v>
      </c>
      <c r="AF26" t="e">
        <f ca="1">INDEX(N$65:INDIRECT("N"&amp;$C$61),$T26)</f>
        <v>#NUM!</v>
      </c>
      <c r="AG26" t="e">
        <f ca="1">INDEX(O$65:INDIRECT("O"&amp;$C$61),$T26)</f>
        <v>#NUM!</v>
      </c>
      <c r="AH26" s="69">
        <v>2</v>
      </c>
      <c r="AI26" s="69" t="str">
        <f t="shared" si="1"/>
        <v>K</v>
      </c>
      <c r="AJ26" s="69" t="str">
        <f t="shared" si="1"/>
        <v>R</v>
      </c>
    </row>
    <row r="27" spans="1:36" x14ac:dyDescent="0.25">
      <c r="A27" s="74" t="s">
        <v>74</v>
      </c>
      <c r="B27" s="69" t="s">
        <v>32</v>
      </c>
      <c r="C27" s="74" t="e">
        <f ca="1">AA6</f>
        <v>#NUM!</v>
      </c>
      <c r="D27" s="69" t="e">
        <f ca="1">INDEX(D$65:INDIRECT("D"&amp;$C$61),$C27)</f>
        <v>#NUM!</v>
      </c>
      <c r="E27" s="69" t="e">
        <f ca="1">INDEX(INDIRECT(("'MemberID'!$C$6:C"&amp;MemberID!$C$1)),MATCH(D27,INDIRECT(("'MemberID'!$G$6:G"&amp;MemberID!$C$1)),0))</f>
        <v>#NUM!</v>
      </c>
      <c r="F27" s="69" t="e">
        <f ca="1">INDEX(E$65:INDIRECT("E"&amp;$C$61),$C27)</f>
        <v>#NUM!</v>
      </c>
      <c r="G27" t="e">
        <f ca="1">INDEX(F$65:INDIRECT("F"&amp;$C$61),$C27)</f>
        <v>#NUM!</v>
      </c>
      <c r="H27" t="e">
        <f ca="1">INDEX(G$65:INDIRECT("G"&amp;$C$61),$C27)</f>
        <v>#NUM!</v>
      </c>
      <c r="I27" t="e">
        <f ca="1">INDEX(H$65:INDIRECT("H"&amp;$C$61),$C27)</f>
        <v>#NUM!</v>
      </c>
      <c r="J27" t="e">
        <f ca="1">INDEX(I$65:INDIRECT("I"&amp;$C$61),$C27)</f>
        <v>#NUM!</v>
      </c>
      <c r="K27" s="7" t="e">
        <f ca="1">INDEX(J$65:INDIRECT("J"&amp;$C$61),$C27)</f>
        <v>#NUM!</v>
      </c>
      <c r="L27" s="23" t="e">
        <f ca="1">INDEX(K$65:INDIRECT("K"&amp;$C$61),$C27)</f>
        <v>#NUM!</v>
      </c>
      <c r="M27" t="e">
        <f ca="1">INDEX(L$65:INDIRECT("L"&amp;$C$61),$C27)</f>
        <v>#NUM!</v>
      </c>
      <c r="N27" t="e">
        <f ca="1">INDEX(M$65:INDIRECT("M"&amp;$C$61),$C27)</f>
        <v>#NUM!</v>
      </c>
      <c r="O27" t="e">
        <f ca="1">INDEX(N$65:INDIRECT("N"&amp;$C$61),$C27)</f>
        <v>#NUM!</v>
      </c>
      <c r="P27" t="e">
        <f ca="1">INDEX(O$65:INDIRECT("O"&amp;$C$61),$C27)</f>
        <v>#NUM!</v>
      </c>
      <c r="Q27" s="104"/>
      <c r="R27" s="74" t="s">
        <v>74</v>
      </c>
      <c r="S27" s="69" t="s">
        <v>32</v>
      </c>
      <c r="T27" s="74" t="e">
        <f t="array" aca="1" ref="T27" ca="1">MATCH(IF(ISBLANK($AE$11),SMALL(IF($E$65:INDIRECT("E"&amp;$C$61)=$AE$10,INDIRECT(AJ27&amp;65):INDIRECT(AJ27&amp;$C$61)),$AH27),IF(ISBLANK($AE$10),SMALL(IF($D$65:INDIRECT("D"&amp;$C$61)=$AE$11,INDIRECT(AJ27&amp;65):INDIRECT(AJ27&amp;$C$61)),$AH27),SMALL(IF(($E$65:INDIRECT("E"&amp;$C$61)=$AE$10)*($D$65:INDIRECT("D"&amp;$C$61)=$AE$11),INDIRECT(AJ27&amp;65):INDIRECT(AJ27&amp;$C$61)),$AH27))),INDIRECT(AJ27&amp;65):INDIRECT(AJ27&amp;$C$61),0)</f>
        <v>#NUM!</v>
      </c>
      <c r="U27" s="69" t="e">
        <f ca="1">INDEX(D$65:INDIRECT("D"&amp;$C$61),$T27)</f>
        <v>#NUM!</v>
      </c>
      <c r="V27" s="69" t="e">
        <f ca="1">INDEX(INDIRECT(("'MemberID'!$C$6:C"&amp;MemberID!$C$1)),MATCH(U27,INDIRECT(("'MemberID'!$G$6:G"&amp;MemberID!$C$1)),0))</f>
        <v>#NUM!</v>
      </c>
      <c r="W27" s="69" t="e">
        <f ca="1">INDEX(E$65:INDIRECT("E"&amp;$C$61),$T27)</f>
        <v>#NUM!</v>
      </c>
      <c r="X27" t="e">
        <f ca="1">INDEX(F$65:INDIRECT("F"&amp;$C$61),$T27)</f>
        <v>#NUM!</v>
      </c>
      <c r="Y27" t="e">
        <f ca="1">INDEX(G$65:INDIRECT("G"&amp;$C$61),$T27)</f>
        <v>#NUM!</v>
      </c>
      <c r="Z27" t="e">
        <f ca="1">INDEX(H$65:INDIRECT("H"&amp;$C$61),$T27)</f>
        <v>#NUM!</v>
      </c>
      <c r="AA27" t="e">
        <f ca="1">INDEX(I$65:INDIRECT("I"&amp;$C$61),$T27)</f>
        <v>#NUM!</v>
      </c>
      <c r="AB27" t="e">
        <f ca="1">INDEX(J$65:INDIRECT("J"&amp;$C$61),$T27)</f>
        <v>#NUM!</v>
      </c>
      <c r="AC27" s="23" t="e">
        <f t="array" aca="1" ref="AC27" ca="1">IF(ISBLANK($AE$11),SMALL(IF($E$65:INDIRECT("E"&amp;$C$61)=$AE$10,K$65:INDIRECT(AC$13&amp;$C$61)),$AH27),IF(ISBLANK($AE$10),SMALL(IF($D$65:INDIRECT("D"&amp;$C$61)=$AE$11,K$65:INDIRECT(AC$13&amp;$C$61)),$AH27),SMALL(IF(($E$65:INDIRECT("E"&amp;$C$61)=$AE$10)*($D$65:INDIRECT("D"&amp;$C$61)=$AE$11),K$65:INDIRECT(AC$13&amp;$C$61)),$AH27)))</f>
        <v>#NUM!</v>
      </c>
      <c r="AD27" t="e">
        <f ca="1">INDEX(L$65:INDIRECT("L"&amp;$C$61),$T27)</f>
        <v>#NUM!</v>
      </c>
      <c r="AE27" t="e">
        <f ca="1">INDEX(M$65:INDIRECT("M"&amp;$C$61),$T27)</f>
        <v>#NUM!</v>
      </c>
      <c r="AF27" t="e">
        <f ca="1">INDEX(N$65:INDIRECT("N"&amp;$C$61),$T27)</f>
        <v>#NUM!</v>
      </c>
      <c r="AG27" t="e">
        <f ca="1">INDEX(O$65:INDIRECT("O"&amp;$C$61),$T27)</f>
        <v>#NUM!</v>
      </c>
      <c r="AH27" s="69">
        <v>3</v>
      </c>
      <c r="AI27" s="69" t="str">
        <f t="shared" si="1"/>
        <v>K</v>
      </c>
      <c r="AJ27" s="69" t="str">
        <f t="shared" si="1"/>
        <v>R</v>
      </c>
    </row>
    <row r="28" spans="1:36" x14ac:dyDescent="0.25">
      <c r="A28" s="5"/>
      <c r="B28" s="69"/>
      <c r="C28" s="69"/>
      <c r="D28" s="69"/>
      <c r="E28" s="69"/>
      <c r="F28" s="69"/>
      <c r="J28" s="7"/>
      <c r="K28" s="7"/>
      <c r="L28" s="7"/>
      <c r="M28" s="7"/>
      <c r="N28" s="7"/>
      <c r="O28" s="7"/>
      <c r="P28" s="7"/>
      <c r="Q28" s="104"/>
      <c r="R28" s="5"/>
      <c r="S28" s="69"/>
      <c r="T28" s="69"/>
      <c r="V28" s="69"/>
      <c r="W28" s="69"/>
      <c r="AH28" s="69"/>
      <c r="AI28" s="69"/>
      <c r="AJ28" s="69"/>
    </row>
    <row r="29" spans="1:36" x14ac:dyDescent="0.25">
      <c r="A29" s="73" t="s">
        <v>69</v>
      </c>
      <c r="B29" s="69" t="s">
        <v>33</v>
      </c>
      <c r="C29" s="73" t="e">
        <f ca="1">L3</f>
        <v>#N/A</v>
      </c>
      <c r="D29" s="69" t="e">
        <f ca="1">INDEX(D$65:INDIRECT("D"&amp;$C$61),$C29)</f>
        <v>#N/A</v>
      </c>
      <c r="E29" s="69" t="e">
        <f ca="1">INDEX(INDIRECT(("'MemberID'!$C$6:C"&amp;MemberID!$C$1)),MATCH(D29,INDIRECT(("'MemberID'!$G$6:G"&amp;MemberID!$C$1)),0))</f>
        <v>#N/A</v>
      </c>
      <c r="F29" s="69" t="e">
        <f ca="1">INDEX(E$65:INDIRECT("E"&amp;$C$61),$C29)</f>
        <v>#N/A</v>
      </c>
      <c r="G29" t="e">
        <f ca="1">INDEX(F$65:INDIRECT("F"&amp;$C$61),$C29)</f>
        <v>#N/A</v>
      </c>
      <c r="H29" t="e">
        <f ca="1">INDEX(G$65:INDIRECT("G"&amp;$C$61),$C29)</f>
        <v>#N/A</v>
      </c>
      <c r="I29" t="e">
        <f ca="1">INDEX(H$65:INDIRECT("H"&amp;$C$61),$C29)</f>
        <v>#N/A</v>
      </c>
      <c r="J29" t="e">
        <f ca="1">INDEX(I$65:INDIRECT("I"&amp;$C$61),$C29)</f>
        <v>#N/A</v>
      </c>
      <c r="K29" s="7" t="e">
        <f ca="1">INDEX(J$65:INDIRECT("J"&amp;$C$61),$C29)</f>
        <v>#N/A</v>
      </c>
      <c r="L29" t="e">
        <f ca="1">INDEX(K$65:INDIRECT("K"&amp;$C$61),$C29)</f>
        <v>#N/A</v>
      </c>
      <c r="M29" s="23" t="e">
        <f ca="1">INDEX(L$65:INDIRECT("L"&amp;$C$61),$C29)</f>
        <v>#N/A</v>
      </c>
      <c r="N29" t="e">
        <f ca="1">INDEX(M$65:INDIRECT("M"&amp;$C$61),$C29)</f>
        <v>#N/A</v>
      </c>
      <c r="O29" t="e">
        <f ca="1">INDEX(N$65:INDIRECT("N"&amp;$C$61),$C29)</f>
        <v>#N/A</v>
      </c>
      <c r="P29" t="e">
        <f ca="1">INDEX(O$65:INDIRECT("O"&amp;$C$61),$C29)</f>
        <v>#N/A</v>
      </c>
      <c r="Q29" s="104"/>
      <c r="R29" s="73" t="s">
        <v>69</v>
      </c>
      <c r="S29" s="69" t="s">
        <v>33</v>
      </c>
      <c r="T29" s="73" t="e">
        <f t="array" aca="1" ref="T29" ca="1">MATCH(IF(ISBLANK($AE$11),LARGE(IF($E$65:INDIRECT("E"&amp;$C$61)=$AE$10,INDIRECT(AJ29&amp;65):INDIRECT(AJ29&amp;$C$61)),$AH29),IF(ISBLANK($AE$10),LARGE(IF($D$65:INDIRECT("D"&amp;$C$61)=$AE$11,INDIRECT(AJ29&amp;65):INDIRECT(AJ29&amp;$C$61)),$AH29),LARGE(IF(($E$65:INDIRECT("E"&amp;$C$61)=$AE$10)*($D$65:INDIRECT("D"&amp;$C$61)=$AE$11),INDIRECT(AJ29&amp;65):INDIRECT(AJ29&amp;$C$61)),$AH29))),INDIRECT(AJ29&amp;65):INDIRECT(AJ29&amp;$C$61),0)</f>
        <v>#NUM!</v>
      </c>
      <c r="U29" s="69" t="e">
        <f ca="1">INDEX(D$65:INDIRECT("D"&amp;$C$61),$T29)</f>
        <v>#NUM!</v>
      </c>
      <c r="V29" s="69" t="e">
        <f ca="1">INDEX(INDIRECT(("'MemberID'!$C$6:C"&amp;MemberID!$C$1)),MATCH(U29,INDIRECT(("'MemberID'!$G$6:G"&amp;MemberID!$C$1)),0))</f>
        <v>#NUM!</v>
      </c>
      <c r="W29" s="69" t="e">
        <f ca="1">INDEX(E$65:INDIRECT("E"&amp;$C$61),$T29)</f>
        <v>#NUM!</v>
      </c>
      <c r="X29" t="e">
        <f ca="1">INDEX(F$65:INDIRECT("F"&amp;$C$61),$T29)</f>
        <v>#NUM!</v>
      </c>
      <c r="Y29" t="e">
        <f ca="1">INDEX(G$65:INDIRECT("G"&amp;$C$61),$T29)</f>
        <v>#NUM!</v>
      </c>
      <c r="Z29" t="e">
        <f ca="1">INDEX(H$65:INDIRECT("H"&amp;$C$61),$T29)</f>
        <v>#NUM!</v>
      </c>
      <c r="AA29" t="e">
        <f ca="1">INDEX(I$65:INDIRECT("I"&amp;$C$61),$T29)</f>
        <v>#NUM!</v>
      </c>
      <c r="AB29" t="e">
        <f ca="1">INDEX(J$65:INDIRECT("J"&amp;$C$61),$T29)</f>
        <v>#NUM!</v>
      </c>
      <c r="AC29" t="e">
        <f ca="1">INDEX(K$65:INDIRECT("K"&amp;$C$61),$T29)</f>
        <v>#NUM!</v>
      </c>
      <c r="AD29" s="23" t="e">
        <f t="array" aca="1" ref="AD29" ca="1">IF(ISBLANK($AE$11),LARGE(IF($E$65:INDIRECT("E"&amp;$C$61)=$AE$10,L$65:INDIRECT(AD$13&amp;$C$61)),$AH29),IF(ISBLANK($AE$10),LARGE(IF($D$65:INDIRECT("D"&amp;$C$61)=$AE$11,L$65:INDIRECT(AD$13&amp;$C$61)),$AH29),LARGE(IF(($E$65:INDIRECT("E"&amp;$C$61)=$AE$10)*($D$65:INDIRECT("D"&amp;$C$61)=$AE$11),L$65:INDIRECT(AD$13&amp;$C$61)),$AH29)))</f>
        <v>#NUM!</v>
      </c>
      <c r="AE29" t="e">
        <f ca="1">INDEX(M$65:INDIRECT("M"&amp;$C$61),$T29)</f>
        <v>#NUM!</v>
      </c>
      <c r="AF29" t="e">
        <f ca="1">INDEX(N$65:INDIRECT("N"&amp;$C$61),$T29)</f>
        <v>#NUM!</v>
      </c>
      <c r="AG29" t="e">
        <f ca="1">INDEX(O$65:INDIRECT("O"&amp;$C$61),$T29)</f>
        <v>#NUM!</v>
      </c>
      <c r="AH29" s="69">
        <v>1</v>
      </c>
      <c r="AI29" s="69" t="s">
        <v>152</v>
      </c>
      <c r="AJ29" s="69" t="s">
        <v>158</v>
      </c>
    </row>
    <row r="30" spans="1:36" x14ac:dyDescent="0.25">
      <c r="A30" s="73" t="s">
        <v>70</v>
      </c>
      <c r="B30" s="69" t="s">
        <v>33</v>
      </c>
      <c r="C30" s="73" t="e">
        <f ca="1">T3</f>
        <v>#NUM!</v>
      </c>
      <c r="D30" s="69" t="e">
        <f ca="1">INDEX(D$65:INDIRECT("D"&amp;$C$61),$C30)</f>
        <v>#NUM!</v>
      </c>
      <c r="E30" s="69" t="e">
        <f ca="1">INDEX(INDIRECT(("'MemberID'!$C$6:C"&amp;MemberID!$C$1)),MATCH(D30,INDIRECT(("'MemberID'!$G$6:G"&amp;MemberID!$C$1)),0))</f>
        <v>#NUM!</v>
      </c>
      <c r="F30" s="69" t="e">
        <f ca="1">INDEX(E$65:INDIRECT("E"&amp;$C$61),$C30)</f>
        <v>#NUM!</v>
      </c>
      <c r="G30" t="e">
        <f ca="1">INDEX(F$65:INDIRECT("F"&amp;$C$61),$C30)</f>
        <v>#NUM!</v>
      </c>
      <c r="H30" t="e">
        <f ca="1">INDEX(G$65:INDIRECT("G"&amp;$C$61),$C30)</f>
        <v>#NUM!</v>
      </c>
      <c r="I30" t="e">
        <f ca="1">INDEX(H$65:INDIRECT("H"&amp;$C$61),$C30)</f>
        <v>#NUM!</v>
      </c>
      <c r="J30" t="e">
        <f ca="1">INDEX(I$65:INDIRECT("I"&amp;$C$61),$C30)</f>
        <v>#NUM!</v>
      </c>
      <c r="K30" s="7" t="e">
        <f ca="1">INDEX(J$65:INDIRECT("J"&amp;$C$61),$C30)</f>
        <v>#NUM!</v>
      </c>
      <c r="L30" t="e">
        <f ca="1">INDEX(K$65:INDIRECT("K"&amp;$C$61),$C30)</f>
        <v>#NUM!</v>
      </c>
      <c r="M30" s="23" t="e">
        <f ca="1">INDEX(L$65:INDIRECT("L"&amp;$C$61),$C30)</f>
        <v>#NUM!</v>
      </c>
      <c r="N30" t="e">
        <f ca="1">INDEX(M$65:INDIRECT("M"&amp;$C$61),$C30)</f>
        <v>#NUM!</v>
      </c>
      <c r="O30" t="e">
        <f ca="1">INDEX(N$65:INDIRECT("N"&amp;$C$61),$C30)</f>
        <v>#NUM!</v>
      </c>
      <c r="P30" t="e">
        <f ca="1">INDEX(O$65:INDIRECT("O"&amp;$C$61),$C30)</f>
        <v>#NUM!</v>
      </c>
      <c r="Q30" s="104"/>
      <c r="R30" s="73" t="s">
        <v>70</v>
      </c>
      <c r="S30" s="69" t="s">
        <v>33</v>
      </c>
      <c r="T30" s="73" t="e">
        <f t="array" aca="1" ref="T30" ca="1">MATCH(IF(ISBLANK($AE$11),LARGE(IF($E$65:INDIRECT("E"&amp;$C$61)=$AE$10,INDIRECT(AJ30&amp;65):INDIRECT(AJ30&amp;$C$61)),$AH30),IF(ISBLANK($AE$10),LARGE(IF($D$65:INDIRECT("D"&amp;$C$61)=$AE$11,INDIRECT(AJ30&amp;65):INDIRECT(AJ30&amp;$C$61)),$AH30),LARGE(IF(($E$65:INDIRECT("E"&amp;$C$61)=$AE$10)*($D$65:INDIRECT("D"&amp;$C$61)=$AE$11),INDIRECT(AJ30&amp;65):INDIRECT(AJ30&amp;$C$61)),$AH30))),INDIRECT(AJ30&amp;65):INDIRECT(AJ30&amp;$C$61),0)</f>
        <v>#NUM!</v>
      </c>
      <c r="U30" s="69" t="e">
        <f ca="1">INDEX(D$65:INDIRECT("D"&amp;$C$61),$T30)</f>
        <v>#NUM!</v>
      </c>
      <c r="V30" s="69" t="e">
        <f ca="1">INDEX(INDIRECT(("'MemberID'!$C$6:C"&amp;MemberID!$C$1)),MATCH(U30,INDIRECT(("'MemberID'!$G$6:G"&amp;MemberID!$C$1)),0))</f>
        <v>#NUM!</v>
      </c>
      <c r="W30" s="69" t="e">
        <f ca="1">INDEX(E$65:INDIRECT("E"&amp;$C$61),$T30)</f>
        <v>#NUM!</v>
      </c>
      <c r="X30" t="e">
        <f ca="1">INDEX(F$65:INDIRECT("F"&amp;$C$61),$T30)</f>
        <v>#NUM!</v>
      </c>
      <c r="Y30" t="e">
        <f ca="1">INDEX(G$65:INDIRECT("G"&amp;$C$61),$T30)</f>
        <v>#NUM!</v>
      </c>
      <c r="Z30" t="e">
        <f ca="1">INDEX(H$65:INDIRECT("H"&amp;$C$61),$T30)</f>
        <v>#NUM!</v>
      </c>
      <c r="AA30" t="e">
        <f ca="1">INDEX(I$65:INDIRECT("I"&amp;$C$61),$T30)</f>
        <v>#NUM!</v>
      </c>
      <c r="AB30" t="e">
        <f ca="1">INDEX(J$65:INDIRECT("J"&amp;$C$61),$T30)</f>
        <v>#NUM!</v>
      </c>
      <c r="AC30" t="e">
        <f ca="1">INDEX(K$65:INDIRECT("K"&amp;$C$61),$T30)</f>
        <v>#NUM!</v>
      </c>
      <c r="AD30" s="23" t="e">
        <f t="array" aca="1" ref="AD30" ca="1">IF(ISBLANK($AE$11),LARGE(IF($E$65:INDIRECT("E"&amp;$C$61)=$AE$10,L$65:INDIRECT(AD$13&amp;$C$61)),$AH30),IF(ISBLANK($AE$10),LARGE(IF($D$65:INDIRECT("D"&amp;$C$61)=$AE$11,L$65:INDIRECT(AD$13&amp;$C$61)),$AH30),LARGE(IF(($E$65:INDIRECT("E"&amp;$C$61)=$AE$10)*($D$65:INDIRECT("D"&amp;$C$61)=$AE$11),L$65:INDIRECT(AD$13&amp;$C$61)),$AH30)))</f>
        <v>#NUM!</v>
      </c>
      <c r="AE30" t="e">
        <f ca="1">INDEX(M$65:INDIRECT("M"&amp;$C$61),$T30)</f>
        <v>#NUM!</v>
      </c>
      <c r="AF30" t="e">
        <f ca="1">INDEX(N$65:INDIRECT("N"&amp;$C$61),$T30)</f>
        <v>#NUM!</v>
      </c>
      <c r="AG30" t="e">
        <f ca="1">INDEX(O$65:INDIRECT("O"&amp;$C$61),$T30)</f>
        <v>#NUM!</v>
      </c>
      <c r="AH30" s="69">
        <v>2</v>
      </c>
      <c r="AI30" s="69" t="str">
        <f>AI29</f>
        <v>L</v>
      </c>
      <c r="AJ30" s="69" t="str">
        <f>AJ29</f>
        <v>S</v>
      </c>
    </row>
    <row r="31" spans="1:36" x14ac:dyDescent="0.25">
      <c r="A31" s="73" t="s">
        <v>71</v>
      </c>
      <c r="B31" s="69" t="s">
        <v>33</v>
      </c>
      <c r="C31" s="73" t="e">
        <f ca="1">AB3</f>
        <v>#NUM!</v>
      </c>
      <c r="D31" s="69" t="e">
        <f ca="1">INDEX(D$65:INDIRECT("D"&amp;$C$61),$C31)</f>
        <v>#NUM!</v>
      </c>
      <c r="E31" s="69" t="e">
        <f ca="1">INDEX(INDIRECT(("'MemberID'!$C$6:C"&amp;MemberID!$C$1)),MATCH(D31,INDIRECT(("'MemberID'!$G$6:G"&amp;MemberID!$C$1)),0))</f>
        <v>#NUM!</v>
      </c>
      <c r="F31" s="69" t="e">
        <f ca="1">INDEX(E$65:INDIRECT("E"&amp;$C$61),$C31)</f>
        <v>#NUM!</v>
      </c>
      <c r="G31" t="e">
        <f ca="1">INDEX(F$65:INDIRECT("F"&amp;$C$61),$C31)</f>
        <v>#NUM!</v>
      </c>
      <c r="H31" t="e">
        <f ca="1">INDEX(G$65:INDIRECT("G"&amp;$C$61),$C31)</f>
        <v>#NUM!</v>
      </c>
      <c r="I31" t="e">
        <f ca="1">INDEX(H$65:INDIRECT("H"&amp;$C$61),$C31)</f>
        <v>#NUM!</v>
      </c>
      <c r="J31" t="e">
        <f ca="1">INDEX(I$65:INDIRECT("I"&amp;$C$61),$C31)</f>
        <v>#NUM!</v>
      </c>
      <c r="K31" s="7" t="e">
        <f ca="1">INDEX(J$65:INDIRECT("J"&amp;$C$61),$C31)</f>
        <v>#NUM!</v>
      </c>
      <c r="L31" t="e">
        <f ca="1">INDEX(K$65:INDIRECT("K"&amp;$C$61),$C31)</f>
        <v>#NUM!</v>
      </c>
      <c r="M31" s="23" t="e">
        <f ca="1">INDEX(L$65:INDIRECT("L"&amp;$C$61),$C31)</f>
        <v>#NUM!</v>
      </c>
      <c r="N31" t="e">
        <f ca="1">INDEX(M$65:INDIRECT("M"&amp;$C$61),$C31)</f>
        <v>#NUM!</v>
      </c>
      <c r="O31" t="e">
        <f ca="1">INDEX(N$65:INDIRECT("N"&amp;$C$61),$C31)</f>
        <v>#NUM!</v>
      </c>
      <c r="P31" t="e">
        <f ca="1">INDEX(O$65:INDIRECT("O"&amp;$C$61),$C31)</f>
        <v>#NUM!</v>
      </c>
      <c r="Q31" s="104"/>
      <c r="R31" s="73" t="s">
        <v>71</v>
      </c>
      <c r="S31" s="69" t="s">
        <v>33</v>
      </c>
      <c r="T31" s="73" t="e">
        <f t="array" aca="1" ref="T31" ca="1">MATCH(IF(ISBLANK($AE$11),LARGE(IF($E$65:INDIRECT("E"&amp;$C$61)=$AE$10,INDIRECT(AJ31&amp;65):INDIRECT(AJ31&amp;$C$61)),$AH31),IF(ISBLANK($AE$10),LARGE(IF($D$65:INDIRECT("D"&amp;$C$61)=$AE$11,INDIRECT(AJ31&amp;65):INDIRECT(AJ31&amp;$C$61)),$AH31),LARGE(IF(($E$65:INDIRECT("E"&amp;$C$61)=$AE$10)*($D$65:INDIRECT("D"&amp;$C$61)=$AE$11),INDIRECT(AJ31&amp;65):INDIRECT(AJ31&amp;$C$61)),$AH31))),INDIRECT(AJ31&amp;65):INDIRECT(AJ31&amp;$C$61),0)</f>
        <v>#NUM!</v>
      </c>
      <c r="U31" s="69" t="e">
        <f ca="1">INDEX(D$65:INDIRECT("D"&amp;$C$61),$T31)</f>
        <v>#NUM!</v>
      </c>
      <c r="V31" s="69" t="e">
        <f ca="1">INDEX(INDIRECT(("'MemberID'!$C$6:C"&amp;MemberID!$C$1)),MATCH(U31,INDIRECT(("'MemberID'!$G$6:G"&amp;MemberID!$C$1)),0))</f>
        <v>#NUM!</v>
      </c>
      <c r="W31" s="69" t="e">
        <f ca="1">INDEX(E$65:INDIRECT("E"&amp;$C$61),$T31)</f>
        <v>#NUM!</v>
      </c>
      <c r="X31" t="e">
        <f ca="1">INDEX(F$65:INDIRECT("F"&amp;$C$61),$T31)</f>
        <v>#NUM!</v>
      </c>
      <c r="Y31" t="e">
        <f ca="1">INDEX(G$65:INDIRECT("G"&amp;$C$61),$T31)</f>
        <v>#NUM!</v>
      </c>
      <c r="Z31" t="e">
        <f ca="1">INDEX(H$65:INDIRECT("H"&amp;$C$61),$T31)</f>
        <v>#NUM!</v>
      </c>
      <c r="AA31" t="e">
        <f ca="1">INDEX(I$65:INDIRECT("I"&amp;$C$61),$T31)</f>
        <v>#NUM!</v>
      </c>
      <c r="AB31" t="e">
        <f ca="1">INDEX(J$65:INDIRECT("J"&amp;$C$61),$T31)</f>
        <v>#NUM!</v>
      </c>
      <c r="AC31" t="e">
        <f ca="1">INDEX(K$65:INDIRECT("K"&amp;$C$61),$T31)</f>
        <v>#NUM!</v>
      </c>
      <c r="AD31" s="23" t="e">
        <f t="array" aca="1" ref="AD31" ca="1">IF(ISBLANK($AE$11),LARGE(IF($E$65:INDIRECT("E"&amp;$C$61)=$AE$10,L$65:INDIRECT(AD$13&amp;$C$61)),$AH31),IF(ISBLANK($AE$10),LARGE(IF($D$65:INDIRECT("D"&amp;$C$61)=$AE$11,L$65:INDIRECT(AD$13&amp;$C$61)),$AH31),LARGE(IF(($E$65:INDIRECT("E"&amp;$C$61)=$AE$10)*($D$65:INDIRECT("D"&amp;$C$61)=$AE$11),L$65:INDIRECT(AD$13&amp;$C$61)),$AH31)))</f>
        <v>#NUM!</v>
      </c>
      <c r="AE31" t="e">
        <f ca="1">INDEX(M$65:INDIRECT("M"&amp;$C$61),$T31)</f>
        <v>#NUM!</v>
      </c>
      <c r="AF31" t="e">
        <f ca="1">INDEX(N$65:INDIRECT("N"&amp;$C$61),$T31)</f>
        <v>#NUM!</v>
      </c>
      <c r="AG31" t="e">
        <f ca="1">INDEX(O$65:INDIRECT("O"&amp;$C$61),$T31)</f>
        <v>#NUM!</v>
      </c>
      <c r="AH31" s="69">
        <v>3</v>
      </c>
      <c r="AI31" s="69" t="str">
        <f t="shared" ref="AI31:AJ34" si="2">AI30</f>
        <v>L</v>
      </c>
      <c r="AJ31" s="69" t="str">
        <f t="shared" si="2"/>
        <v>S</v>
      </c>
    </row>
    <row r="32" spans="1:36" x14ac:dyDescent="0.25">
      <c r="A32" s="74" t="s">
        <v>72</v>
      </c>
      <c r="B32" s="69" t="s">
        <v>33</v>
      </c>
      <c r="C32" s="74" t="e">
        <f ca="1">L6</f>
        <v>#N/A</v>
      </c>
      <c r="D32" s="69" t="e">
        <f ca="1">INDEX(D$65:INDIRECT("D"&amp;$C$61),$C32)</f>
        <v>#N/A</v>
      </c>
      <c r="E32" s="69" t="e">
        <f ca="1">INDEX(INDIRECT(("'MemberID'!$C$6:C"&amp;MemberID!$C$1)),MATCH(D32,INDIRECT(("'MemberID'!$G$6:G"&amp;MemberID!$C$1)),0))</f>
        <v>#N/A</v>
      </c>
      <c r="F32" s="69" t="e">
        <f ca="1">INDEX(E$65:INDIRECT("E"&amp;$C$61),$C32)</f>
        <v>#N/A</v>
      </c>
      <c r="G32" t="e">
        <f ca="1">INDEX(F$65:INDIRECT("F"&amp;$C$61),$C32)</f>
        <v>#N/A</v>
      </c>
      <c r="H32" t="e">
        <f ca="1">INDEX(G$65:INDIRECT("G"&amp;$C$61),$C32)</f>
        <v>#N/A</v>
      </c>
      <c r="I32" t="e">
        <f ca="1">INDEX(H$65:INDIRECT("H"&amp;$C$61),$C32)</f>
        <v>#N/A</v>
      </c>
      <c r="J32" t="e">
        <f ca="1">INDEX(I$65:INDIRECT("I"&amp;$C$61),$C32)</f>
        <v>#N/A</v>
      </c>
      <c r="K32" s="7" t="e">
        <f ca="1">INDEX(J$65:INDIRECT("J"&amp;$C$61),$C32)</f>
        <v>#N/A</v>
      </c>
      <c r="L32" t="e">
        <f ca="1">INDEX(K$65:INDIRECT("K"&amp;$C$61),$C32)</f>
        <v>#N/A</v>
      </c>
      <c r="M32" s="23" t="e">
        <f ca="1">INDEX(L$65:INDIRECT("L"&amp;$C$61),$C32)</f>
        <v>#N/A</v>
      </c>
      <c r="N32" t="e">
        <f ca="1">INDEX(M$65:INDIRECT("M"&amp;$C$61),$C32)</f>
        <v>#N/A</v>
      </c>
      <c r="O32" t="e">
        <f ca="1">INDEX(N$65:INDIRECT("N"&amp;$C$61),$C32)</f>
        <v>#N/A</v>
      </c>
      <c r="P32" t="e">
        <f ca="1">INDEX(O$65:INDIRECT("O"&amp;$C$61),$C32)</f>
        <v>#N/A</v>
      </c>
      <c r="Q32" s="104"/>
      <c r="R32" s="74" t="s">
        <v>72</v>
      </c>
      <c r="S32" s="69" t="s">
        <v>33</v>
      </c>
      <c r="T32" s="74" t="e">
        <f t="array" aca="1" ref="T32" ca="1">MATCH(IF(ISBLANK($AE$11),SMALL(IF($E$65:INDIRECT("E"&amp;$C$61)=$AE$10,INDIRECT(AJ32&amp;65):INDIRECT(AJ32&amp;$C$61)),$AH32),IF(ISBLANK($AE$10),SMALL(IF($D$65:INDIRECT("D"&amp;$C$61)=$AE$11,INDIRECT(AJ32&amp;65):INDIRECT(AJ32&amp;$C$61)),$AH32),SMALL(IF(($E$65:INDIRECT("E"&amp;$C$61)=$AE$10)*($D$65:INDIRECT("D"&amp;$C$61)=$AE$11),INDIRECT(AJ32&amp;65):INDIRECT(AJ32&amp;$C$61)),$AH32))),INDIRECT(AJ32&amp;65):INDIRECT(AJ32&amp;$C$61),0)</f>
        <v>#NUM!</v>
      </c>
      <c r="U32" s="69" t="e">
        <f ca="1">INDEX(D$65:INDIRECT("D"&amp;$C$61),$T32)</f>
        <v>#NUM!</v>
      </c>
      <c r="V32" s="69" t="e">
        <f ca="1">INDEX(INDIRECT(("'MemberID'!$C$6:C"&amp;MemberID!$C$1)),MATCH(U32,INDIRECT(("'MemberID'!$G$6:G"&amp;MemberID!$C$1)),0))</f>
        <v>#NUM!</v>
      </c>
      <c r="W32" s="69" t="e">
        <f ca="1">INDEX(E$65:INDIRECT("E"&amp;$C$61),$T32)</f>
        <v>#NUM!</v>
      </c>
      <c r="X32" t="e">
        <f ca="1">INDEX(F$65:INDIRECT("F"&amp;$C$61),$T32)</f>
        <v>#NUM!</v>
      </c>
      <c r="Y32" t="e">
        <f ca="1">INDEX(G$65:INDIRECT("G"&amp;$C$61),$T32)</f>
        <v>#NUM!</v>
      </c>
      <c r="Z32" t="e">
        <f ca="1">INDEX(H$65:INDIRECT("H"&amp;$C$61),$T32)</f>
        <v>#NUM!</v>
      </c>
      <c r="AA32" t="e">
        <f ca="1">INDEX(I$65:INDIRECT("I"&amp;$C$61),$T32)</f>
        <v>#NUM!</v>
      </c>
      <c r="AB32" t="e">
        <f ca="1">INDEX(J$65:INDIRECT("J"&amp;$C$61),$T32)</f>
        <v>#NUM!</v>
      </c>
      <c r="AC32" t="e">
        <f ca="1">INDEX(K$65:INDIRECT("K"&amp;$C$61),$T32)</f>
        <v>#NUM!</v>
      </c>
      <c r="AD32" s="23" t="e">
        <f t="array" aca="1" ref="AD32" ca="1">IF(ISBLANK($AE$11),SMALL(IF($E$65:INDIRECT("E"&amp;$C$61)=$AE$10,L$65:INDIRECT(AD$13&amp;$C$61)),$AH32),IF(ISBLANK($AE$10),SMALL(IF($D$65:INDIRECT("D"&amp;$C$61)=$AE$11,L$65:INDIRECT(AD$13&amp;$C$61)),$AH32),SMALL(IF(($E$65:INDIRECT("E"&amp;$C$61)=$AE$10)*($D$65:INDIRECT("D"&amp;$C$61)=$AE$11),L$65:INDIRECT(AD$13&amp;$C$61)),$AH32)))</f>
        <v>#NUM!</v>
      </c>
      <c r="AE32" t="e">
        <f ca="1">INDEX(M$65:INDIRECT("M"&amp;$C$61),$T32)</f>
        <v>#NUM!</v>
      </c>
      <c r="AF32" t="e">
        <f ca="1">INDEX(N$65:INDIRECT("N"&amp;$C$61),$T32)</f>
        <v>#NUM!</v>
      </c>
      <c r="AG32" t="e">
        <f ca="1">INDEX(O$65:INDIRECT("O"&amp;$C$61),$T32)</f>
        <v>#NUM!</v>
      </c>
      <c r="AH32" s="69">
        <v>1</v>
      </c>
      <c r="AI32" s="69" t="str">
        <f t="shared" si="2"/>
        <v>L</v>
      </c>
      <c r="AJ32" s="69" t="str">
        <f t="shared" si="2"/>
        <v>S</v>
      </c>
    </row>
    <row r="33" spans="1:52" x14ac:dyDescent="0.25">
      <c r="A33" s="74" t="s">
        <v>73</v>
      </c>
      <c r="B33" s="69" t="s">
        <v>33</v>
      </c>
      <c r="C33" s="74" t="e">
        <f ca="1">T6</f>
        <v>#NUM!</v>
      </c>
      <c r="D33" s="69" t="e">
        <f ca="1">INDEX(D$65:INDIRECT("D"&amp;$C$61),$C33)</f>
        <v>#NUM!</v>
      </c>
      <c r="E33" s="69" t="e">
        <f ca="1">INDEX(INDIRECT(("'MemberID'!$C$6:C"&amp;MemberID!$C$1)),MATCH(D33,INDIRECT(("'MemberID'!$G$6:G"&amp;MemberID!$C$1)),0))</f>
        <v>#NUM!</v>
      </c>
      <c r="F33" s="69" t="e">
        <f ca="1">INDEX(E$65:INDIRECT("E"&amp;$C$61),$C33)</f>
        <v>#NUM!</v>
      </c>
      <c r="G33" t="e">
        <f ca="1">INDEX(F$65:INDIRECT("F"&amp;$C$61),$C33)</f>
        <v>#NUM!</v>
      </c>
      <c r="H33" t="e">
        <f ca="1">INDEX(G$65:INDIRECT("G"&amp;$C$61),$C33)</f>
        <v>#NUM!</v>
      </c>
      <c r="I33" t="e">
        <f ca="1">INDEX(H$65:INDIRECT("H"&amp;$C$61),$C33)</f>
        <v>#NUM!</v>
      </c>
      <c r="J33" t="e">
        <f ca="1">INDEX(I$65:INDIRECT("I"&amp;$C$61),$C33)</f>
        <v>#NUM!</v>
      </c>
      <c r="K33" s="7" t="e">
        <f ca="1">INDEX(J$65:INDIRECT("J"&amp;$C$61),$C33)</f>
        <v>#NUM!</v>
      </c>
      <c r="L33" t="e">
        <f ca="1">INDEX(K$65:INDIRECT("K"&amp;$C$61),$C33)</f>
        <v>#NUM!</v>
      </c>
      <c r="M33" s="23" t="e">
        <f ca="1">INDEX(L$65:INDIRECT("L"&amp;$C$61),$C33)</f>
        <v>#NUM!</v>
      </c>
      <c r="N33" t="e">
        <f ca="1">INDEX(M$65:INDIRECT("M"&amp;$C$61),$C33)</f>
        <v>#NUM!</v>
      </c>
      <c r="O33" t="e">
        <f ca="1">INDEX(N$65:INDIRECT("N"&amp;$C$61),$C33)</f>
        <v>#NUM!</v>
      </c>
      <c r="P33" t="e">
        <f ca="1">INDEX(O$65:INDIRECT("O"&amp;$C$61),$C33)</f>
        <v>#NUM!</v>
      </c>
      <c r="Q33" s="104"/>
      <c r="R33" s="74" t="s">
        <v>73</v>
      </c>
      <c r="S33" s="69" t="s">
        <v>33</v>
      </c>
      <c r="T33" s="74" t="e">
        <f t="array" aca="1" ref="T33" ca="1">MATCH(IF(ISBLANK($AE$11),SMALL(IF($E$65:INDIRECT("E"&amp;$C$61)=$AE$10,INDIRECT(AJ33&amp;65):INDIRECT(AJ33&amp;$C$61)),$AH33),IF(ISBLANK($AE$10),SMALL(IF($D$65:INDIRECT("D"&amp;$C$61)=$AE$11,INDIRECT(AJ33&amp;65):INDIRECT(AJ33&amp;$C$61)),$AH33),SMALL(IF(($E$65:INDIRECT("E"&amp;$C$61)=$AE$10)*($D$65:INDIRECT("D"&amp;$C$61)=$AE$11),INDIRECT(AJ33&amp;65):INDIRECT(AJ33&amp;$C$61)),$AH33))),INDIRECT(AJ33&amp;65):INDIRECT(AJ33&amp;$C$61),0)</f>
        <v>#NUM!</v>
      </c>
      <c r="U33" s="69" t="e">
        <f ca="1">INDEX(D$65:INDIRECT("D"&amp;$C$61),$T33)</f>
        <v>#NUM!</v>
      </c>
      <c r="V33" s="69" t="e">
        <f ca="1">INDEX(INDIRECT(("'MemberID'!$C$6:C"&amp;MemberID!$C$1)),MATCH(U33,INDIRECT(("'MemberID'!$G$6:G"&amp;MemberID!$C$1)),0))</f>
        <v>#NUM!</v>
      </c>
      <c r="W33" s="69" t="e">
        <f ca="1">INDEX(E$65:INDIRECT("E"&amp;$C$61),$T33)</f>
        <v>#NUM!</v>
      </c>
      <c r="X33" t="e">
        <f ca="1">INDEX(F$65:INDIRECT("F"&amp;$C$61),$T33)</f>
        <v>#NUM!</v>
      </c>
      <c r="Y33" t="e">
        <f ca="1">INDEX(G$65:INDIRECT("G"&amp;$C$61),$T33)</f>
        <v>#NUM!</v>
      </c>
      <c r="Z33" t="e">
        <f ca="1">INDEX(H$65:INDIRECT("H"&amp;$C$61),$T33)</f>
        <v>#NUM!</v>
      </c>
      <c r="AA33" t="e">
        <f ca="1">INDEX(I$65:INDIRECT("I"&amp;$C$61),$T33)</f>
        <v>#NUM!</v>
      </c>
      <c r="AB33" t="e">
        <f ca="1">INDEX(J$65:INDIRECT("J"&amp;$C$61),$T33)</f>
        <v>#NUM!</v>
      </c>
      <c r="AC33" t="e">
        <f ca="1">INDEX(K$65:INDIRECT("K"&amp;$C$61),$T33)</f>
        <v>#NUM!</v>
      </c>
      <c r="AD33" s="23" t="e">
        <f t="array" aca="1" ref="AD33" ca="1">IF(ISBLANK($AE$11),SMALL(IF($E$65:INDIRECT("E"&amp;$C$61)=$AE$10,L$65:INDIRECT(AD$13&amp;$C$61)),$AH33),IF(ISBLANK($AE$10),SMALL(IF($D$65:INDIRECT("D"&amp;$C$61)=$AE$11,L$65:INDIRECT(AD$13&amp;$C$61)),$AH33),SMALL(IF(($E$65:INDIRECT("E"&amp;$C$61)=$AE$10)*($D$65:INDIRECT("D"&amp;$C$61)=$AE$11),L$65:INDIRECT(AD$13&amp;$C$61)),$AH33)))</f>
        <v>#NUM!</v>
      </c>
      <c r="AE33" t="e">
        <f ca="1">INDEX(M$65:INDIRECT("M"&amp;$C$61),$T33)</f>
        <v>#NUM!</v>
      </c>
      <c r="AF33" t="e">
        <f ca="1">INDEX(N$65:INDIRECT("N"&amp;$C$61),$T33)</f>
        <v>#NUM!</v>
      </c>
      <c r="AG33" t="e">
        <f ca="1">INDEX(O$65:INDIRECT("O"&amp;$C$61),$T33)</f>
        <v>#NUM!</v>
      </c>
      <c r="AH33" s="69">
        <v>2</v>
      </c>
      <c r="AI33" s="69" t="str">
        <f t="shared" si="2"/>
        <v>L</v>
      </c>
      <c r="AJ33" s="69" t="str">
        <f t="shared" si="2"/>
        <v>S</v>
      </c>
    </row>
    <row r="34" spans="1:52" x14ac:dyDescent="0.25">
      <c r="A34" s="74" t="s">
        <v>74</v>
      </c>
      <c r="B34" s="69" t="s">
        <v>33</v>
      </c>
      <c r="C34" s="74" t="e">
        <f ca="1">AB6</f>
        <v>#NUM!</v>
      </c>
      <c r="D34" s="69" t="e">
        <f ca="1">INDEX(D$65:INDIRECT("D"&amp;$C$61),$C34)</f>
        <v>#NUM!</v>
      </c>
      <c r="E34" s="69" t="e">
        <f ca="1">INDEX(INDIRECT(("'MemberID'!$C$6:C"&amp;MemberID!$C$1)),MATCH(D34,INDIRECT(("'MemberID'!$G$6:G"&amp;MemberID!$C$1)),0))</f>
        <v>#NUM!</v>
      </c>
      <c r="F34" s="69" t="e">
        <f ca="1">INDEX(E$65:INDIRECT("E"&amp;$C$61),$C34)</f>
        <v>#NUM!</v>
      </c>
      <c r="G34" t="e">
        <f ca="1">INDEX(F$65:INDIRECT("F"&amp;$C$61),$C34)</f>
        <v>#NUM!</v>
      </c>
      <c r="H34" t="e">
        <f ca="1">INDEX(G$65:INDIRECT("G"&amp;$C$61),$C34)</f>
        <v>#NUM!</v>
      </c>
      <c r="I34" t="e">
        <f ca="1">INDEX(H$65:INDIRECT("H"&amp;$C$61),$C34)</f>
        <v>#NUM!</v>
      </c>
      <c r="J34" t="e">
        <f ca="1">INDEX(I$65:INDIRECT("I"&amp;$C$61),$C34)</f>
        <v>#NUM!</v>
      </c>
      <c r="K34" s="7" t="e">
        <f ca="1">INDEX(J$65:INDIRECT("J"&amp;$C$61),$C34)</f>
        <v>#NUM!</v>
      </c>
      <c r="L34" t="e">
        <f ca="1">INDEX(K$65:INDIRECT("K"&amp;$C$61),$C34)</f>
        <v>#NUM!</v>
      </c>
      <c r="M34" s="23" t="e">
        <f ca="1">INDEX(L$65:INDIRECT("L"&amp;$C$61),$C34)</f>
        <v>#NUM!</v>
      </c>
      <c r="N34" t="e">
        <f ca="1">INDEX(M$65:INDIRECT("M"&amp;$C$61),$C34)</f>
        <v>#NUM!</v>
      </c>
      <c r="O34" t="e">
        <f ca="1">INDEX(N$65:INDIRECT("N"&amp;$C$61),$C34)</f>
        <v>#NUM!</v>
      </c>
      <c r="P34" t="e">
        <f ca="1">INDEX(O$65:INDIRECT("O"&amp;$C$61),$C34)</f>
        <v>#NUM!</v>
      </c>
      <c r="Q34" s="104"/>
      <c r="R34" s="74" t="s">
        <v>74</v>
      </c>
      <c r="S34" s="69" t="s">
        <v>33</v>
      </c>
      <c r="T34" s="74" t="e">
        <f t="array" aca="1" ref="T34" ca="1">MATCH(IF(ISBLANK($AE$11),SMALL(IF($E$65:INDIRECT("E"&amp;$C$61)=$AE$10,INDIRECT(AJ34&amp;65):INDIRECT(AJ34&amp;$C$61)),$AH34),IF(ISBLANK($AE$10),SMALL(IF($D$65:INDIRECT("D"&amp;$C$61)=$AE$11,INDIRECT(AJ34&amp;65):INDIRECT(AJ34&amp;$C$61)),$AH34),SMALL(IF(($E$65:INDIRECT("E"&amp;$C$61)=$AE$10)*($D$65:INDIRECT("D"&amp;$C$61)=$AE$11),INDIRECT(AJ34&amp;65):INDIRECT(AJ34&amp;$C$61)),$AH34))),INDIRECT(AJ34&amp;65):INDIRECT(AJ34&amp;$C$61),0)</f>
        <v>#NUM!</v>
      </c>
      <c r="U34" s="69" t="e">
        <f ca="1">INDEX(D$65:INDIRECT("D"&amp;$C$61),$T34)</f>
        <v>#NUM!</v>
      </c>
      <c r="V34" s="69" t="e">
        <f ca="1">INDEX(INDIRECT(("'MemberID'!$C$6:C"&amp;MemberID!$C$1)),MATCH(U34,INDIRECT(("'MemberID'!$G$6:G"&amp;MemberID!$C$1)),0))</f>
        <v>#NUM!</v>
      </c>
      <c r="W34" s="69" t="e">
        <f ca="1">INDEX(E$65:INDIRECT("E"&amp;$C$61),$T34)</f>
        <v>#NUM!</v>
      </c>
      <c r="X34" t="e">
        <f ca="1">INDEX(F$65:INDIRECT("F"&amp;$C$61),$T34)</f>
        <v>#NUM!</v>
      </c>
      <c r="Y34" t="e">
        <f ca="1">INDEX(G$65:INDIRECT("G"&amp;$C$61),$T34)</f>
        <v>#NUM!</v>
      </c>
      <c r="Z34" t="e">
        <f ca="1">INDEX(H$65:INDIRECT("H"&amp;$C$61),$T34)</f>
        <v>#NUM!</v>
      </c>
      <c r="AA34" t="e">
        <f ca="1">INDEX(I$65:INDIRECT("I"&amp;$C$61),$T34)</f>
        <v>#NUM!</v>
      </c>
      <c r="AB34" t="e">
        <f ca="1">INDEX(J$65:INDIRECT("J"&amp;$C$61),$T34)</f>
        <v>#NUM!</v>
      </c>
      <c r="AC34" t="e">
        <f ca="1">INDEX(K$65:INDIRECT("K"&amp;$C$61),$T34)</f>
        <v>#NUM!</v>
      </c>
      <c r="AD34" s="23" t="e">
        <f t="array" aca="1" ref="AD34" ca="1">IF(ISBLANK($AE$11),SMALL(IF($E$65:INDIRECT("E"&amp;$C$61)=$AE$10,L$65:INDIRECT(AD$13&amp;$C$61)),$AH34),IF(ISBLANK($AE$10),SMALL(IF($D$65:INDIRECT("D"&amp;$C$61)=$AE$11,L$65:INDIRECT(AD$13&amp;$C$61)),$AH34),SMALL(IF(($E$65:INDIRECT("E"&amp;$C$61)=$AE$10)*($D$65:INDIRECT("D"&amp;$C$61)=$AE$11),L$65:INDIRECT(AD$13&amp;$C$61)),$AH34)))</f>
        <v>#NUM!</v>
      </c>
      <c r="AE34" t="e">
        <f ca="1">INDEX(M$65:INDIRECT("M"&amp;$C$61),$T34)</f>
        <v>#NUM!</v>
      </c>
      <c r="AF34" t="e">
        <f ca="1">INDEX(N$65:INDIRECT("N"&amp;$C$61),$T34)</f>
        <v>#NUM!</v>
      </c>
      <c r="AG34" t="e">
        <f ca="1">INDEX(O$65:INDIRECT("O"&amp;$C$61),$T34)</f>
        <v>#NUM!</v>
      </c>
      <c r="AH34" s="69">
        <v>3</v>
      </c>
      <c r="AI34" s="69" t="str">
        <f t="shared" si="2"/>
        <v>L</v>
      </c>
      <c r="AJ34" s="69" t="str">
        <f t="shared" si="2"/>
        <v>S</v>
      </c>
    </row>
    <row r="35" spans="1:52" x14ac:dyDescent="0.25">
      <c r="A35" s="5"/>
      <c r="B35" s="69"/>
      <c r="C35" s="69"/>
      <c r="D35" s="69"/>
      <c r="E35" s="69"/>
      <c r="F35" s="69"/>
      <c r="K35" s="7"/>
      <c r="Q35" s="104"/>
      <c r="R35" s="5"/>
      <c r="S35" s="69"/>
      <c r="T35" s="69"/>
      <c r="V35" s="69"/>
      <c r="W35" s="69"/>
      <c r="AH35" s="69"/>
      <c r="AI35" s="69"/>
      <c r="AJ35" s="69"/>
    </row>
    <row r="36" spans="1:52" x14ac:dyDescent="0.25">
      <c r="A36" s="73" t="s">
        <v>69</v>
      </c>
      <c r="B36" s="69" t="s">
        <v>34</v>
      </c>
      <c r="C36" s="73" t="e">
        <f ca="1">M3</f>
        <v>#N/A</v>
      </c>
      <c r="D36" s="69" t="e">
        <f ca="1">INDEX(D$65:INDIRECT("D"&amp;$C$61),$C36)</f>
        <v>#N/A</v>
      </c>
      <c r="E36" s="69" t="e">
        <f ca="1">INDEX(INDIRECT(("'MemberID'!$C$6:C"&amp;MemberID!$C$1)),MATCH(D36,INDIRECT(("'MemberID'!$G$6:G"&amp;MemberID!$C$1)),0))</f>
        <v>#N/A</v>
      </c>
      <c r="F36" s="69" t="e">
        <f ca="1">INDEX(E$65:INDIRECT("E"&amp;$C$61),$C36)</f>
        <v>#N/A</v>
      </c>
      <c r="G36" t="e">
        <f ca="1">INDEX(F$65:INDIRECT("F"&amp;$C$61),$C36)</f>
        <v>#N/A</v>
      </c>
      <c r="H36" t="e">
        <f ca="1">INDEX(G$65:INDIRECT("G"&amp;$C$61),$C36)</f>
        <v>#N/A</v>
      </c>
      <c r="I36" t="e">
        <f ca="1">INDEX(H$65:INDIRECT("H"&amp;$C$61),$C36)</f>
        <v>#N/A</v>
      </c>
      <c r="J36" t="e">
        <f ca="1">INDEX(I$65:INDIRECT("I"&amp;$C$61),$C36)</f>
        <v>#N/A</v>
      </c>
      <c r="K36" s="7" t="e">
        <f ca="1">INDEX(J$65:INDIRECT("J"&amp;$C$61),$C36)</f>
        <v>#N/A</v>
      </c>
      <c r="L36" t="e">
        <f ca="1">INDEX(K$65:INDIRECT("K"&amp;$C$61),$C36)</f>
        <v>#N/A</v>
      </c>
      <c r="M36" t="e">
        <f ca="1">INDEX(L$65:INDIRECT("L"&amp;$C$61),$C36)</f>
        <v>#N/A</v>
      </c>
      <c r="N36" s="23" t="e">
        <f ca="1">INDEX(M$65:INDIRECT("M"&amp;$C$61),$C36)</f>
        <v>#N/A</v>
      </c>
      <c r="O36" t="e">
        <f ca="1">INDEX(N$65:INDIRECT("N"&amp;$C$61),$C36)</f>
        <v>#N/A</v>
      </c>
      <c r="P36" t="e">
        <f ca="1">INDEX(O$65:INDIRECT("O"&amp;$C$61),$C36)</f>
        <v>#N/A</v>
      </c>
      <c r="Q36" s="104"/>
      <c r="R36" s="73" t="s">
        <v>69</v>
      </c>
      <c r="S36" s="69" t="s">
        <v>34</v>
      </c>
      <c r="T36" s="73" t="e">
        <f t="array" aca="1" ref="T36" ca="1">MATCH(IF(ISBLANK($AE$11),LARGE(IF($E$65:INDIRECT("E"&amp;$C$61)=$AE$10,INDIRECT(AJ36&amp;65):INDIRECT(AJ36&amp;$C$61)),$AH36),IF(ISBLANK($AE$10),LARGE(IF($D$65:INDIRECT("D"&amp;$C$61)=$AE$11,INDIRECT(AJ36&amp;65):INDIRECT(AJ36&amp;$C$61)),$AH36),LARGE(IF(($E$65:INDIRECT("E"&amp;$C$61)=$AE$10)*($D$65:INDIRECT("D"&amp;$C$61)=$AE$11),INDIRECT(AJ36&amp;65):INDIRECT(AJ36&amp;$C$61)),$AH36))),INDIRECT(AJ36&amp;65):INDIRECT(AJ36&amp;$C$61),0)</f>
        <v>#NUM!</v>
      </c>
      <c r="U36" s="69" t="e">
        <f ca="1">INDEX(D$65:INDIRECT("D"&amp;$C$61),$T36)</f>
        <v>#NUM!</v>
      </c>
      <c r="V36" s="69" t="e">
        <f ca="1">INDEX(INDIRECT(("'MemberID'!$C$6:C"&amp;MemberID!$C$1)),MATCH(U36,INDIRECT(("'MemberID'!$G$6:G"&amp;MemberID!$C$1)),0))</f>
        <v>#NUM!</v>
      </c>
      <c r="W36" s="69" t="e">
        <f ca="1">INDEX(E$65:INDIRECT("E"&amp;$C$61),$T36)</f>
        <v>#NUM!</v>
      </c>
      <c r="X36" t="e">
        <f ca="1">INDEX(F$65:INDIRECT("F"&amp;$C$61),$T36)</f>
        <v>#NUM!</v>
      </c>
      <c r="Y36" t="e">
        <f ca="1">INDEX(G$65:INDIRECT("G"&amp;$C$61),$T36)</f>
        <v>#NUM!</v>
      </c>
      <c r="Z36" t="e">
        <f ca="1">INDEX(H$65:INDIRECT("H"&amp;$C$61),$T36)</f>
        <v>#NUM!</v>
      </c>
      <c r="AA36" t="e">
        <f ca="1">INDEX(I$65:INDIRECT("I"&amp;$C$61),$T36)</f>
        <v>#NUM!</v>
      </c>
      <c r="AB36" t="e">
        <f ca="1">INDEX(J$65:INDIRECT("J"&amp;$C$61),$T36)</f>
        <v>#NUM!</v>
      </c>
      <c r="AC36" t="e">
        <f ca="1">INDEX(K$65:INDIRECT("K"&amp;$C$61),$T36)</f>
        <v>#NUM!</v>
      </c>
      <c r="AD36" t="e">
        <f ca="1">INDEX(L$65:INDIRECT("L"&amp;$C$61),$T36)</f>
        <v>#NUM!</v>
      </c>
      <c r="AE36" s="23" t="e">
        <f t="array" aca="1" ref="AE36" ca="1">IF(ISBLANK($AE$11),LARGE(IF($E$65:INDIRECT("E"&amp;$C$61)=$AE$10,M$65:INDIRECT(AE$13&amp;$C$61)),$AH36),IF(ISBLANK($AE$10),LARGE(IF($D$65:INDIRECT("D"&amp;$C$61)=$AE$11,M$65:INDIRECT(AE$13&amp;$C$61)),$AH36),LARGE(IF(($E$65:INDIRECT("E"&amp;$C$61)=$AE$10)*($D$65:INDIRECT("D"&amp;$C$61)=$AE$11),M$65:INDIRECT(AE$13&amp;$C$61)),$AH36)))</f>
        <v>#NUM!</v>
      </c>
      <c r="AF36" t="e">
        <f ca="1">INDEX(N$65:INDIRECT("N"&amp;$C$61),$T36)</f>
        <v>#NUM!</v>
      </c>
      <c r="AG36" t="e">
        <f ca="1">INDEX(O$65:INDIRECT("O"&amp;$C$61),$T36)</f>
        <v>#NUM!</v>
      </c>
      <c r="AH36" s="69">
        <v>1</v>
      </c>
      <c r="AI36" s="69" t="s">
        <v>198</v>
      </c>
      <c r="AJ36" s="69" t="s">
        <v>195</v>
      </c>
    </row>
    <row r="37" spans="1:52" x14ac:dyDescent="0.25">
      <c r="A37" s="73" t="s">
        <v>70</v>
      </c>
      <c r="B37" s="69" t="s">
        <v>34</v>
      </c>
      <c r="C37" s="73" t="e">
        <f ca="1">U3</f>
        <v>#NUM!</v>
      </c>
      <c r="D37" s="69" t="e">
        <f ca="1">INDEX(D$65:INDIRECT("D"&amp;$C$61),$C37)</f>
        <v>#NUM!</v>
      </c>
      <c r="E37" s="69" t="e">
        <f ca="1">INDEX(INDIRECT(("'MemberID'!$C$6:C"&amp;MemberID!$C$1)),MATCH(D37,INDIRECT(("'MemberID'!$G$6:G"&amp;MemberID!$C$1)),0))</f>
        <v>#NUM!</v>
      </c>
      <c r="F37" s="69" t="e">
        <f ca="1">INDEX(E$65:INDIRECT("E"&amp;$C$61),$C37)</f>
        <v>#NUM!</v>
      </c>
      <c r="G37" t="e">
        <f ca="1">INDEX(F$65:INDIRECT("F"&amp;$C$61),$C37)</f>
        <v>#NUM!</v>
      </c>
      <c r="H37" t="e">
        <f ca="1">INDEX(G$65:INDIRECT("G"&amp;$C$61),$C37)</f>
        <v>#NUM!</v>
      </c>
      <c r="I37" t="e">
        <f ca="1">INDEX(H$65:INDIRECT("H"&amp;$C$61),$C37)</f>
        <v>#NUM!</v>
      </c>
      <c r="J37" t="e">
        <f ca="1">INDEX(I$65:INDIRECT("I"&amp;$C$61),$C37)</f>
        <v>#NUM!</v>
      </c>
      <c r="K37" s="7" t="e">
        <f ca="1">INDEX(J$65:INDIRECT("J"&amp;$C$61),$C37)</f>
        <v>#NUM!</v>
      </c>
      <c r="L37" t="e">
        <f ca="1">INDEX(K$65:INDIRECT("K"&amp;$C$61),$C37)</f>
        <v>#NUM!</v>
      </c>
      <c r="M37" t="e">
        <f ca="1">INDEX(L$65:INDIRECT("L"&amp;$C$61),$C37)</f>
        <v>#NUM!</v>
      </c>
      <c r="N37" s="23" t="e">
        <f ca="1">INDEX(M$65:INDIRECT("M"&amp;$C$61),$C37)</f>
        <v>#NUM!</v>
      </c>
      <c r="O37" t="e">
        <f ca="1">INDEX(N$65:INDIRECT("N"&amp;$C$61),$C37)</f>
        <v>#NUM!</v>
      </c>
      <c r="P37" t="e">
        <f ca="1">INDEX(O$65:INDIRECT("O"&amp;$C$61),$C37)</f>
        <v>#NUM!</v>
      </c>
      <c r="Q37" s="104"/>
      <c r="R37" s="73" t="s">
        <v>70</v>
      </c>
      <c r="S37" s="69" t="s">
        <v>34</v>
      </c>
      <c r="T37" s="73" t="e">
        <f t="array" aca="1" ref="T37" ca="1">MATCH(IF(ISBLANK($AE$11),LARGE(IF($E$65:INDIRECT("E"&amp;$C$61)=$AE$10,INDIRECT(AJ37&amp;65):INDIRECT(AJ37&amp;$C$61)),$AH37),IF(ISBLANK($AE$10),LARGE(IF($D$65:INDIRECT("D"&amp;$C$61)=$AE$11,INDIRECT(AJ37&amp;65):INDIRECT(AJ37&amp;$C$61)),$AH37),LARGE(IF(($E$65:INDIRECT("E"&amp;$C$61)=$AE$10)*($D$65:INDIRECT("D"&amp;$C$61)=$AE$11),INDIRECT(AJ37&amp;65):INDIRECT(AJ37&amp;$C$61)),$AH37))),INDIRECT(AJ37&amp;65):INDIRECT(AJ37&amp;$C$61),0)</f>
        <v>#NUM!</v>
      </c>
      <c r="U37" s="69" t="e">
        <f ca="1">INDEX(D$65:INDIRECT("D"&amp;$C$61),$T37)</f>
        <v>#NUM!</v>
      </c>
      <c r="V37" s="69" t="e">
        <f ca="1">INDEX(INDIRECT(("'MemberID'!$C$6:C"&amp;MemberID!$C$1)),MATCH(U37,INDIRECT(("'MemberID'!$G$6:G"&amp;MemberID!$C$1)),0))</f>
        <v>#NUM!</v>
      </c>
      <c r="W37" s="69" t="e">
        <f ca="1">INDEX(E$65:INDIRECT("E"&amp;$C$61),$T37)</f>
        <v>#NUM!</v>
      </c>
      <c r="X37" t="e">
        <f ca="1">INDEX(F$65:INDIRECT("F"&amp;$C$61),$T37)</f>
        <v>#NUM!</v>
      </c>
      <c r="Y37" t="e">
        <f ca="1">INDEX(G$65:INDIRECT("G"&amp;$C$61),$T37)</f>
        <v>#NUM!</v>
      </c>
      <c r="Z37" t="e">
        <f ca="1">INDEX(H$65:INDIRECT("H"&amp;$C$61),$T37)</f>
        <v>#NUM!</v>
      </c>
      <c r="AA37" t="e">
        <f ca="1">INDEX(I$65:INDIRECT("I"&amp;$C$61),$T37)</f>
        <v>#NUM!</v>
      </c>
      <c r="AB37" t="e">
        <f ca="1">INDEX(J$65:INDIRECT("J"&amp;$C$61),$T37)</f>
        <v>#NUM!</v>
      </c>
      <c r="AC37" t="e">
        <f ca="1">INDEX(K$65:INDIRECT("K"&amp;$C$61),$T37)</f>
        <v>#NUM!</v>
      </c>
      <c r="AD37" t="e">
        <f ca="1">INDEX(L$65:INDIRECT("L"&amp;$C$61),$T37)</f>
        <v>#NUM!</v>
      </c>
      <c r="AE37" s="23" t="e">
        <f t="array" aca="1" ref="AE37" ca="1">IF(ISBLANK($AE$11),LARGE(IF($E$65:INDIRECT("E"&amp;$C$61)=$AE$10,M$65:INDIRECT(AE$13&amp;$C$61)),$AH37),IF(ISBLANK($AE$10),LARGE(IF($D$65:INDIRECT("D"&amp;$C$61)=$AE$11,M$65:INDIRECT(AE$13&amp;$C$61)),$AH37),LARGE(IF(($E$65:INDIRECT("E"&amp;$C$61)=$AE$10)*($D$65:INDIRECT("D"&amp;$C$61)=$AE$11),M$65:INDIRECT(AE$13&amp;$C$61)),$AH37)))</f>
        <v>#NUM!</v>
      </c>
      <c r="AF37" t="e">
        <f ca="1">INDEX(N$65:INDIRECT("N"&amp;$C$61),$T37)</f>
        <v>#NUM!</v>
      </c>
      <c r="AG37" t="e">
        <f ca="1">INDEX(O$65:INDIRECT("O"&amp;$C$61),$T37)</f>
        <v>#NUM!</v>
      </c>
      <c r="AH37" s="69">
        <v>2</v>
      </c>
      <c r="AI37" s="69" t="str">
        <f>AI36</f>
        <v>M</v>
      </c>
      <c r="AJ37" s="69" t="str">
        <f>AJ36</f>
        <v>T</v>
      </c>
    </row>
    <row r="38" spans="1:52" x14ac:dyDescent="0.25">
      <c r="A38" s="73" t="s">
        <v>71</v>
      </c>
      <c r="B38" s="69" t="s">
        <v>34</v>
      </c>
      <c r="C38" s="73" t="e">
        <f ca="1">AC3</f>
        <v>#NUM!</v>
      </c>
      <c r="D38" s="69" t="e">
        <f ca="1">INDEX(D$65:INDIRECT("D"&amp;$C$61),$C38)</f>
        <v>#NUM!</v>
      </c>
      <c r="E38" s="69" t="e">
        <f ca="1">INDEX(INDIRECT(("'MemberID'!$C$6:C"&amp;MemberID!$C$1)),MATCH(D38,INDIRECT(("'MemberID'!$G$6:G"&amp;MemberID!$C$1)),0))</f>
        <v>#NUM!</v>
      </c>
      <c r="F38" s="69" t="e">
        <f ca="1">INDEX(E$65:INDIRECT("E"&amp;$C$61),$C38)</f>
        <v>#NUM!</v>
      </c>
      <c r="G38" t="e">
        <f ca="1">INDEX(F$65:INDIRECT("F"&amp;$C$61),$C38)</f>
        <v>#NUM!</v>
      </c>
      <c r="H38" t="e">
        <f ca="1">INDEX(G$65:INDIRECT("G"&amp;$C$61),$C38)</f>
        <v>#NUM!</v>
      </c>
      <c r="I38" t="e">
        <f ca="1">INDEX(H$65:INDIRECT("H"&amp;$C$61),$C38)</f>
        <v>#NUM!</v>
      </c>
      <c r="J38" t="e">
        <f ca="1">INDEX(I$65:INDIRECT("I"&amp;$C$61),$C38)</f>
        <v>#NUM!</v>
      </c>
      <c r="K38" s="7" t="e">
        <f ca="1">INDEX(J$65:INDIRECT("J"&amp;$C$61),$C38)</f>
        <v>#NUM!</v>
      </c>
      <c r="L38" t="e">
        <f ca="1">INDEX(K$65:INDIRECT("K"&amp;$C$61),$C38)</f>
        <v>#NUM!</v>
      </c>
      <c r="M38" t="e">
        <f ca="1">INDEX(L$65:INDIRECT("L"&amp;$C$61),$C38)</f>
        <v>#NUM!</v>
      </c>
      <c r="N38" s="23" t="e">
        <f ca="1">INDEX(M$65:INDIRECT("M"&amp;$C$61),$C38)</f>
        <v>#NUM!</v>
      </c>
      <c r="O38" t="e">
        <f ca="1">INDEX(N$65:INDIRECT("N"&amp;$C$61),$C38)</f>
        <v>#NUM!</v>
      </c>
      <c r="P38" t="e">
        <f ca="1">INDEX(O$65:INDIRECT("O"&amp;$C$61),$C38)</f>
        <v>#NUM!</v>
      </c>
      <c r="Q38" s="104"/>
      <c r="R38" s="73" t="s">
        <v>71</v>
      </c>
      <c r="S38" s="69" t="s">
        <v>34</v>
      </c>
      <c r="T38" s="73" t="e">
        <f t="array" aca="1" ref="T38" ca="1">MATCH(IF(ISBLANK($AE$11),LARGE(IF($E$65:INDIRECT("E"&amp;$C$61)=$AE$10,INDIRECT(AJ38&amp;65):INDIRECT(AJ38&amp;$C$61)),$AH38),IF(ISBLANK($AE$10),LARGE(IF($D$65:INDIRECT("D"&amp;$C$61)=$AE$11,INDIRECT(AJ38&amp;65):INDIRECT(AJ38&amp;$C$61)),$AH38),LARGE(IF(($E$65:INDIRECT("E"&amp;$C$61)=$AE$10)*($D$65:INDIRECT("D"&amp;$C$61)=$AE$11),INDIRECT(AJ38&amp;65):INDIRECT(AJ38&amp;$C$61)),$AH38))),INDIRECT(AJ38&amp;65):INDIRECT(AJ38&amp;$C$61),0)</f>
        <v>#NUM!</v>
      </c>
      <c r="U38" s="69" t="e">
        <f ca="1">INDEX(D$65:INDIRECT("D"&amp;$C$61),$T38)</f>
        <v>#NUM!</v>
      </c>
      <c r="V38" s="69" t="e">
        <f ca="1">INDEX(INDIRECT(("'MemberID'!$C$6:C"&amp;MemberID!$C$1)),MATCH(U38,INDIRECT(("'MemberID'!$G$6:G"&amp;MemberID!$C$1)),0))</f>
        <v>#NUM!</v>
      </c>
      <c r="W38" s="69" t="e">
        <f ca="1">INDEX(E$65:INDIRECT("E"&amp;$C$61),$T38)</f>
        <v>#NUM!</v>
      </c>
      <c r="X38" t="e">
        <f ca="1">INDEX(F$65:INDIRECT("F"&amp;$C$61),$T38)</f>
        <v>#NUM!</v>
      </c>
      <c r="Y38" t="e">
        <f ca="1">INDEX(G$65:INDIRECT("G"&amp;$C$61),$T38)</f>
        <v>#NUM!</v>
      </c>
      <c r="Z38" t="e">
        <f ca="1">INDEX(H$65:INDIRECT("H"&amp;$C$61),$T38)</f>
        <v>#NUM!</v>
      </c>
      <c r="AA38" t="e">
        <f ca="1">INDEX(I$65:INDIRECT("I"&amp;$C$61),$T38)</f>
        <v>#NUM!</v>
      </c>
      <c r="AB38" t="e">
        <f ca="1">INDEX(J$65:INDIRECT("J"&amp;$C$61),$T38)</f>
        <v>#NUM!</v>
      </c>
      <c r="AC38" t="e">
        <f ca="1">INDEX(K$65:INDIRECT("K"&amp;$C$61),$T38)</f>
        <v>#NUM!</v>
      </c>
      <c r="AD38" t="e">
        <f ca="1">INDEX(L$65:INDIRECT("L"&amp;$C$61),$T38)</f>
        <v>#NUM!</v>
      </c>
      <c r="AE38" s="23" t="e">
        <f t="array" aca="1" ref="AE38" ca="1">IF(ISBLANK($AE$11),LARGE(IF($E$65:INDIRECT("E"&amp;$C$61)=$AE$10,M$65:INDIRECT(AE$13&amp;$C$61)),$AH38),IF(ISBLANK($AE$10),LARGE(IF($D$65:INDIRECT("D"&amp;$C$61)=$AE$11,M$65:INDIRECT(AE$13&amp;$C$61)),$AH38),LARGE(IF(($E$65:INDIRECT("E"&amp;$C$61)=$AE$10)*($D$65:INDIRECT("D"&amp;$C$61)=$AE$11),M$65:INDIRECT(AE$13&amp;$C$61)),$AH38)))</f>
        <v>#NUM!</v>
      </c>
      <c r="AF38" t="e">
        <f ca="1">INDEX(N$65:INDIRECT("N"&amp;$C$61),$T38)</f>
        <v>#NUM!</v>
      </c>
      <c r="AG38" t="e">
        <f ca="1">INDEX(O$65:INDIRECT("O"&amp;$C$61),$T38)</f>
        <v>#NUM!</v>
      </c>
      <c r="AH38" s="69">
        <v>3</v>
      </c>
      <c r="AI38" s="69" t="str">
        <f t="shared" ref="AI38:AJ41" si="3">AI37</f>
        <v>M</v>
      </c>
      <c r="AJ38" s="69" t="str">
        <f t="shared" si="3"/>
        <v>T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74" t="s">
        <v>72</v>
      </c>
      <c r="B39" s="69" t="s">
        <v>34</v>
      </c>
      <c r="C39" s="74" t="e">
        <f ca="1">M6</f>
        <v>#N/A</v>
      </c>
      <c r="D39" s="69" t="e">
        <f ca="1">INDEX(D$65:INDIRECT("D"&amp;$C$61),$C39)</f>
        <v>#N/A</v>
      </c>
      <c r="E39" s="69" t="e">
        <f ca="1">INDEX(INDIRECT(("'MemberID'!$C$6:C"&amp;MemberID!$C$1)),MATCH(D39,INDIRECT(("'MemberID'!$G$6:G"&amp;MemberID!$C$1)),0))</f>
        <v>#N/A</v>
      </c>
      <c r="F39" s="69" t="e">
        <f ca="1">INDEX(E$65:INDIRECT("E"&amp;$C$61),$C39)</f>
        <v>#N/A</v>
      </c>
      <c r="G39" t="e">
        <f ca="1">INDEX(F$65:INDIRECT("F"&amp;$C$61),$C39)</f>
        <v>#N/A</v>
      </c>
      <c r="H39" t="e">
        <f ca="1">INDEX(G$65:INDIRECT("G"&amp;$C$61),$C39)</f>
        <v>#N/A</v>
      </c>
      <c r="I39" t="e">
        <f ca="1">INDEX(H$65:INDIRECT("H"&amp;$C$61),$C39)</f>
        <v>#N/A</v>
      </c>
      <c r="J39" t="e">
        <f ca="1">INDEX(I$65:INDIRECT("I"&amp;$C$61),$C39)</f>
        <v>#N/A</v>
      </c>
      <c r="K39" s="7" t="e">
        <f ca="1">INDEX(J$65:INDIRECT("J"&amp;$C$61),$C39)</f>
        <v>#N/A</v>
      </c>
      <c r="L39" t="e">
        <f ca="1">INDEX(K$65:INDIRECT("K"&amp;$C$61),$C39)</f>
        <v>#N/A</v>
      </c>
      <c r="M39" t="e">
        <f ca="1">INDEX(L$65:INDIRECT("L"&amp;$C$61),$C39)</f>
        <v>#N/A</v>
      </c>
      <c r="N39" s="23" t="e">
        <f ca="1">INDEX(M$65:INDIRECT("M"&amp;$C$61),$C39)</f>
        <v>#N/A</v>
      </c>
      <c r="O39" t="e">
        <f ca="1">INDEX(N$65:INDIRECT("N"&amp;$C$61),$C39)</f>
        <v>#N/A</v>
      </c>
      <c r="P39" t="e">
        <f ca="1">INDEX(O$65:INDIRECT("O"&amp;$C$61),$C39)</f>
        <v>#N/A</v>
      </c>
      <c r="Q39" s="104"/>
      <c r="R39" s="74" t="s">
        <v>72</v>
      </c>
      <c r="S39" s="69" t="s">
        <v>34</v>
      </c>
      <c r="T39" s="74" t="e">
        <f t="array" aca="1" ref="T39" ca="1">MATCH(IF(ISBLANK($AE$11),SMALL(IF($E$65:INDIRECT("E"&amp;$C$61)=$AE$10,INDIRECT(AJ39&amp;65):INDIRECT(AJ39&amp;$C$61)),$AH39),IF(ISBLANK($AE$10),SMALL(IF($D$65:INDIRECT("D"&amp;$C$61)=$AE$11,INDIRECT(AJ39&amp;65):INDIRECT(AJ39&amp;$C$61)),$AH39),SMALL(IF(($E$65:INDIRECT("E"&amp;$C$61)=$AE$10)*($D$65:INDIRECT("D"&amp;$C$61)=$AE$11),INDIRECT(AJ39&amp;65):INDIRECT(AJ39&amp;$C$61)),$AH39))),INDIRECT(AJ39&amp;65):INDIRECT(AJ39&amp;$C$61),0)</f>
        <v>#NUM!</v>
      </c>
      <c r="U39" s="69" t="e">
        <f ca="1">INDEX(D$65:INDIRECT("D"&amp;$C$61),$T39)</f>
        <v>#NUM!</v>
      </c>
      <c r="V39" s="69" t="e">
        <f ca="1">INDEX(INDIRECT(("'MemberID'!$C$6:C"&amp;MemberID!$C$1)),MATCH(U39,INDIRECT(("'MemberID'!$G$6:G"&amp;MemberID!$C$1)),0))</f>
        <v>#NUM!</v>
      </c>
      <c r="W39" s="69" t="e">
        <f ca="1">INDEX(E$65:INDIRECT("E"&amp;$C$61),$T39)</f>
        <v>#NUM!</v>
      </c>
      <c r="X39" t="e">
        <f ca="1">INDEX(F$65:INDIRECT("F"&amp;$C$61),$T39)</f>
        <v>#NUM!</v>
      </c>
      <c r="Y39" t="e">
        <f ca="1">INDEX(G$65:INDIRECT("G"&amp;$C$61),$T39)</f>
        <v>#NUM!</v>
      </c>
      <c r="Z39" t="e">
        <f ca="1">INDEX(H$65:INDIRECT("H"&amp;$C$61),$T39)</f>
        <v>#NUM!</v>
      </c>
      <c r="AA39" t="e">
        <f ca="1">INDEX(I$65:INDIRECT("I"&amp;$C$61),$T39)</f>
        <v>#NUM!</v>
      </c>
      <c r="AB39" t="e">
        <f ca="1">INDEX(J$65:INDIRECT("J"&amp;$C$61),$T39)</f>
        <v>#NUM!</v>
      </c>
      <c r="AC39" t="e">
        <f ca="1">INDEX(K$65:INDIRECT("K"&amp;$C$61),$T39)</f>
        <v>#NUM!</v>
      </c>
      <c r="AD39" t="e">
        <f ca="1">INDEX(L$65:INDIRECT("L"&amp;$C$61),$T39)</f>
        <v>#NUM!</v>
      </c>
      <c r="AE39" s="23" t="e">
        <f t="array" aca="1" ref="AE39" ca="1">IF(ISBLANK($AE$11),SMALL(IF($E$65:INDIRECT("E"&amp;$C$61)=$AE$10,M$65:INDIRECT(AE$13&amp;$C$61)),$AH39),IF(ISBLANK($AE$10),SMALL(IF($D$65:INDIRECT("D"&amp;$C$61)=$AE$11,M$65:INDIRECT(AE$13&amp;$C$61)),$AH39),SMALL(IF(($E$65:INDIRECT("E"&amp;$C$61)=$AE$10)*($D$65:INDIRECT("D"&amp;$C$61)=$AE$11),M$65:INDIRECT(AE$13&amp;$C$61)),$AH39)))</f>
        <v>#NUM!</v>
      </c>
      <c r="AF39" t="e">
        <f ca="1">INDEX(N$65:INDIRECT("N"&amp;$C$61),$T39)</f>
        <v>#NUM!</v>
      </c>
      <c r="AG39" t="e">
        <f ca="1">INDEX(O$65:INDIRECT("O"&amp;$C$61),$T39)</f>
        <v>#NUM!</v>
      </c>
      <c r="AH39" s="69">
        <v>1</v>
      </c>
      <c r="AI39" s="69" t="str">
        <f t="shared" si="3"/>
        <v>M</v>
      </c>
      <c r="AJ39" s="69" t="str">
        <f t="shared" si="3"/>
        <v>T</v>
      </c>
    </row>
    <row r="40" spans="1:52" x14ac:dyDescent="0.25">
      <c r="A40" s="74" t="s">
        <v>73</v>
      </c>
      <c r="B40" s="69" t="s">
        <v>34</v>
      </c>
      <c r="C40" s="74" t="e">
        <f ca="1">U6</f>
        <v>#NUM!</v>
      </c>
      <c r="D40" s="69" t="e">
        <f ca="1">INDEX(D$65:INDIRECT("D"&amp;$C$61),$C40)</f>
        <v>#NUM!</v>
      </c>
      <c r="E40" s="69" t="e">
        <f ca="1">INDEX(INDIRECT(("'MemberID'!$C$6:C"&amp;MemberID!$C$1)),MATCH(D40,INDIRECT(("'MemberID'!$G$6:G"&amp;MemberID!$C$1)),0))</f>
        <v>#NUM!</v>
      </c>
      <c r="F40" s="69" t="e">
        <f ca="1">INDEX(E$65:INDIRECT("E"&amp;$C$61),$C40)</f>
        <v>#NUM!</v>
      </c>
      <c r="G40" t="e">
        <f ca="1">INDEX(F$65:INDIRECT("F"&amp;$C$61),$C40)</f>
        <v>#NUM!</v>
      </c>
      <c r="H40" t="e">
        <f ca="1">INDEX(G$65:INDIRECT("G"&amp;$C$61),$C40)</f>
        <v>#NUM!</v>
      </c>
      <c r="I40" t="e">
        <f ca="1">INDEX(H$65:INDIRECT("H"&amp;$C$61),$C40)</f>
        <v>#NUM!</v>
      </c>
      <c r="J40" t="e">
        <f ca="1">INDEX(I$65:INDIRECT("I"&amp;$C$61),$C40)</f>
        <v>#NUM!</v>
      </c>
      <c r="K40" s="7" t="e">
        <f ca="1">INDEX(J$65:INDIRECT("J"&amp;$C$61),$C40)</f>
        <v>#NUM!</v>
      </c>
      <c r="L40" t="e">
        <f ca="1">INDEX(K$65:INDIRECT("K"&amp;$C$61),$C40)</f>
        <v>#NUM!</v>
      </c>
      <c r="M40" t="e">
        <f ca="1">INDEX(L$65:INDIRECT("L"&amp;$C$61),$C40)</f>
        <v>#NUM!</v>
      </c>
      <c r="N40" s="23" t="e">
        <f ca="1">INDEX(M$65:INDIRECT("M"&amp;$C$61),$C40)</f>
        <v>#NUM!</v>
      </c>
      <c r="O40" t="e">
        <f ca="1">INDEX(N$65:INDIRECT("N"&amp;$C$61),$C40)</f>
        <v>#NUM!</v>
      </c>
      <c r="P40" t="e">
        <f ca="1">INDEX(O$65:INDIRECT("O"&amp;$C$61),$C40)</f>
        <v>#NUM!</v>
      </c>
      <c r="Q40" s="104"/>
      <c r="R40" s="74" t="s">
        <v>73</v>
      </c>
      <c r="S40" s="69" t="s">
        <v>34</v>
      </c>
      <c r="T40" s="74" t="e">
        <f t="array" aca="1" ref="T40" ca="1">MATCH(IF(ISBLANK($AE$11),SMALL(IF($E$65:INDIRECT("E"&amp;$C$61)=$AE$10,INDIRECT(AJ40&amp;65):INDIRECT(AJ40&amp;$C$61)),$AH40),IF(ISBLANK($AE$10),SMALL(IF($D$65:INDIRECT("D"&amp;$C$61)=$AE$11,INDIRECT(AJ40&amp;65):INDIRECT(AJ40&amp;$C$61)),$AH40),SMALL(IF(($E$65:INDIRECT("E"&amp;$C$61)=$AE$10)*($D$65:INDIRECT("D"&amp;$C$61)=$AE$11),INDIRECT(AJ40&amp;65):INDIRECT(AJ40&amp;$C$61)),$AH40))),INDIRECT(AJ40&amp;65):INDIRECT(AJ40&amp;$C$61),0)</f>
        <v>#NUM!</v>
      </c>
      <c r="U40" s="69" t="e">
        <f ca="1">INDEX(D$65:INDIRECT("D"&amp;$C$61),$T40)</f>
        <v>#NUM!</v>
      </c>
      <c r="V40" s="69" t="e">
        <f ca="1">INDEX(INDIRECT(("'MemberID'!$C$6:C"&amp;MemberID!$C$1)),MATCH(U40,INDIRECT(("'MemberID'!$G$6:G"&amp;MemberID!$C$1)),0))</f>
        <v>#NUM!</v>
      </c>
      <c r="W40" s="69" t="e">
        <f ca="1">INDEX(E$65:INDIRECT("E"&amp;$C$61),$T40)</f>
        <v>#NUM!</v>
      </c>
      <c r="X40" t="e">
        <f ca="1">INDEX(F$65:INDIRECT("F"&amp;$C$61),$T40)</f>
        <v>#NUM!</v>
      </c>
      <c r="Y40" t="e">
        <f ca="1">INDEX(G$65:INDIRECT("G"&amp;$C$61),$T40)</f>
        <v>#NUM!</v>
      </c>
      <c r="Z40" t="e">
        <f ca="1">INDEX(H$65:INDIRECT("H"&amp;$C$61),$T40)</f>
        <v>#NUM!</v>
      </c>
      <c r="AA40" t="e">
        <f ca="1">INDEX(I$65:INDIRECT("I"&amp;$C$61),$T40)</f>
        <v>#NUM!</v>
      </c>
      <c r="AB40" t="e">
        <f ca="1">INDEX(J$65:INDIRECT("J"&amp;$C$61),$T40)</f>
        <v>#NUM!</v>
      </c>
      <c r="AC40" t="e">
        <f ca="1">INDEX(K$65:INDIRECT("K"&amp;$C$61),$T40)</f>
        <v>#NUM!</v>
      </c>
      <c r="AD40" t="e">
        <f ca="1">INDEX(L$65:INDIRECT("L"&amp;$C$61),$T40)</f>
        <v>#NUM!</v>
      </c>
      <c r="AE40" s="23" t="e">
        <f t="array" aca="1" ref="AE40" ca="1">IF(ISBLANK($AE$11),SMALL(IF($E$65:INDIRECT("E"&amp;$C$61)=$AE$10,M$65:INDIRECT(AE$13&amp;$C$61)),$AH40),IF(ISBLANK($AE$10),SMALL(IF($D$65:INDIRECT("D"&amp;$C$61)=$AE$11,M$65:INDIRECT(AE$13&amp;$C$61)),$AH40),SMALL(IF(($E$65:INDIRECT("E"&amp;$C$61)=$AE$10)*($D$65:INDIRECT("D"&amp;$C$61)=$AE$11),M$65:INDIRECT(AE$13&amp;$C$61)),$AH40)))</f>
        <v>#NUM!</v>
      </c>
      <c r="AF40" t="e">
        <f ca="1">INDEX(N$65:INDIRECT("N"&amp;$C$61),$T40)</f>
        <v>#NUM!</v>
      </c>
      <c r="AG40" t="e">
        <f ca="1">INDEX(O$65:INDIRECT("O"&amp;$C$61),$T40)</f>
        <v>#NUM!</v>
      </c>
      <c r="AH40" s="69">
        <v>2</v>
      </c>
      <c r="AI40" s="69" t="str">
        <f t="shared" si="3"/>
        <v>M</v>
      </c>
      <c r="AJ40" s="69" t="str">
        <f t="shared" si="3"/>
        <v>T</v>
      </c>
    </row>
    <row r="41" spans="1:52" x14ac:dyDescent="0.25">
      <c r="A41" s="74" t="s">
        <v>74</v>
      </c>
      <c r="B41" s="69" t="s">
        <v>34</v>
      </c>
      <c r="C41" s="74" t="e">
        <f ca="1">AC6</f>
        <v>#NUM!</v>
      </c>
      <c r="D41" s="69" t="e">
        <f ca="1">INDEX(D$65:INDIRECT("D"&amp;$C$61),$C41)</f>
        <v>#NUM!</v>
      </c>
      <c r="E41" s="69" t="e">
        <f ca="1">INDEX(INDIRECT(("'MemberID'!$C$6:C"&amp;MemberID!$C$1)),MATCH(D41,INDIRECT(("'MemberID'!$G$6:G"&amp;MemberID!$C$1)),0))</f>
        <v>#NUM!</v>
      </c>
      <c r="F41" s="69" t="e">
        <f ca="1">INDEX(E$65:INDIRECT("E"&amp;$C$61),$C41)</f>
        <v>#NUM!</v>
      </c>
      <c r="G41" t="e">
        <f ca="1">INDEX(F$65:INDIRECT("F"&amp;$C$61),$C41)</f>
        <v>#NUM!</v>
      </c>
      <c r="H41" t="e">
        <f ca="1">INDEX(G$65:INDIRECT("G"&amp;$C$61),$C41)</f>
        <v>#NUM!</v>
      </c>
      <c r="I41" t="e">
        <f ca="1">INDEX(H$65:INDIRECT("H"&amp;$C$61),$C41)</f>
        <v>#NUM!</v>
      </c>
      <c r="J41" t="e">
        <f ca="1">INDEX(I$65:INDIRECT("I"&amp;$C$61),$C41)</f>
        <v>#NUM!</v>
      </c>
      <c r="K41" s="7" t="e">
        <f ca="1">INDEX(J$65:INDIRECT("J"&amp;$C$61),$C41)</f>
        <v>#NUM!</v>
      </c>
      <c r="L41" t="e">
        <f ca="1">INDEX(K$65:INDIRECT("K"&amp;$C$61),$C41)</f>
        <v>#NUM!</v>
      </c>
      <c r="M41" t="e">
        <f ca="1">INDEX(L$65:INDIRECT("L"&amp;$C$61),$C41)</f>
        <v>#NUM!</v>
      </c>
      <c r="N41" s="23" t="e">
        <f ca="1">INDEX(M$65:INDIRECT("M"&amp;$C$61),$C41)</f>
        <v>#NUM!</v>
      </c>
      <c r="O41" t="e">
        <f ca="1">INDEX(N$65:INDIRECT("N"&amp;$C$61),$C41)</f>
        <v>#NUM!</v>
      </c>
      <c r="P41" t="e">
        <f ca="1">INDEX(O$65:INDIRECT("O"&amp;$C$61),$C41)</f>
        <v>#NUM!</v>
      </c>
      <c r="Q41" s="104"/>
      <c r="R41" s="74" t="s">
        <v>74</v>
      </c>
      <c r="S41" s="69" t="s">
        <v>34</v>
      </c>
      <c r="T41" s="74" t="e">
        <f t="array" aca="1" ref="T41" ca="1">MATCH(IF(ISBLANK($AE$11),SMALL(IF($E$65:INDIRECT("E"&amp;$C$61)=$AE$10,INDIRECT(AJ41&amp;65):INDIRECT(AJ41&amp;$C$61)),$AH41),IF(ISBLANK($AE$10),SMALL(IF($D$65:INDIRECT("D"&amp;$C$61)=$AE$11,INDIRECT(AJ41&amp;65):INDIRECT(AJ41&amp;$C$61)),$AH41),SMALL(IF(($E$65:INDIRECT("E"&amp;$C$61)=$AE$10)*($D$65:INDIRECT("D"&amp;$C$61)=$AE$11),INDIRECT(AJ41&amp;65):INDIRECT(AJ41&amp;$C$61)),$AH41))),INDIRECT(AJ41&amp;65):INDIRECT(AJ41&amp;$C$61),0)</f>
        <v>#NUM!</v>
      </c>
      <c r="U41" s="69" t="e">
        <f ca="1">INDEX(D$65:INDIRECT("D"&amp;$C$61),$T41)</f>
        <v>#NUM!</v>
      </c>
      <c r="V41" s="69" t="e">
        <f ca="1">INDEX(INDIRECT(("'MemberID'!$C$6:C"&amp;MemberID!$C$1)),MATCH(U41,INDIRECT(("'MemberID'!$G$6:G"&amp;MemberID!$C$1)),0))</f>
        <v>#NUM!</v>
      </c>
      <c r="W41" s="69" t="e">
        <f ca="1">INDEX(E$65:INDIRECT("E"&amp;$C$61),$T41)</f>
        <v>#NUM!</v>
      </c>
      <c r="X41" t="e">
        <f ca="1">INDEX(F$65:INDIRECT("F"&amp;$C$61),$T41)</f>
        <v>#NUM!</v>
      </c>
      <c r="Y41" t="e">
        <f ca="1">INDEX(G$65:INDIRECT("G"&amp;$C$61),$T41)</f>
        <v>#NUM!</v>
      </c>
      <c r="Z41" t="e">
        <f ca="1">INDEX(H$65:INDIRECT("H"&amp;$C$61),$T41)</f>
        <v>#NUM!</v>
      </c>
      <c r="AA41" t="e">
        <f ca="1">INDEX(I$65:INDIRECT("I"&amp;$C$61),$T41)</f>
        <v>#NUM!</v>
      </c>
      <c r="AB41" t="e">
        <f ca="1">INDEX(J$65:INDIRECT("J"&amp;$C$61),$T41)</f>
        <v>#NUM!</v>
      </c>
      <c r="AC41" t="e">
        <f ca="1">INDEX(K$65:INDIRECT("K"&amp;$C$61),$T41)</f>
        <v>#NUM!</v>
      </c>
      <c r="AD41" t="e">
        <f ca="1">INDEX(L$65:INDIRECT("L"&amp;$C$61),$T41)</f>
        <v>#NUM!</v>
      </c>
      <c r="AE41" s="23" t="e">
        <f t="array" aca="1" ref="AE41" ca="1">IF(ISBLANK($AE$11),SMALL(IF($E$65:INDIRECT("E"&amp;$C$61)=$AE$10,M$65:INDIRECT(AE$13&amp;$C$61)),$AH41),IF(ISBLANK($AE$10),SMALL(IF($D$65:INDIRECT("D"&amp;$C$61)=$AE$11,M$65:INDIRECT(AE$13&amp;$C$61)),$AH41),SMALL(IF(($E$65:INDIRECT("E"&amp;$C$61)=$AE$10)*($D$65:INDIRECT("D"&amp;$C$61)=$AE$11),M$65:INDIRECT(AE$13&amp;$C$61)),$AH41)))</f>
        <v>#NUM!</v>
      </c>
      <c r="AF41" t="e">
        <f ca="1">INDEX(N$65:INDIRECT("N"&amp;$C$61),$T41)</f>
        <v>#NUM!</v>
      </c>
      <c r="AG41" t="e">
        <f ca="1">INDEX(O$65:INDIRECT("O"&amp;$C$61),$T41)</f>
        <v>#NUM!</v>
      </c>
      <c r="AH41" s="69">
        <v>3</v>
      </c>
      <c r="AI41" s="69" t="str">
        <f t="shared" si="3"/>
        <v>M</v>
      </c>
      <c r="AJ41" s="69" t="str">
        <f t="shared" si="3"/>
        <v>T</v>
      </c>
      <c r="AL41" s="89"/>
    </row>
    <row r="42" spans="1:52" x14ac:dyDescent="0.25">
      <c r="A42" s="5"/>
      <c r="B42" s="69"/>
      <c r="C42" s="69"/>
      <c r="D42" s="69"/>
      <c r="E42" s="69"/>
      <c r="F42" s="69"/>
      <c r="K42" s="7"/>
      <c r="Q42" s="104"/>
      <c r="R42" s="5"/>
      <c r="S42" s="69"/>
      <c r="T42" s="69"/>
      <c r="V42" s="69"/>
      <c r="W42" s="69"/>
      <c r="AH42" s="69"/>
      <c r="AI42" s="69"/>
      <c r="AJ42" s="69"/>
    </row>
    <row r="43" spans="1:52" x14ac:dyDescent="0.25">
      <c r="A43" s="73" t="s">
        <v>69</v>
      </c>
      <c r="B43" s="69" t="s">
        <v>35</v>
      </c>
      <c r="C43" s="73" t="e">
        <f ca="1">N3</f>
        <v>#N/A</v>
      </c>
      <c r="D43" s="69" t="e">
        <f ca="1">INDEX(D$65:INDIRECT("D"&amp;$C$61),$C43)</f>
        <v>#N/A</v>
      </c>
      <c r="E43" s="69" t="e">
        <f ca="1">INDEX(INDIRECT(("'MemberID'!$C$6:C"&amp;MemberID!$C$1)),MATCH(D43,INDIRECT(("'MemberID'!$G$6:G"&amp;MemberID!$C$1)),0))</f>
        <v>#N/A</v>
      </c>
      <c r="F43" s="69" t="e">
        <f ca="1">INDEX(E$65:INDIRECT("E"&amp;$C$61),$C43)</f>
        <v>#N/A</v>
      </c>
      <c r="G43" t="e">
        <f ca="1">INDEX(F$65:INDIRECT("F"&amp;$C$61),$C43)</f>
        <v>#N/A</v>
      </c>
      <c r="H43" t="e">
        <f ca="1">INDEX(G$65:INDIRECT("G"&amp;$C$61),$C43)</f>
        <v>#N/A</v>
      </c>
      <c r="I43" t="e">
        <f ca="1">INDEX(H$65:INDIRECT("H"&amp;$C$61),$C43)</f>
        <v>#N/A</v>
      </c>
      <c r="J43" t="e">
        <f ca="1">INDEX(I$65:INDIRECT("I"&amp;$C$61),$C43)</f>
        <v>#N/A</v>
      </c>
      <c r="K43" s="7" t="e">
        <f ca="1">INDEX(J$65:INDIRECT("J"&amp;$C$61),$C43)</f>
        <v>#N/A</v>
      </c>
      <c r="L43" t="e">
        <f ca="1">INDEX(K$65:INDIRECT("K"&amp;$C$61),$C43)</f>
        <v>#N/A</v>
      </c>
      <c r="M43" t="e">
        <f ca="1">INDEX(L$65:INDIRECT("L"&amp;$C$61),$C43)</f>
        <v>#N/A</v>
      </c>
      <c r="N43" t="e">
        <f ca="1">INDEX(M$65:INDIRECT("M"&amp;$C$61),$C43)</f>
        <v>#N/A</v>
      </c>
      <c r="O43" s="23" t="e">
        <f ca="1">INDEX(N$65:INDIRECT("N"&amp;$C$61),$C43)</f>
        <v>#N/A</v>
      </c>
      <c r="P43" t="e">
        <f ca="1">INDEX(O$65:INDIRECT("O"&amp;$C$61),$C43)</f>
        <v>#N/A</v>
      </c>
      <c r="Q43" s="104"/>
      <c r="R43" s="73" t="s">
        <v>69</v>
      </c>
      <c r="S43" s="69" t="s">
        <v>35</v>
      </c>
      <c r="T43" s="73" t="e">
        <f t="array" aca="1" ref="T43" ca="1">MATCH(IF(ISBLANK($AE$11),LARGE(IF($E$65:INDIRECT("E"&amp;$C$61)=$AE$10,INDIRECT(AJ43&amp;65):INDIRECT(AJ43&amp;$C$61)),$AH43),IF(ISBLANK($AE$10),LARGE(IF($D$65:INDIRECT("D"&amp;$C$61)=$AE$11,INDIRECT(AJ43&amp;65):INDIRECT(AJ43&amp;$C$61)),$AH43),LARGE(IF(($E$65:INDIRECT("E"&amp;$C$61)=$AE$10)*($D$65:INDIRECT("D"&amp;$C$61)=$AE$11),INDIRECT(AJ43&amp;65):INDIRECT(AJ43&amp;$C$61)),$AH43))),INDIRECT(AJ43&amp;65):INDIRECT(AJ43&amp;$C$61),0)</f>
        <v>#NUM!</v>
      </c>
      <c r="U43" s="69" t="e">
        <f ca="1">INDEX(D$65:INDIRECT("D"&amp;$C$61),$T43)</f>
        <v>#NUM!</v>
      </c>
      <c r="V43" s="69" t="e">
        <f ca="1">INDEX(INDIRECT(("'MemberID'!$C$6:C"&amp;MemberID!$C$1)),MATCH(U43,INDIRECT(("'MemberID'!$G$6:G"&amp;MemberID!$C$1)),0))</f>
        <v>#NUM!</v>
      </c>
      <c r="W43" s="69" t="e">
        <f ca="1">INDEX(E$65:INDIRECT("E"&amp;$C$61),$T43)</f>
        <v>#NUM!</v>
      </c>
      <c r="X43" t="e">
        <f ca="1">INDEX(F$65:INDIRECT("F"&amp;$C$61),$T43)</f>
        <v>#NUM!</v>
      </c>
      <c r="Y43" t="e">
        <f ca="1">INDEX(G$65:INDIRECT("G"&amp;$C$61),$T43)</f>
        <v>#NUM!</v>
      </c>
      <c r="Z43" t="e">
        <f ca="1">INDEX(H$65:INDIRECT("H"&amp;$C$61),$T43)</f>
        <v>#NUM!</v>
      </c>
      <c r="AA43" t="e">
        <f ca="1">INDEX(I$65:INDIRECT("I"&amp;$C$61),$T43)</f>
        <v>#NUM!</v>
      </c>
      <c r="AB43" t="e">
        <f ca="1">INDEX(J$65:INDIRECT("J"&amp;$C$61),$T43)</f>
        <v>#NUM!</v>
      </c>
      <c r="AC43" t="e">
        <f ca="1">INDEX(K$65:INDIRECT("K"&amp;$C$61),$T43)</f>
        <v>#NUM!</v>
      </c>
      <c r="AD43" t="e">
        <f ca="1">INDEX(L$65:INDIRECT("L"&amp;$C$61),$T43)</f>
        <v>#NUM!</v>
      </c>
      <c r="AE43" t="e">
        <f ca="1">INDEX(M$65:INDIRECT("M"&amp;$C$61),$T43)</f>
        <v>#NUM!</v>
      </c>
      <c r="AF43" s="23" t="e">
        <f t="array" aca="1" ref="AF43" ca="1">IF(ISBLANK($AE$11),LARGE(IF($E$65:INDIRECT("E"&amp;$C$61)=$AE$10,N$65:INDIRECT(AF$13&amp;$C$61)),$AH43),IF(ISBLANK($AE$10),LARGE(IF($D$65:INDIRECT("D"&amp;$C$61)=$AE$11,N$65:INDIRECT(AF$13&amp;$C$61)),$AH43),LARGE(IF(($E$65:INDIRECT("E"&amp;$C$61)=$AE$10)*($D$65:INDIRECT("D"&amp;$C$61)=$AE$11),N$65:INDIRECT(AF$13&amp;$C$61)),$AH43)))</f>
        <v>#NUM!</v>
      </c>
      <c r="AG43" t="e">
        <f ca="1">INDEX(O$65:INDIRECT("O"&amp;$C$61),$T43)</f>
        <v>#NUM!</v>
      </c>
      <c r="AH43" s="69">
        <v>1</v>
      </c>
      <c r="AI43" s="69" t="s">
        <v>154</v>
      </c>
      <c r="AJ43" s="69" t="s">
        <v>196</v>
      </c>
    </row>
    <row r="44" spans="1:52" x14ac:dyDescent="0.25">
      <c r="A44" s="73" t="s">
        <v>70</v>
      </c>
      <c r="B44" s="69" t="s">
        <v>35</v>
      </c>
      <c r="C44" s="73" t="e">
        <f ca="1">V3</f>
        <v>#NUM!</v>
      </c>
      <c r="D44" s="69" t="e">
        <f ca="1">INDEX(D$65:INDIRECT("D"&amp;$C$61),$C44)</f>
        <v>#NUM!</v>
      </c>
      <c r="E44" s="69" t="e">
        <f ca="1">INDEX(INDIRECT(("'MemberID'!$C$6:C"&amp;MemberID!$C$1)),MATCH(D44,INDIRECT(("'MemberID'!$G$6:G"&amp;MemberID!$C$1)),0))</f>
        <v>#NUM!</v>
      </c>
      <c r="F44" s="69" t="e">
        <f ca="1">INDEX(E$65:INDIRECT("E"&amp;$C$61),$C44)</f>
        <v>#NUM!</v>
      </c>
      <c r="G44" t="e">
        <f ca="1">INDEX(F$65:INDIRECT("F"&amp;$C$61),$C44)</f>
        <v>#NUM!</v>
      </c>
      <c r="H44" t="e">
        <f ca="1">INDEX(G$65:INDIRECT("G"&amp;$C$61),$C44)</f>
        <v>#NUM!</v>
      </c>
      <c r="I44" t="e">
        <f ca="1">INDEX(H$65:INDIRECT("H"&amp;$C$61),$C44)</f>
        <v>#NUM!</v>
      </c>
      <c r="J44" t="e">
        <f ca="1">INDEX(I$65:INDIRECT("I"&amp;$C$61),$C44)</f>
        <v>#NUM!</v>
      </c>
      <c r="K44" s="7" t="e">
        <f ca="1">INDEX(J$65:INDIRECT("J"&amp;$C$61),$C44)</f>
        <v>#NUM!</v>
      </c>
      <c r="L44" t="e">
        <f ca="1">INDEX(K$65:INDIRECT("K"&amp;$C$61),$C44)</f>
        <v>#NUM!</v>
      </c>
      <c r="M44" t="e">
        <f ca="1">INDEX(L$65:INDIRECT("L"&amp;$C$61),$C44)</f>
        <v>#NUM!</v>
      </c>
      <c r="N44" t="e">
        <f ca="1">INDEX(M$65:INDIRECT("M"&amp;$C$61),$C44)</f>
        <v>#NUM!</v>
      </c>
      <c r="O44" s="23" t="e">
        <f ca="1">INDEX(N$65:INDIRECT("N"&amp;$C$61),$C44)</f>
        <v>#NUM!</v>
      </c>
      <c r="P44" t="e">
        <f ca="1">INDEX(O$65:INDIRECT("O"&amp;$C$61),$C44)</f>
        <v>#NUM!</v>
      </c>
      <c r="Q44" s="104"/>
      <c r="R44" s="73" t="s">
        <v>70</v>
      </c>
      <c r="S44" s="69" t="s">
        <v>35</v>
      </c>
      <c r="T44" s="73" t="e">
        <f t="array" aca="1" ref="T44" ca="1">MATCH(IF(ISBLANK($AE$11),LARGE(IF($E$65:INDIRECT("E"&amp;$C$61)=$AE$10,INDIRECT(AJ44&amp;65):INDIRECT(AJ44&amp;$C$61)),$AH44),IF(ISBLANK($AE$10),LARGE(IF($D$65:INDIRECT("D"&amp;$C$61)=$AE$11,INDIRECT(AJ44&amp;65):INDIRECT(AJ44&amp;$C$61)),$AH44),LARGE(IF(($E$65:INDIRECT("E"&amp;$C$61)=$AE$10)*($D$65:INDIRECT("D"&amp;$C$61)=$AE$11),INDIRECT(AJ44&amp;65):INDIRECT(AJ44&amp;$C$61)),$AH44))),INDIRECT(AJ44&amp;65):INDIRECT(AJ44&amp;$C$61),0)</f>
        <v>#NUM!</v>
      </c>
      <c r="U44" s="69" t="e">
        <f ca="1">INDEX(D$65:INDIRECT("D"&amp;$C$61),$T44)</f>
        <v>#NUM!</v>
      </c>
      <c r="V44" s="69" t="e">
        <f ca="1">INDEX(INDIRECT(("'MemberID'!$C$6:C"&amp;MemberID!$C$1)),MATCH(U44,INDIRECT(("'MemberID'!$G$6:G"&amp;MemberID!$C$1)),0))</f>
        <v>#NUM!</v>
      </c>
      <c r="W44" s="69" t="e">
        <f ca="1">INDEX(E$65:INDIRECT("E"&amp;$C$61),$T44)</f>
        <v>#NUM!</v>
      </c>
      <c r="X44" t="e">
        <f ca="1">INDEX(F$65:INDIRECT("F"&amp;$C$61),$T44)</f>
        <v>#NUM!</v>
      </c>
      <c r="Y44" t="e">
        <f ca="1">INDEX(G$65:INDIRECT("G"&amp;$C$61),$T44)</f>
        <v>#NUM!</v>
      </c>
      <c r="Z44" t="e">
        <f ca="1">INDEX(H$65:INDIRECT("H"&amp;$C$61),$T44)</f>
        <v>#NUM!</v>
      </c>
      <c r="AA44" t="e">
        <f ca="1">INDEX(I$65:INDIRECT("I"&amp;$C$61),$T44)</f>
        <v>#NUM!</v>
      </c>
      <c r="AB44" t="e">
        <f ca="1">INDEX(J$65:INDIRECT("J"&amp;$C$61),$T44)</f>
        <v>#NUM!</v>
      </c>
      <c r="AC44" t="e">
        <f ca="1">INDEX(K$65:INDIRECT("K"&amp;$C$61),$T44)</f>
        <v>#NUM!</v>
      </c>
      <c r="AD44" t="e">
        <f ca="1">INDEX(L$65:INDIRECT("L"&amp;$C$61),$T44)</f>
        <v>#NUM!</v>
      </c>
      <c r="AE44" t="e">
        <f ca="1">INDEX(M$65:INDIRECT("M"&amp;$C$61),$T44)</f>
        <v>#NUM!</v>
      </c>
      <c r="AF44" s="23" t="e">
        <f t="array" aca="1" ref="AF44" ca="1">IF(ISBLANK($AE$11),LARGE(IF($E$65:INDIRECT("E"&amp;$C$61)=$AE$10,N$65:INDIRECT(AF$13&amp;$C$61)),$AH44),IF(ISBLANK($AE$10),LARGE(IF($D$65:INDIRECT("D"&amp;$C$61)=$AE$11,N$65:INDIRECT(AF$13&amp;$C$61)),$AH44),LARGE(IF(($E$65:INDIRECT("E"&amp;$C$61)=$AE$10)*($D$65:INDIRECT("D"&amp;$C$61)=$AE$11),N$65:INDIRECT(AF$13&amp;$C$61)),$AH44)))</f>
        <v>#NUM!</v>
      </c>
      <c r="AG44" t="e">
        <f ca="1">INDEX(O$65:INDIRECT("O"&amp;$C$61),$T44)</f>
        <v>#NUM!</v>
      </c>
      <c r="AH44" s="69">
        <v>2</v>
      </c>
      <c r="AI44" s="69" t="str">
        <f>AI43</f>
        <v>N</v>
      </c>
      <c r="AJ44" s="69" t="str">
        <f>AJ43</f>
        <v>U</v>
      </c>
    </row>
    <row r="45" spans="1:52" x14ac:dyDescent="0.25">
      <c r="A45" s="73" t="s">
        <v>71</v>
      </c>
      <c r="B45" s="69" t="s">
        <v>35</v>
      </c>
      <c r="C45" s="73" t="e">
        <f ca="1">AD3</f>
        <v>#NUM!</v>
      </c>
      <c r="D45" s="69" t="e">
        <f ca="1">INDEX(D$65:INDIRECT("D"&amp;$C$61),$C45)</f>
        <v>#NUM!</v>
      </c>
      <c r="E45" s="69" t="e">
        <f ca="1">INDEX(INDIRECT(("'MemberID'!$C$6:C"&amp;MemberID!$C$1)),MATCH(D45,INDIRECT(("'MemberID'!$G$6:G"&amp;MemberID!$C$1)),0))</f>
        <v>#NUM!</v>
      </c>
      <c r="F45" s="69" t="e">
        <f ca="1">INDEX(E$65:INDIRECT("E"&amp;$C$61),$C45)</f>
        <v>#NUM!</v>
      </c>
      <c r="G45" t="e">
        <f ca="1">INDEX(F$65:INDIRECT("F"&amp;$C$61),$C45)</f>
        <v>#NUM!</v>
      </c>
      <c r="H45" t="e">
        <f ca="1">INDEX(G$65:INDIRECT("G"&amp;$C$61),$C45)</f>
        <v>#NUM!</v>
      </c>
      <c r="I45" t="e">
        <f ca="1">INDEX(H$65:INDIRECT("H"&amp;$C$61),$C45)</f>
        <v>#NUM!</v>
      </c>
      <c r="J45" t="e">
        <f ca="1">INDEX(I$65:INDIRECT("I"&amp;$C$61),$C45)</f>
        <v>#NUM!</v>
      </c>
      <c r="K45" s="7" t="e">
        <f ca="1">INDEX(J$65:INDIRECT("J"&amp;$C$61),$C45)</f>
        <v>#NUM!</v>
      </c>
      <c r="L45" t="e">
        <f ca="1">INDEX(K$65:INDIRECT("K"&amp;$C$61),$C45)</f>
        <v>#NUM!</v>
      </c>
      <c r="M45" t="e">
        <f ca="1">INDEX(L$65:INDIRECT("L"&amp;$C$61),$C45)</f>
        <v>#NUM!</v>
      </c>
      <c r="N45" t="e">
        <f ca="1">INDEX(M$65:INDIRECT("M"&amp;$C$61),$C45)</f>
        <v>#NUM!</v>
      </c>
      <c r="O45" s="23" t="e">
        <f ca="1">INDEX(N$65:INDIRECT("N"&amp;$C$61),$C45)</f>
        <v>#NUM!</v>
      </c>
      <c r="P45" t="e">
        <f ca="1">INDEX(O$65:INDIRECT("O"&amp;$C$61),$C45)</f>
        <v>#NUM!</v>
      </c>
      <c r="Q45" s="104"/>
      <c r="R45" s="73" t="s">
        <v>71</v>
      </c>
      <c r="S45" s="69" t="s">
        <v>35</v>
      </c>
      <c r="T45" s="73" t="e">
        <f t="array" aca="1" ref="T45" ca="1">MATCH(IF(ISBLANK($AE$11),LARGE(IF($E$65:INDIRECT("E"&amp;$C$61)=$AE$10,INDIRECT(AJ45&amp;65):INDIRECT(AJ45&amp;$C$61)),$AH45),IF(ISBLANK($AE$10),LARGE(IF($D$65:INDIRECT("D"&amp;$C$61)=$AE$11,INDIRECT(AJ45&amp;65):INDIRECT(AJ45&amp;$C$61)),$AH45),LARGE(IF(($E$65:INDIRECT("E"&amp;$C$61)=$AE$10)*($D$65:INDIRECT("D"&amp;$C$61)=$AE$11),INDIRECT(AJ45&amp;65):INDIRECT(AJ45&amp;$C$61)),$AH45))),INDIRECT(AJ45&amp;65):INDIRECT(AJ45&amp;$C$61),0)</f>
        <v>#NUM!</v>
      </c>
      <c r="U45" s="69" t="e">
        <f ca="1">INDEX(D$65:INDIRECT("D"&amp;$C$61),$T45)</f>
        <v>#NUM!</v>
      </c>
      <c r="V45" s="69" t="e">
        <f ca="1">INDEX(INDIRECT(("'MemberID'!$C$6:C"&amp;MemberID!$C$1)),MATCH(U45,INDIRECT(("'MemberID'!$G$6:G"&amp;MemberID!$C$1)),0))</f>
        <v>#NUM!</v>
      </c>
      <c r="W45" s="69" t="e">
        <f ca="1">INDEX(E$65:INDIRECT("E"&amp;$C$61),$T45)</f>
        <v>#NUM!</v>
      </c>
      <c r="X45" t="e">
        <f ca="1">INDEX(F$65:INDIRECT("F"&amp;$C$61),$T45)</f>
        <v>#NUM!</v>
      </c>
      <c r="Y45" t="e">
        <f ca="1">INDEX(G$65:INDIRECT("G"&amp;$C$61),$T45)</f>
        <v>#NUM!</v>
      </c>
      <c r="Z45" t="e">
        <f ca="1">INDEX(H$65:INDIRECT("H"&amp;$C$61),$T45)</f>
        <v>#NUM!</v>
      </c>
      <c r="AA45" t="e">
        <f ca="1">INDEX(I$65:INDIRECT("I"&amp;$C$61),$T45)</f>
        <v>#NUM!</v>
      </c>
      <c r="AB45" t="e">
        <f ca="1">INDEX(J$65:INDIRECT("J"&amp;$C$61),$T45)</f>
        <v>#NUM!</v>
      </c>
      <c r="AC45" t="e">
        <f ca="1">INDEX(K$65:INDIRECT("K"&amp;$C$61),$T45)</f>
        <v>#NUM!</v>
      </c>
      <c r="AD45" t="e">
        <f ca="1">INDEX(L$65:INDIRECT("L"&amp;$C$61),$T45)</f>
        <v>#NUM!</v>
      </c>
      <c r="AE45" t="e">
        <f ca="1">INDEX(M$65:INDIRECT("M"&amp;$C$61),$T45)</f>
        <v>#NUM!</v>
      </c>
      <c r="AF45" s="23" t="e">
        <f t="array" aca="1" ref="AF45" ca="1">IF(ISBLANK($AE$11),LARGE(IF($E$65:INDIRECT("E"&amp;$C$61)=$AE$10,N$65:INDIRECT(AF$13&amp;$C$61)),$AH45),IF(ISBLANK($AE$10),LARGE(IF($D$65:INDIRECT("D"&amp;$C$61)=$AE$11,N$65:INDIRECT(AF$13&amp;$C$61)),$AH45),LARGE(IF(($E$65:INDIRECT("E"&amp;$C$61)=$AE$10)*($D$65:INDIRECT("D"&amp;$C$61)=$AE$11),N$65:INDIRECT(AF$13&amp;$C$61)),$AH45)))</f>
        <v>#NUM!</v>
      </c>
      <c r="AG45" t="e">
        <f ca="1">INDEX(O$65:INDIRECT("O"&amp;$C$61),$T45)</f>
        <v>#NUM!</v>
      </c>
      <c r="AH45" s="69">
        <v>3</v>
      </c>
      <c r="AI45" s="69" t="str">
        <f t="shared" ref="AI45:AJ48" si="4">AI44</f>
        <v>N</v>
      </c>
      <c r="AJ45" s="69" t="str">
        <f t="shared" si="4"/>
        <v>U</v>
      </c>
    </row>
    <row r="46" spans="1:52" x14ac:dyDescent="0.25">
      <c r="A46" s="74" t="s">
        <v>72</v>
      </c>
      <c r="B46" s="69" t="s">
        <v>35</v>
      </c>
      <c r="C46" s="74" t="e">
        <f ca="1">N6</f>
        <v>#N/A</v>
      </c>
      <c r="D46" s="69" t="e">
        <f ca="1">INDEX(D$65:INDIRECT("D"&amp;$C$61),$C46)</f>
        <v>#N/A</v>
      </c>
      <c r="E46" s="69" t="e">
        <f ca="1">INDEX(INDIRECT(("'MemberID'!$C$6:C"&amp;MemberID!$C$1)),MATCH(D46,INDIRECT(("'MemberID'!$G$6:G"&amp;MemberID!$C$1)),0))</f>
        <v>#N/A</v>
      </c>
      <c r="F46" s="69" t="e">
        <f ca="1">INDEX(E$65:INDIRECT("E"&amp;$C$61),$C46)</f>
        <v>#N/A</v>
      </c>
      <c r="G46" t="e">
        <f ca="1">INDEX(F$65:INDIRECT("F"&amp;$C$61),$C46)</f>
        <v>#N/A</v>
      </c>
      <c r="H46" t="e">
        <f ca="1">INDEX(G$65:INDIRECT("G"&amp;$C$61),$C46)</f>
        <v>#N/A</v>
      </c>
      <c r="I46" t="e">
        <f ca="1">INDEX(H$65:INDIRECT("H"&amp;$C$61),$C46)</f>
        <v>#N/A</v>
      </c>
      <c r="J46" t="e">
        <f ca="1">INDEX(I$65:INDIRECT("I"&amp;$C$61),$C46)</f>
        <v>#N/A</v>
      </c>
      <c r="K46" s="7" t="e">
        <f ca="1">INDEX(J$65:INDIRECT("J"&amp;$C$61),$C46)</f>
        <v>#N/A</v>
      </c>
      <c r="L46" t="e">
        <f ca="1">INDEX(K$65:INDIRECT("K"&amp;$C$61),$C46)</f>
        <v>#N/A</v>
      </c>
      <c r="M46" t="e">
        <f ca="1">INDEX(L$65:INDIRECT("L"&amp;$C$61),$C46)</f>
        <v>#N/A</v>
      </c>
      <c r="N46" t="e">
        <f ca="1">INDEX(M$65:INDIRECT("M"&amp;$C$61),$C46)</f>
        <v>#N/A</v>
      </c>
      <c r="O46" s="23" t="e">
        <f ca="1">INDEX(N$65:INDIRECT("N"&amp;$C$61),$C46)</f>
        <v>#N/A</v>
      </c>
      <c r="P46" t="e">
        <f ca="1">INDEX(O$65:INDIRECT("O"&amp;$C$61),$C46)</f>
        <v>#N/A</v>
      </c>
      <c r="Q46" s="104"/>
      <c r="R46" s="74" t="s">
        <v>72</v>
      </c>
      <c r="S46" s="69" t="s">
        <v>35</v>
      </c>
      <c r="T46" s="74" t="e">
        <f t="array" aca="1" ref="T46" ca="1">MATCH(IF(ISBLANK($AE$11),SMALL(IF($E$65:INDIRECT("E"&amp;$C$61)=$AE$10,INDIRECT(AJ46&amp;65):INDIRECT(AJ46&amp;$C$61)),$AH46),IF(ISBLANK($AE$10),SMALL(IF($D$65:INDIRECT("D"&amp;$C$61)=$AE$11,INDIRECT(AJ46&amp;65):INDIRECT(AJ46&amp;$C$61)),$AH46),SMALL(IF(($E$65:INDIRECT("E"&amp;$C$61)=$AE$10)*($D$65:INDIRECT("D"&amp;$C$61)=$AE$11),INDIRECT(AJ46&amp;65):INDIRECT(AJ46&amp;$C$61)),$AH46))),INDIRECT(AJ46&amp;65):INDIRECT(AJ46&amp;$C$61),0)</f>
        <v>#NUM!</v>
      </c>
      <c r="U46" s="69" t="e">
        <f ca="1">INDEX(D$65:INDIRECT("D"&amp;$C$61),$T46)</f>
        <v>#NUM!</v>
      </c>
      <c r="V46" s="69" t="e">
        <f ca="1">INDEX(INDIRECT(("'MemberID'!$C$6:C"&amp;MemberID!$C$1)),MATCH(U46,INDIRECT(("'MemberID'!$G$6:G"&amp;MemberID!$C$1)),0))</f>
        <v>#NUM!</v>
      </c>
      <c r="W46" s="69" t="e">
        <f ca="1">INDEX(E$65:INDIRECT("E"&amp;$C$61),$T46)</f>
        <v>#NUM!</v>
      </c>
      <c r="X46" t="e">
        <f ca="1">INDEX(F$65:INDIRECT("F"&amp;$C$61),$T46)</f>
        <v>#NUM!</v>
      </c>
      <c r="Y46" t="e">
        <f ca="1">INDEX(G$65:INDIRECT("G"&amp;$C$61),$T46)</f>
        <v>#NUM!</v>
      </c>
      <c r="Z46" t="e">
        <f ca="1">INDEX(H$65:INDIRECT("H"&amp;$C$61),$T46)</f>
        <v>#NUM!</v>
      </c>
      <c r="AA46" t="e">
        <f ca="1">INDEX(I$65:INDIRECT("I"&amp;$C$61),$T46)</f>
        <v>#NUM!</v>
      </c>
      <c r="AB46" t="e">
        <f ca="1">INDEX(J$65:INDIRECT("J"&amp;$C$61),$T46)</f>
        <v>#NUM!</v>
      </c>
      <c r="AC46" t="e">
        <f ca="1">INDEX(K$65:INDIRECT("K"&amp;$C$61),$T46)</f>
        <v>#NUM!</v>
      </c>
      <c r="AD46" t="e">
        <f ca="1">INDEX(L$65:INDIRECT("L"&amp;$C$61),$T46)</f>
        <v>#NUM!</v>
      </c>
      <c r="AE46" t="e">
        <f ca="1">INDEX(M$65:INDIRECT("M"&amp;$C$61),$T46)</f>
        <v>#NUM!</v>
      </c>
      <c r="AF46" s="23" t="e">
        <f t="array" aca="1" ref="AF46" ca="1">IF(ISBLANK($AE$11),SMALL(IF($E$65:INDIRECT("E"&amp;$C$61)=$AE$10,N$65:INDIRECT(AF$13&amp;$C$61)),$AH46),IF(ISBLANK($AE$10),SMALL(IF($D$65:INDIRECT("D"&amp;$C$61)=$AE$11,N$65:INDIRECT(AF$13&amp;$C$61)),$AH46),SMALL(IF(($E$65:INDIRECT("E"&amp;$C$61)=$AE$10)*($D$65:INDIRECT("D"&amp;$C$61)=$AE$11),N$65:INDIRECT(AF$13&amp;$C$61)),$AH46)))</f>
        <v>#NUM!</v>
      </c>
      <c r="AG46" t="e">
        <f ca="1">INDEX(O$65:INDIRECT("O"&amp;$C$61),$T46)</f>
        <v>#NUM!</v>
      </c>
      <c r="AH46" s="69">
        <v>1</v>
      </c>
      <c r="AI46" s="69" t="str">
        <f t="shared" si="4"/>
        <v>N</v>
      </c>
      <c r="AJ46" s="69" t="str">
        <f t="shared" si="4"/>
        <v>U</v>
      </c>
    </row>
    <row r="47" spans="1:52" x14ac:dyDescent="0.25">
      <c r="A47" s="74" t="s">
        <v>73</v>
      </c>
      <c r="B47" s="69" t="s">
        <v>35</v>
      </c>
      <c r="C47" s="74" t="e">
        <f ca="1">V6</f>
        <v>#NUM!</v>
      </c>
      <c r="D47" s="69" t="e">
        <f ca="1">INDEX(D$65:INDIRECT("D"&amp;$C$61),$C47)</f>
        <v>#NUM!</v>
      </c>
      <c r="E47" s="69" t="e">
        <f ca="1">INDEX(INDIRECT(("'MemberID'!$C$6:C"&amp;MemberID!$C$1)),MATCH(D47,INDIRECT(("'MemberID'!$G$6:G"&amp;MemberID!$C$1)),0))</f>
        <v>#NUM!</v>
      </c>
      <c r="F47" s="69" t="e">
        <f ca="1">INDEX(E$65:INDIRECT("E"&amp;$C$61),$C47)</f>
        <v>#NUM!</v>
      </c>
      <c r="G47" t="e">
        <f ca="1">INDEX(F$65:INDIRECT("F"&amp;$C$61),$C47)</f>
        <v>#NUM!</v>
      </c>
      <c r="H47" t="e">
        <f ca="1">INDEX(G$65:INDIRECT("G"&amp;$C$61),$C47)</f>
        <v>#NUM!</v>
      </c>
      <c r="I47" t="e">
        <f ca="1">INDEX(H$65:INDIRECT("H"&amp;$C$61),$C47)</f>
        <v>#NUM!</v>
      </c>
      <c r="J47" t="e">
        <f ca="1">INDEX(I$65:INDIRECT("I"&amp;$C$61),$C47)</f>
        <v>#NUM!</v>
      </c>
      <c r="K47" s="7" t="e">
        <f ca="1">INDEX(J$65:INDIRECT("J"&amp;$C$61),$C47)</f>
        <v>#NUM!</v>
      </c>
      <c r="L47" t="e">
        <f ca="1">INDEX(K$65:INDIRECT("K"&amp;$C$61),$C47)</f>
        <v>#NUM!</v>
      </c>
      <c r="M47" t="e">
        <f ca="1">INDEX(L$65:INDIRECT("L"&amp;$C$61),$C47)</f>
        <v>#NUM!</v>
      </c>
      <c r="N47" t="e">
        <f ca="1">INDEX(M$65:INDIRECT("M"&amp;$C$61),$C47)</f>
        <v>#NUM!</v>
      </c>
      <c r="O47" s="23" t="e">
        <f ca="1">INDEX(N$65:INDIRECT("N"&amp;$C$61),$C47)</f>
        <v>#NUM!</v>
      </c>
      <c r="P47" t="e">
        <f ca="1">INDEX(O$65:INDIRECT("O"&amp;$C$61),$C47)</f>
        <v>#NUM!</v>
      </c>
      <c r="Q47" s="104"/>
      <c r="R47" s="74" t="s">
        <v>73</v>
      </c>
      <c r="S47" s="69" t="s">
        <v>35</v>
      </c>
      <c r="T47" s="74" t="e">
        <f t="array" aca="1" ref="T47" ca="1">MATCH(IF(ISBLANK($AE$11),SMALL(IF($E$65:INDIRECT("E"&amp;$C$61)=$AE$10,INDIRECT(AJ47&amp;65):INDIRECT(AJ47&amp;$C$61)),$AH47),IF(ISBLANK($AE$10),SMALL(IF($D$65:INDIRECT("D"&amp;$C$61)=$AE$11,INDIRECT(AJ47&amp;65):INDIRECT(AJ47&amp;$C$61)),$AH47),SMALL(IF(($E$65:INDIRECT("E"&amp;$C$61)=$AE$10)*($D$65:INDIRECT("D"&amp;$C$61)=$AE$11),INDIRECT(AJ47&amp;65):INDIRECT(AJ47&amp;$C$61)),$AH47))),INDIRECT(AJ47&amp;65):INDIRECT(AJ47&amp;$C$61),0)</f>
        <v>#NUM!</v>
      </c>
      <c r="U47" s="69" t="e">
        <f ca="1">INDEX(D$65:INDIRECT("D"&amp;$C$61),$T47)</f>
        <v>#NUM!</v>
      </c>
      <c r="V47" s="69" t="e">
        <f ca="1">INDEX(INDIRECT(("'MemberID'!$C$6:C"&amp;MemberID!$C$1)),MATCH(U47,INDIRECT(("'MemberID'!$G$6:G"&amp;MemberID!$C$1)),0))</f>
        <v>#NUM!</v>
      </c>
      <c r="W47" s="69" t="e">
        <f ca="1">INDEX(E$65:INDIRECT("E"&amp;$C$61),$T47)</f>
        <v>#NUM!</v>
      </c>
      <c r="X47" t="e">
        <f ca="1">INDEX(F$65:INDIRECT("F"&amp;$C$61),$T47)</f>
        <v>#NUM!</v>
      </c>
      <c r="Y47" t="e">
        <f ca="1">INDEX(G$65:INDIRECT("G"&amp;$C$61),$T47)</f>
        <v>#NUM!</v>
      </c>
      <c r="Z47" t="e">
        <f ca="1">INDEX(H$65:INDIRECT("H"&amp;$C$61),$T47)</f>
        <v>#NUM!</v>
      </c>
      <c r="AA47" t="e">
        <f ca="1">INDEX(I$65:INDIRECT("I"&amp;$C$61),$T47)</f>
        <v>#NUM!</v>
      </c>
      <c r="AB47" t="e">
        <f ca="1">INDEX(J$65:INDIRECT("J"&amp;$C$61),$T47)</f>
        <v>#NUM!</v>
      </c>
      <c r="AC47" t="e">
        <f ca="1">INDEX(K$65:INDIRECT("K"&amp;$C$61),$T47)</f>
        <v>#NUM!</v>
      </c>
      <c r="AD47" t="e">
        <f ca="1">INDEX(L$65:INDIRECT("L"&amp;$C$61),$T47)</f>
        <v>#NUM!</v>
      </c>
      <c r="AE47" t="e">
        <f ca="1">INDEX(M$65:INDIRECT("M"&amp;$C$61),$T47)</f>
        <v>#NUM!</v>
      </c>
      <c r="AF47" s="23" t="e">
        <f t="array" aca="1" ref="AF47" ca="1">IF(ISBLANK($AE$11),SMALL(IF($E$65:INDIRECT("E"&amp;$C$61)=$AE$10,N$65:INDIRECT(AF$13&amp;$C$61)),$AH47),IF(ISBLANK($AE$10),SMALL(IF($D$65:INDIRECT("D"&amp;$C$61)=$AE$11,N$65:INDIRECT(AF$13&amp;$C$61)),$AH47),SMALL(IF(($E$65:INDIRECT("E"&amp;$C$61)=$AE$10)*($D$65:INDIRECT("D"&amp;$C$61)=$AE$11),N$65:INDIRECT(AF$13&amp;$C$61)),$AH47)))</f>
        <v>#NUM!</v>
      </c>
      <c r="AG47" t="e">
        <f ca="1">INDEX(O$65:INDIRECT("O"&amp;$C$61),$T47)</f>
        <v>#NUM!</v>
      </c>
      <c r="AH47" s="69">
        <v>2</v>
      </c>
      <c r="AI47" s="69" t="str">
        <f t="shared" si="4"/>
        <v>N</v>
      </c>
      <c r="AJ47" s="69" t="str">
        <f t="shared" si="4"/>
        <v>U</v>
      </c>
    </row>
    <row r="48" spans="1:52" x14ac:dyDescent="0.25">
      <c r="A48" s="74" t="s">
        <v>74</v>
      </c>
      <c r="B48" s="69" t="s">
        <v>35</v>
      </c>
      <c r="C48" s="74" t="e">
        <f ca="1">AD6</f>
        <v>#NUM!</v>
      </c>
      <c r="D48" s="69" t="e">
        <f ca="1">INDEX(D$65:INDIRECT("D"&amp;$C$61),$C48)</f>
        <v>#NUM!</v>
      </c>
      <c r="E48" s="69" t="e">
        <f ca="1">INDEX(INDIRECT(("'MemberID'!$C$6:C"&amp;MemberID!$C$1)),MATCH(D48,INDIRECT(("'MemberID'!$G$6:G"&amp;MemberID!$C$1)),0))</f>
        <v>#NUM!</v>
      </c>
      <c r="F48" s="69" t="e">
        <f ca="1">INDEX(E$65:INDIRECT("E"&amp;$C$61),$C48)</f>
        <v>#NUM!</v>
      </c>
      <c r="G48" t="e">
        <f ca="1">INDEX(F$65:INDIRECT("F"&amp;$C$61),$C48)</f>
        <v>#NUM!</v>
      </c>
      <c r="H48" t="e">
        <f ca="1">INDEX(G$65:INDIRECT("G"&amp;$C$61),$C48)</f>
        <v>#NUM!</v>
      </c>
      <c r="I48" t="e">
        <f ca="1">INDEX(H$65:INDIRECT("H"&amp;$C$61),$C48)</f>
        <v>#NUM!</v>
      </c>
      <c r="J48" t="e">
        <f ca="1">INDEX(I$65:INDIRECT("I"&amp;$C$61),$C48)</f>
        <v>#NUM!</v>
      </c>
      <c r="K48" s="7" t="e">
        <f ca="1">INDEX(J$65:INDIRECT("J"&amp;$C$61),$C48)</f>
        <v>#NUM!</v>
      </c>
      <c r="L48" t="e">
        <f ca="1">INDEX(K$65:INDIRECT("K"&amp;$C$61),$C48)</f>
        <v>#NUM!</v>
      </c>
      <c r="M48" t="e">
        <f ca="1">INDEX(L$65:INDIRECT("L"&amp;$C$61),$C48)</f>
        <v>#NUM!</v>
      </c>
      <c r="N48" t="e">
        <f ca="1">INDEX(M$65:INDIRECT("M"&amp;$C$61),$C48)</f>
        <v>#NUM!</v>
      </c>
      <c r="O48" s="23" t="e">
        <f ca="1">INDEX(N$65:INDIRECT("N"&amp;$C$61),$C48)</f>
        <v>#NUM!</v>
      </c>
      <c r="P48" t="e">
        <f ca="1">INDEX(O$65:INDIRECT("O"&amp;$C$61),$C48)</f>
        <v>#NUM!</v>
      </c>
      <c r="Q48" s="104"/>
      <c r="R48" s="74" t="s">
        <v>74</v>
      </c>
      <c r="S48" s="69" t="s">
        <v>35</v>
      </c>
      <c r="T48" s="74" t="e">
        <f t="array" aca="1" ref="T48" ca="1">MATCH(IF(ISBLANK($AE$11),SMALL(IF($E$65:INDIRECT("E"&amp;$C$61)=$AE$10,INDIRECT(AJ48&amp;65):INDIRECT(AJ48&amp;$C$61)),$AH48),IF(ISBLANK($AE$10),SMALL(IF($D$65:INDIRECT("D"&amp;$C$61)=$AE$11,INDIRECT(AJ48&amp;65):INDIRECT(AJ48&amp;$C$61)),$AH48),SMALL(IF(($E$65:INDIRECT("E"&amp;$C$61)=$AE$10)*($D$65:INDIRECT("D"&amp;$C$61)=$AE$11),INDIRECT(AJ48&amp;65):INDIRECT(AJ48&amp;$C$61)),$AH48))),INDIRECT(AJ48&amp;65):INDIRECT(AJ48&amp;$C$61),0)</f>
        <v>#NUM!</v>
      </c>
      <c r="U48" s="69" t="e">
        <f ca="1">INDEX(D$65:INDIRECT("D"&amp;$C$61),$T48)</f>
        <v>#NUM!</v>
      </c>
      <c r="V48" s="69" t="e">
        <f ca="1">INDEX(INDIRECT(("'MemberID'!$C$6:C"&amp;MemberID!$C$1)),MATCH(U48,INDIRECT(("'MemberID'!$G$6:G"&amp;MemberID!$C$1)),0))</f>
        <v>#NUM!</v>
      </c>
      <c r="W48" s="69" t="e">
        <f ca="1">INDEX(E$65:INDIRECT("E"&amp;$C$61),$T48)</f>
        <v>#NUM!</v>
      </c>
      <c r="X48" t="e">
        <f ca="1">INDEX(F$65:INDIRECT("F"&amp;$C$61),$T48)</f>
        <v>#NUM!</v>
      </c>
      <c r="Y48" t="e">
        <f ca="1">INDEX(G$65:INDIRECT("G"&amp;$C$61),$T48)</f>
        <v>#NUM!</v>
      </c>
      <c r="Z48" t="e">
        <f ca="1">INDEX(H$65:INDIRECT("H"&amp;$C$61),$T48)</f>
        <v>#NUM!</v>
      </c>
      <c r="AA48" t="e">
        <f ca="1">INDEX(I$65:INDIRECT("I"&amp;$C$61),$T48)</f>
        <v>#NUM!</v>
      </c>
      <c r="AB48" t="e">
        <f ca="1">INDEX(J$65:INDIRECT("J"&amp;$C$61),$T48)</f>
        <v>#NUM!</v>
      </c>
      <c r="AC48" t="e">
        <f ca="1">INDEX(K$65:INDIRECT("K"&amp;$C$61),$T48)</f>
        <v>#NUM!</v>
      </c>
      <c r="AD48" t="e">
        <f ca="1">INDEX(L$65:INDIRECT("L"&amp;$C$61),$T48)</f>
        <v>#NUM!</v>
      </c>
      <c r="AE48" t="e">
        <f ca="1">INDEX(M$65:INDIRECT("M"&amp;$C$61),$T48)</f>
        <v>#NUM!</v>
      </c>
      <c r="AF48" s="23" t="e">
        <f t="array" aca="1" ref="AF48" ca="1">IF(ISBLANK($AE$11),SMALL(IF($E$65:INDIRECT("E"&amp;$C$61)=$AE$10,N$65:INDIRECT(AF$13&amp;$C$61)),$AH48),IF(ISBLANK($AE$10),SMALL(IF($D$65:INDIRECT("D"&amp;$C$61)=$AE$11,N$65:INDIRECT(AF$13&amp;$C$61)),$AH48),SMALL(IF(($E$65:INDIRECT("E"&amp;$C$61)=$AE$10)*($D$65:INDIRECT("D"&amp;$C$61)=$AE$11),N$65:INDIRECT(AF$13&amp;$C$61)),$AH48)))</f>
        <v>#NUM!</v>
      </c>
      <c r="AG48" t="e">
        <f ca="1">INDEX(O$65:INDIRECT("O"&amp;$C$61),$T48)</f>
        <v>#NUM!</v>
      </c>
      <c r="AH48" s="69">
        <v>3</v>
      </c>
      <c r="AI48" s="69" t="str">
        <f t="shared" si="4"/>
        <v>N</v>
      </c>
      <c r="AJ48" s="69" t="str">
        <f t="shared" si="4"/>
        <v>U</v>
      </c>
    </row>
    <row r="49" spans="1:36" x14ac:dyDescent="0.25">
      <c r="B49" s="69"/>
      <c r="C49" s="69"/>
      <c r="D49" s="69"/>
      <c r="E49" s="69"/>
      <c r="F49" s="69"/>
      <c r="K49" s="7"/>
      <c r="Q49" s="104"/>
      <c r="S49" s="69"/>
      <c r="T49" s="69"/>
      <c r="V49" s="69"/>
      <c r="W49" s="69"/>
      <c r="AH49" s="69"/>
      <c r="AI49" s="69"/>
      <c r="AJ49" s="69"/>
    </row>
    <row r="50" spans="1:36" x14ac:dyDescent="0.25">
      <c r="A50" s="73" t="s">
        <v>69</v>
      </c>
      <c r="B50" s="69" t="s">
        <v>36</v>
      </c>
      <c r="C50" s="73" t="e">
        <f ca="1">O3</f>
        <v>#N/A</v>
      </c>
      <c r="D50" s="69" t="e">
        <f ca="1">INDEX(D$65:INDIRECT("D"&amp;$C$61),$C50)</f>
        <v>#N/A</v>
      </c>
      <c r="E50" s="69" t="e">
        <f ca="1">INDEX(INDIRECT(("'MemberID'!$C$6:C"&amp;MemberID!$C$1)),MATCH(D50,INDIRECT(("'MemberID'!$G$6:G"&amp;MemberID!$C$1)),0))</f>
        <v>#N/A</v>
      </c>
      <c r="F50" s="69" t="e">
        <f ca="1">INDEX(E$65:INDIRECT("E"&amp;$C$61),$C50)</f>
        <v>#N/A</v>
      </c>
      <c r="G50" t="e">
        <f ca="1">INDEX(F$65:INDIRECT("F"&amp;$C$61),$C50)</f>
        <v>#N/A</v>
      </c>
      <c r="H50" t="e">
        <f ca="1">INDEX(G$65:INDIRECT("G"&amp;$C$61),$C50)</f>
        <v>#N/A</v>
      </c>
      <c r="I50" t="e">
        <f ca="1">INDEX(H$65:INDIRECT("H"&amp;$C$61),$C50)</f>
        <v>#N/A</v>
      </c>
      <c r="J50" t="e">
        <f ca="1">INDEX(I$65:INDIRECT("I"&amp;$C$61),$C50)</f>
        <v>#N/A</v>
      </c>
      <c r="K50" s="7" t="e">
        <f ca="1">INDEX(J$65:INDIRECT("J"&amp;$C$61),$C50)</f>
        <v>#N/A</v>
      </c>
      <c r="L50" t="e">
        <f ca="1">INDEX(K$65:INDIRECT("K"&amp;$C$61),$C50)</f>
        <v>#N/A</v>
      </c>
      <c r="M50" t="e">
        <f ca="1">INDEX(L$65:INDIRECT("L"&amp;$C$61),$C50)</f>
        <v>#N/A</v>
      </c>
      <c r="N50" t="e">
        <f ca="1">INDEX(M$65:INDIRECT("M"&amp;$C$61),$C50)</f>
        <v>#N/A</v>
      </c>
      <c r="O50" t="e">
        <f ca="1">INDEX(N$65:INDIRECT("N"&amp;$C$61),$C50)</f>
        <v>#N/A</v>
      </c>
      <c r="P50" s="23" t="e">
        <f ca="1">INDEX(O$65:INDIRECT("O"&amp;$C$61),$C50)</f>
        <v>#N/A</v>
      </c>
      <c r="Q50" s="104"/>
      <c r="R50" s="73" t="s">
        <v>69</v>
      </c>
      <c r="S50" s="69" t="s">
        <v>36</v>
      </c>
      <c r="T50" s="73" t="e">
        <f t="array" aca="1" ref="T50" ca="1">MATCH(IF(ISBLANK($AE$11),LARGE(IF($E$65:INDIRECT("E"&amp;$C$61)=$AE$10,INDIRECT(AJ50&amp;65):INDIRECT(AJ50&amp;$C$61)),$AH50),IF(ISBLANK($AE$10),LARGE(IF($D$65:INDIRECT("D"&amp;$C$61)=$AE$11,INDIRECT(AJ50&amp;65):INDIRECT(AJ50&amp;$C$61)),$AH50),LARGE(IF(($E$65:INDIRECT("E"&amp;$C$61)=$AE$10)*($D$65:INDIRECT("D"&amp;$C$61)=$AE$11),INDIRECT(AJ50&amp;65):INDIRECT(AJ50&amp;$C$61)),$AH50))),INDIRECT(AJ50&amp;65):INDIRECT(AJ50&amp;$C$61),0)</f>
        <v>#NUM!</v>
      </c>
      <c r="U50" s="69" t="e">
        <f ca="1">INDEX(D$65:INDIRECT("D"&amp;$C$61),$T50)</f>
        <v>#NUM!</v>
      </c>
      <c r="V50" s="69" t="e">
        <f ca="1">INDEX(INDIRECT(("'MemberID'!$C$6:C"&amp;MemberID!$C$1)),MATCH(U50,INDIRECT(("'MemberID'!$G$6:G"&amp;MemberID!$C$1)),0))</f>
        <v>#NUM!</v>
      </c>
      <c r="W50" s="69" t="e">
        <f ca="1">INDEX(E$65:INDIRECT("E"&amp;$C$61),$T50)</f>
        <v>#NUM!</v>
      </c>
      <c r="X50" t="e">
        <f ca="1">INDEX(F$65:INDIRECT("F"&amp;$C$61),$T50)</f>
        <v>#NUM!</v>
      </c>
      <c r="Y50" t="e">
        <f ca="1">INDEX(G$65:INDIRECT("G"&amp;$C$61),$T50)</f>
        <v>#NUM!</v>
      </c>
      <c r="Z50" t="e">
        <f ca="1">INDEX(H$65:INDIRECT("H"&amp;$C$61),$T50)</f>
        <v>#NUM!</v>
      </c>
      <c r="AA50" t="e">
        <f ca="1">INDEX(I$65:INDIRECT("I"&amp;$C$61),$T50)</f>
        <v>#NUM!</v>
      </c>
      <c r="AB50" t="e">
        <f ca="1">INDEX(J$65:INDIRECT("J"&amp;$C$61),$T50)</f>
        <v>#NUM!</v>
      </c>
      <c r="AC50" t="e">
        <f ca="1">INDEX(K$65:INDIRECT("K"&amp;$C$61),$T50)</f>
        <v>#NUM!</v>
      </c>
      <c r="AD50" t="e">
        <f ca="1">INDEX(L$65:INDIRECT("L"&amp;$C$61),$T50)</f>
        <v>#NUM!</v>
      </c>
      <c r="AE50" t="e">
        <f ca="1">INDEX(M$65:INDIRECT("M"&amp;$C$61),$T50)</f>
        <v>#NUM!</v>
      </c>
      <c r="AF50" t="e">
        <f ca="1">INDEX(N$65:INDIRECT("N"&amp;$C$61),$T50)</f>
        <v>#NUM!</v>
      </c>
      <c r="AG50" s="23" t="e">
        <f t="array" aca="1" ref="AG50" ca="1">IF(ISBLANK($AE$11),LARGE(IF($E$65:INDIRECT("E"&amp;$C$61)=$AE$10,O$65:INDIRECT(AG$13&amp;$C$61)),$AH50),IF(ISBLANK($AE$10),LARGE(IF($D$65:INDIRECT("D"&amp;$C$61)=$AE$11,O$65:INDIRECT(AG$13&amp;$C$61)),$AH50),LARGE(IF(($E$65:INDIRECT("E"&amp;$C$61)=$AE$10)*($D$65:INDIRECT("D"&amp;$C$61)=$AE$11),O$65:INDIRECT(AG$13&amp;$C$61)),$AH50)))</f>
        <v>#NUM!</v>
      </c>
      <c r="AH50" s="69">
        <v>1</v>
      </c>
      <c r="AI50" s="69" t="s">
        <v>155</v>
      </c>
      <c r="AJ50" s="69" t="s">
        <v>197</v>
      </c>
    </row>
    <row r="51" spans="1:36" x14ac:dyDescent="0.25">
      <c r="A51" s="73" t="s">
        <v>70</v>
      </c>
      <c r="B51" s="69" t="s">
        <v>36</v>
      </c>
      <c r="C51" s="73" t="e">
        <f ca="1">W3</f>
        <v>#NUM!</v>
      </c>
      <c r="D51" s="69" t="e">
        <f ca="1">INDEX(D$65:INDIRECT("D"&amp;$C$61),$C51)</f>
        <v>#NUM!</v>
      </c>
      <c r="E51" s="69" t="e">
        <f ca="1">INDEX(INDIRECT(("'MemberID'!$C$6:C"&amp;MemberID!$C$1)),MATCH(D51,INDIRECT(("'MemberID'!$G$6:G"&amp;MemberID!$C$1)),0))</f>
        <v>#NUM!</v>
      </c>
      <c r="F51" s="69" t="e">
        <f ca="1">INDEX(E$65:INDIRECT("E"&amp;$C$61),$C51)</f>
        <v>#NUM!</v>
      </c>
      <c r="G51" t="e">
        <f ca="1">INDEX(F$65:INDIRECT("F"&amp;$C$61),$C51)</f>
        <v>#NUM!</v>
      </c>
      <c r="H51" t="e">
        <f ca="1">INDEX(G$65:INDIRECT("G"&amp;$C$61),$C51)</f>
        <v>#NUM!</v>
      </c>
      <c r="I51" t="e">
        <f ca="1">INDEX(H$65:INDIRECT("H"&amp;$C$61),$C51)</f>
        <v>#NUM!</v>
      </c>
      <c r="J51" t="e">
        <f ca="1">INDEX(I$65:INDIRECT("I"&amp;$C$61),$C51)</f>
        <v>#NUM!</v>
      </c>
      <c r="K51" s="7" t="e">
        <f ca="1">INDEX(J$65:INDIRECT("J"&amp;$C$61),$C51)</f>
        <v>#NUM!</v>
      </c>
      <c r="L51" t="e">
        <f ca="1">INDEX(K$65:INDIRECT("K"&amp;$C$61),$C51)</f>
        <v>#NUM!</v>
      </c>
      <c r="M51" t="e">
        <f ca="1">INDEX(L$65:INDIRECT("L"&amp;$C$61),$C51)</f>
        <v>#NUM!</v>
      </c>
      <c r="N51" t="e">
        <f ca="1">INDEX(M$65:INDIRECT("M"&amp;$C$61),$C51)</f>
        <v>#NUM!</v>
      </c>
      <c r="O51" t="e">
        <f ca="1">INDEX(N$65:INDIRECT("N"&amp;$C$61),$C51)</f>
        <v>#NUM!</v>
      </c>
      <c r="P51" s="23" t="e">
        <f ca="1">INDEX(O$65:INDIRECT("O"&amp;$C$61),$C51)</f>
        <v>#NUM!</v>
      </c>
      <c r="Q51" s="104"/>
      <c r="R51" s="73" t="s">
        <v>70</v>
      </c>
      <c r="S51" s="69" t="s">
        <v>36</v>
      </c>
      <c r="T51" s="73" t="e">
        <f t="array" aca="1" ref="T51" ca="1">MATCH(IF(ISBLANK($AE$11),LARGE(IF($E$65:INDIRECT("E"&amp;$C$61)=$AE$10,INDIRECT(AJ51&amp;65):INDIRECT(AJ51&amp;$C$61)),$AH51),IF(ISBLANK($AE$10),LARGE(IF($D$65:INDIRECT("D"&amp;$C$61)=$AE$11,INDIRECT(AJ51&amp;65):INDIRECT(AJ51&amp;$C$61)),$AH51),LARGE(IF(($E$65:INDIRECT("E"&amp;$C$61)=$AE$10)*($D$65:INDIRECT("D"&amp;$C$61)=$AE$11),INDIRECT(AJ51&amp;65):INDIRECT(AJ51&amp;$C$61)),$AH51))),INDIRECT(AJ51&amp;65):INDIRECT(AJ51&amp;$C$61),0)</f>
        <v>#NUM!</v>
      </c>
      <c r="U51" s="69" t="e">
        <f ca="1">INDEX(D$65:INDIRECT("D"&amp;$C$61),$T51)</f>
        <v>#NUM!</v>
      </c>
      <c r="V51" s="69" t="e">
        <f ca="1">INDEX(INDIRECT(("'MemberID'!$C$6:C"&amp;MemberID!$C$1)),MATCH(U51,INDIRECT(("'MemberID'!$G$6:G"&amp;MemberID!$C$1)),0))</f>
        <v>#NUM!</v>
      </c>
      <c r="W51" s="69" t="e">
        <f ca="1">INDEX(E$65:INDIRECT("E"&amp;$C$61),$T51)</f>
        <v>#NUM!</v>
      </c>
      <c r="X51" t="e">
        <f ca="1">INDEX(F$65:INDIRECT("F"&amp;$C$61),$T51)</f>
        <v>#NUM!</v>
      </c>
      <c r="Y51" t="e">
        <f ca="1">INDEX(G$65:INDIRECT("G"&amp;$C$61),$T51)</f>
        <v>#NUM!</v>
      </c>
      <c r="Z51" t="e">
        <f ca="1">INDEX(H$65:INDIRECT("H"&amp;$C$61),$T51)</f>
        <v>#NUM!</v>
      </c>
      <c r="AA51" t="e">
        <f ca="1">INDEX(I$65:INDIRECT("I"&amp;$C$61),$T51)</f>
        <v>#NUM!</v>
      </c>
      <c r="AB51" t="e">
        <f ca="1">INDEX(J$65:INDIRECT("J"&amp;$C$61),$T51)</f>
        <v>#NUM!</v>
      </c>
      <c r="AC51" t="e">
        <f ca="1">INDEX(K$65:INDIRECT("K"&amp;$C$61),$T51)</f>
        <v>#NUM!</v>
      </c>
      <c r="AD51" t="e">
        <f ca="1">INDEX(L$65:INDIRECT("L"&amp;$C$61),$T51)</f>
        <v>#NUM!</v>
      </c>
      <c r="AE51" t="e">
        <f ca="1">INDEX(M$65:INDIRECT("M"&amp;$C$61),$T51)</f>
        <v>#NUM!</v>
      </c>
      <c r="AF51" t="e">
        <f ca="1">INDEX(N$65:INDIRECT("N"&amp;$C$61),$T51)</f>
        <v>#NUM!</v>
      </c>
      <c r="AG51" s="23" t="e">
        <f t="array" aca="1" ref="AG51" ca="1">IF(ISBLANK($AE$11),LARGE(IF($E$65:INDIRECT("E"&amp;$C$61)=$AE$10,O$65:INDIRECT(AG$13&amp;$C$61)),$AH51),IF(ISBLANK($AE$10),LARGE(IF($D$65:INDIRECT("D"&amp;$C$61)=$AE$11,O$65:INDIRECT(AG$13&amp;$C$61)),$AH51),LARGE(IF(($E$65:INDIRECT("E"&amp;$C$61)=$AE$10)*($D$65:INDIRECT("D"&amp;$C$61)=$AE$11),O$65:INDIRECT(AG$13&amp;$C$61)),$AH51)))</f>
        <v>#NUM!</v>
      </c>
      <c r="AH51" s="69">
        <v>2</v>
      </c>
      <c r="AI51" s="69" t="str">
        <f>AI50</f>
        <v>O</v>
      </c>
      <c r="AJ51" s="69" t="str">
        <f>AJ50</f>
        <v>V</v>
      </c>
    </row>
    <row r="52" spans="1:36" x14ac:dyDescent="0.25">
      <c r="A52" s="73" t="s">
        <v>71</v>
      </c>
      <c r="B52" s="69" t="s">
        <v>36</v>
      </c>
      <c r="C52" s="73" t="e">
        <f ca="1">AE3</f>
        <v>#NUM!</v>
      </c>
      <c r="D52" s="69" t="e">
        <f ca="1">INDEX(D$65:INDIRECT("D"&amp;$C$61),$C52)</f>
        <v>#NUM!</v>
      </c>
      <c r="E52" s="69" t="e">
        <f ca="1">INDEX(INDIRECT(("'MemberID'!$C$6:C"&amp;MemberID!$C$1)),MATCH(D52,INDIRECT(("'MemberID'!$G$6:G"&amp;MemberID!$C$1)),0))</f>
        <v>#NUM!</v>
      </c>
      <c r="F52" s="69" t="e">
        <f ca="1">INDEX(E$65:INDIRECT("E"&amp;$C$61),$C52)</f>
        <v>#NUM!</v>
      </c>
      <c r="G52" t="e">
        <f ca="1">INDEX(F$65:INDIRECT("F"&amp;$C$61),$C52)</f>
        <v>#NUM!</v>
      </c>
      <c r="H52" t="e">
        <f ca="1">INDEX(G$65:INDIRECT("G"&amp;$C$61),$C52)</f>
        <v>#NUM!</v>
      </c>
      <c r="I52" t="e">
        <f ca="1">INDEX(H$65:INDIRECT("H"&amp;$C$61),$C52)</f>
        <v>#NUM!</v>
      </c>
      <c r="J52" t="e">
        <f ca="1">INDEX(I$65:INDIRECT("I"&amp;$C$61),$C52)</f>
        <v>#NUM!</v>
      </c>
      <c r="K52" s="7" t="e">
        <f ca="1">INDEX(J$65:INDIRECT("J"&amp;$C$61),$C52)</f>
        <v>#NUM!</v>
      </c>
      <c r="L52" t="e">
        <f ca="1">INDEX(K$65:INDIRECT("K"&amp;$C$61),$C52)</f>
        <v>#NUM!</v>
      </c>
      <c r="M52" t="e">
        <f ca="1">INDEX(L$65:INDIRECT("L"&amp;$C$61),$C52)</f>
        <v>#NUM!</v>
      </c>
      <c r="N52" t="e">
        <f ca="1">INDEX(M$65:INDIRECT("M"&amp;$C$61),$C52)</f>
        <v>#NUM!</v>
      </c>
      <c r="O52" t="e">
        <f ca="1">INDEX(N$65:INDIRECT("N"&amp;$C$61),$C52)</f>
        <v>#NUM!</v>
      </c>
      <c r="P52" s="23" t="e">
        <f ca="1">INDEX(O$65:INDIRECT("O"&amp;$C$61),$C52)</f>
        <v>#NUM!</v>
      </c>
      <c r="Q52" s="104"/>
      <c r="R52" s="73" t="s">
        <v>71</v>
      </c>
      <c r="S52" s="69" t="s">
        <v>36</v>
      </c>
      <c r="T52" s="73" t="e">
        <f t="array" aca="1" ref="T52" ca="1">MATCH(IF(ISBLANK($AE$11),LARGE(IF($E$65:INDIRECT("E"&amp;$C$61)=$AE$10,INDIRECT(AJ52&amp;65):INDIRECT(AJ52&amp;$C$61)),$AH52),IF(ISBLANK($AE$10),LARGE(IF($D$65:INDIRECT("D"&amp;$C$61)=$AE$11,INDIRECT(AJ52&amp;65):INDIRECT(AJ52&amp;$C$61)),$AH52),LARGE(IF(($E$65:INDIRECT("E"&amp;$C$61)=$AE$10)*($D$65:INDIRECT("D"&amp;$C$61)=$AE$11),INDIRECT(AJ52&amp;65):INDIRECT(AJ52&amp;$C$61)),$AH52))),INDIRECT(AJ52&amp;65):INDIRECT(AJ52&amp;$C$61),0)</f>
        <v>#NUM!</v>
      </c>
      <c r="U52" s="69" t="e">
        <f ca="1">INDEX(D$65:INDIRECT("D"&amp;$C$61),$T52)</f>
        <v>#NUM!</v>
      </c>
      <c r="V52" s="69" t="e">
        <f ca="1">INDEX(INDIRECT(("'MemberID'!$C$6:C"&amp;MemberID!$C$1)),MATCH(U52,INDIRECT(("'MemberID'!$G$6:G"&amp;MemberID!$C$1)),0))</f>
        <v>#NUM!</v>
      </c>
      <c r="W52" s="69" t="e">
        <f ca="1">INDEX(E$65:INDIRECT("E"&amp;$C$61),$T52)</f>
        <v>#NUM!</v>
      </c>
      <c r="X52" t="e">
        <f ca="1">INDEX(F$65:INDIRECT("F"&amp;$C$61),$T52)</f>
        <v>#NUM!</v>
      </c>
      <c r="Y52" t="e">
        <f ca="1">INDEX(G$65:INDIRECT("G"&amp;$C$61),$T52)</f>
        <v>#NUM!</v>
      </c>
      <c r="Z52" t="e">
        <f ca="1">INDEX(H$65:INDIRECT("H"&amp;$C$61),$T52)</f>
        <v>#NUM!</v>
      </c>
      <c r="AA52" t="e">
        <f ca="1">INDEX(I$65:INDIRECT("I"&amp;$C$61),$T52)</f>
        <v>#NUM!</v>
      </c>
      <c r="AB52" t="e">
        <f ca="1">INDEX(J$65:INDIRECT("J"&amp;$C$61),$T52)</f>
        <v>#NUM!</v>
      </c>
      <c r="AC52" t="e">
        <f ca="1">INDEX(K$65:INDIRECT("K"&amp;$C$61),$T52)</f>
        <v>#NUM!</v>
      </c>
      <c r="AD52" t="e">
        <f ca="1">INDEX(L$65:INDIRECT("L"&amp;$C$61),$T52)</f>
        <v>#NUM!</v>
      </c>
      <c r="AE52" t="e">
        <f ca="1">INDEX(M$65:INDIRECT("M"&amp;$C$61),$T52)</f>
        <v>#NUM!</v>
      </c>
      <c r="AF52" t="e">
        <f ca="1">INDEX(N$65:INDIRECT("N"&amp;$C$61),$T52)</f>
        <v>#NUM!</v>
      </c>
      <c r="AG52" s="23" t="e">
        <f t="array" aca="1" ref="AG52" ca="1">IF(ISBLANK($AE$11),LARGE(IF($E$65:INDIRECT("E"&amp;$C$61)=$AE$10,O$65:INDIRECT(AG$13&amp;$C$61)),$AH52),IF(ISBLANK($AE$10),LARGE(IF($D$65:INDIRECT("D"&amp;$C$61)=$AE$11,O$65:INDIRECT(AG$13&amp;$C$61)),$AH52),LARGE(IF(($E$65:INDIRECT("E"&amp;$C$61)=$AE$10)*($D$65:INDIRECT("D"&amp;$C$61)=$AE$11),O$65:INDIRECT(AG$13&amp;$C$61)),$AH52)))</f>
        <v>#NUM!</v>
      </c>
      <c r="AH52" s="69">
        <v>3</v>
      </c>
      <c r="AI52" s="69" t="str">
        <f t="shared" ref="AI52:AJ55" si="5">AI51</f>
        <v>O</v>
      </c>
      <c r="AJ52" s="69" t="str">
        <f t="shared" si="5"/>
        <v>V</v>
      </c>
    </row>
    <row r="53" spans="1:36" x14ac:dyDescent="0.25">
      <c r="A53" s="74" t="s">
        <v>72</v>
      </c>
      <c r="B53" s="69" t="s">
        <v>36</v>
      </c>
      <c r="C53" s="74" t="e">
        <f ca="1">O6</f>
        <v>#N/A</v>
      </c>
      <c r="D53" s="69" t="e">
        <f ca="1">INDEX(D$65:INDIRECT("D"&amp;$C$61),$C53)</f>
        <v>#N/A</v>
      </c>
      <c r="E53" s="69" t="e">
        <f ca="1">INDEX(INDIRECT(("'MemberID'!$C$6:C"&amp;MemberID!$C$1)),MATCH(D53,INDIRECT(("'MemberID'!$G$6:G"&amp;MemberID!$C$1)),0))</f>
        <v>#N/A</v>
      </c>
      <c r="F53" s="69" t="e">
        <f ca="1">INDEX(E$65:INDIRECT("E"&amp;$C$61),$C53)</f>
        <v>#N/A</v>
      </c>
      <c r="G53" t="e">
        <f ca="1">INDEX(F$65:INDIRECT("F"&amp;$C$61),$C53)</f>
        <v>#N/A</v>
      </c>
      <c r="H53" t="e">
        <f ca="1">INDEX(G$65:INDIRECT("G"&amp;$C$61),$C53)</f>
        <v>#N/A</v>
      </c>
      <c r="I53" t="e">
        <f ca="1">INDEX(H$65:INDIRECT("H"&amp;$C$61),$C53)</f>
        <v>#N/A</v>
      </c>
      <c r="J53" t="e">
        <f ca="1">INDEX(I$65:INDIRECT("I"&amp;$C$61),$C53)</f>
        <v>#N/A</v>
      </c>
      <c r="K53" s="7" t="e">
        <f ca="1">INDEX(J$65:INDIRECT("J"&amp;$C$61),$C53)</f>
        <v>#N/A</v>
      </c>
      <c r="L53" t="e">
        <f ca="1">INDEX(K$65:INDIRECT("K"&amp;$C$61),$C53)</f>
        <v>#N/A</v>
      </c>
      <c r="M53" t="e">
        <f ca="1">INDEX(L$65:INDIRECT("L"&amp;$C$61),$C53)</f>
        <v>#N/A</v>
      </c>
      <c r="N53" t="e">
        <f ca="1">INDEX(M$65:INDIRECT("M"&amp;$C$61),$C53)</f>
        <v>#N/A</v>
      </c>
      <c r="O53" t="e">
        <f ca="1">INDEX(N$65:INDIRECT("N"&amp;$C$61),$C53)</f>
        <v>#N/A</v>
      </c>
      <c r="P53" s="23" t="e">
        <f ca="1">INDEX(O$65:INDIRECT("O"&amp;$C$61),$C53)</f>
        <v>#N/A</v>
      </c>
      <c r="Q53" s="104"/>
      <c r="R53" s="74" t="s">
        <v>72</v>
      </c>
      <c r="S53" s="69" t="s">
        <v>36</v>
      </c>
      <c r="T53" s="74" t="e">
        <f t="array" aca="1" ref="T53" ca="1">MATCH(IF(ISBLANK($AE$11),SMALL(IF($E$65:INDIRECT("E"&amp;$C$61)=$AE$10,INDIRECT(AJ53&amp;65):INDIRECT(AJ53&amp;$C$61)),$AH53),IF(ISBLANK($AE$10),SMALL(IF($D$65:INDIRECT("D"&amp;$C$61)=$AE$11,INDIRECT(AJ53&amp;65):INDIRECT(AJ53&amp;$C$61)),$AH53),SMALL(IF(($E$65:INDIRECT("E"&amp;$C$61)=$AE$10)*($D$65:INDIRECT("D"&amp;$C$61)=$AE$11),INDIRECT(AJ53&amp;65):INDIRECT(AJ53&amp;$C$61)),$AH53))),INDIRECT(AJ53&amp;65):INDIRECT(AJ53&amp;$C$61),0)</f>
        <v>#NUM!</v>
      </c>
      <c r="U53" s="69" t="e">
        <f ca="1">INDEX(D$65:INDIRECT("D"&amp;$C$61),$T53)</f>
        <v>#NUM!</v>
      </c>
      <c r="V53" s="69" t="e">
        <f ca="1">INDEX(INDIRECT(("'MemberID'!$C$6:C"&amp;MemberID!$C$1)),MATCH(U53,INDIRECT(("'MemberID'!$G$6:G"&amp;MemberID!$C$1)),0))</f>
        <v>#NUM!</v>
      </c>
      <c r="W53" s="69" t="e">
        <f ca="1">INDEX(E$65:INDIRECT("E"&amp;$C$61),$T53)</f>
        <v>#NUM!</v>
      </c>
      <c r="X53" t="e">
        <f ca="1">INDEX(F$65:INDIRECT("F"&amp;$C$61),$T53)</f>
        <v>#NUM!</v>
      </c>
      <c r="Y53" t="e">
        <f ca="1">INDEX(G$65:INDIRECT("G"&amp;$C$61),$T53)</f>
        <v>#NUM!</v>
      </c>
      <c r="Z53" t="e">
        <f ca="1">INDEX(H$65:INDIRECT("H"&amp;$C$61),$T53)</f>
        <v>#NUM!</v>
      </c>
      <c r="AA53" t="e">
        <f ca="1">INDEX(I$65:INDIRECT("I"&amp;$C$61),$T53)</f>
        <v>#NUM!</v>
      </c>
      <c r="AB53" t="e">
        <f ca="1">INDEX(J$65:INDIRECT("J"&amp;$C$61),$T53)</f>
        <v>#NUM!</v>
      </c>
      <c r="AC53" t="e">
        <f ca="1">INDEX(K$65:INDIRECT("K"&amp;$C$61),$T53)</f>
        <v>#NUM!</v>
      </c>
      <c r="AD53" t="e">
        <f ca="1">INDEX(L$65:INDIRECT("L"&amp;$C$61),$T53)</f>
        <v>#NUM!</v>
      </c>
      <c r="AE53" t="e">
        <f ca="1">INDEX(M$65:INDIRECT("M"&amp;$C$61),$T53)</f>
        <v>#NUM!</v>
      </c>
      <c r="AF53" t="e">
        <f ca="1">INDEX(N$65:INDIRECT("N"&amp;$C$61),$T53)</f>
        <v>#NUM!</v>
      </c>
      <c r="AG53" s="23" t="e">
        <f t="array" aca="1" ref="AG53" ca="1">IF(ISBLANK($AE$11),SMALL(IF($E$65:INDIRECT("E"&amp;$C$61)=$AE$10,O$65:INDIRECT(AG$13&amp;$C$61)),$AH53),IF(ISBLANK($AE$10),SMALL(IF($D$65:INDIRECT("D"&amp;$C$61)=$AE$11,O$65:INDIRECT(AG$13&amp;$C$61)),$AH53),SMALL(IF(($E$65:INDIRECT("E"&amp;$C$61)=$AE$10)*($D$65:INDIRECT("D"&amp;$C$61)=$AE$11),O$65:INDIRECT(AG$13&amp;$C$61)),$AH53)))</f>
        <v>#NUM!</v>
      </c>
      <c r="AH53" s="69">
        <v>1</v>
      </c>
      <c r="AI53" s="69" t="str">
        <f t="shared" si="5"/>
        <v>O</v>
      </c>
      <c r="AJ53" s="69" t="str">
        <f t="shared" si="5"/>
        <v>V</v>
      </c>
    </row>
    <row r="54" spans="1:36" x14ac:dyDescent="0.25">
      <c r="A54" s="74" t="s">
        <v>73</v>
      </c>
      <c r="B54" s="69" t="s">
        <v>36</v>
      </c>
      <c r="C54" s="74" t="e">
        <f ca="1">W6</f>
        <v>#NUM!</v>
      </c>
      <c r="D54" s="69" t="e">
        <f ca="1">INDEX(D$65:INDIRECT("D"&amp;$C$61),$C54)</f>
        <v>#NUM!</v>
      </c>
      <c r="E54" s="69" t="e">
        <f ca="1">INDEX(INDIRECT(("'MemberID'!$C$6:C"&amp;MemberID!$C$1)),MATCH(D54,INDIRECT(("'MemberID'!$G$6:G"&amp;MemberID!$C$1)),0))</f>
        <v>#NUM!</v>
      </c>
      <c r="F54" s="69" t="e">
        <f ca="1">INDEX(E$65:INDIRECT("E"&amp;$C$61),$C54)</f>
        <v>#NUM!</v>
      </c>
      <c r="G54" t="e">
        <f ca="1">INDEX(F$65:INDIRECT("F"&amp;$C$61),$C54)</f>
        <v>#NUM!</v>
      </c>
      <c r="H54" t="e">
        <f ca="1">INDEX(G$65:INDIRECT("G"&amp;$C$61),$C54)</f>
        <v>#NUM!</v>
      </c>
      <c r="I54" t="e">
        <f ca="1">INDEX(H$65:INDIRECT("H"&amp;$C$61),$C54)</f>
        <v>#NUM!</v>
      </c>
      <c r="J54" t="e">
        <f ca="1">INDEX(I$65:INDIRECT("I"&amp;$C$61),$C54)</f>
        <v>#NUM!</v>
      </c>
      <c r="K54" s="7" t="e">
        <f ca="1">INDEX(J$65:INDIRECT("J"&amp;$C$61),$C54)</f>
        <v>#NUM!</v>
      </c>
      <c r="L54" t="e">
        <f ca="1">INDEX(K$65:INDIRECT("K"&amp;$C$61),$C54)</f>
        <v>#NUM!</v>
      </c>
      <c r="M54" t="e">
        <f ca="1">INDEX(L$65:INDIRECT("L"&amp;$C$61),$C54)</f>
        <v>#NUM!</v>
      </c>
      <c r="N54" t="e">
        <f ca="1">INDEX(M$65:INDIRECT("M"&amp;$C$61),$C54)</f>
        <v>#NUM!</v>
      </c>
      <c r="O54" t="e">
        <f ca="1">INDEX(N$65:INDIRECT("N"&amp;$C$61),$C54)</f>
        <v>#NUM!</v>
      </c>
      <c r="P54" s="23" t="e">
        <f ca="1">INDEX(O$65:INDIRECT("O"&amp;$C$61),$C54)</f>
        <v>#NUM!</v>
      </c>
      <c r="Q54" s="104"/>
      <c r="R54" s="74" t="s">
        <v>73</v>
      </c>
      <c r="S54" s="69" t="s">
        <v>36</v>
      </c>
      <c r="T54" s="74" t="e">
        <f t="array" aca="1" ref="T54" ca="1">MATCH(IF(ISBLANK($AE$11),SMALL(IF($E$65:INDIRECT("E"&amp;$C$61)=$AE$10,INDIRECT(AJ54&amp;65):INDIRECT(AJ54&amp;$C$61)),$AH54),IF(ISBLANK($AE$10),SMALL(IF($D$65:INDIRECT("D"&amp;$C$61)=$AE$11,INDIRECT(AJ54&amp;65):INDIRECT(AJ54&amp;$C$61)),$AH54),SMALL(IF(($E$65:INDIRECT("E"&amp;$C$61)=$AE$10)*($D$65:INDIRECT("D"&amp;$C$61)=$AE$11),INDIRECT(AJ54&amp;65):INDIRECT(AJ54&amp;$C$61)),$AH54))),INDIRECT(AJ54&amp;65):INDIRECT(AJ54&amp;$C$61),0)</f>
        <v>#NUM!</v>
      </c>
      <c r="U54" s="69" t="e">
        <f ca="1">INDEX(D$65:INDIRECT("D"&amp;$C$61),$T54)</f>
        <v>#NUM!</v>
      </c>
      <c r="V54" s="69" t="e">
        <f ca="1">INDEX(INDIRECT(("'MemberID'!$C$6:C"&amp;MemberID!$C$1)),MATCH(U54,INDIRECT(("'MemberID'!$G$6:G"&amp;MemberID!$C$1)),0))</f>
        <v>#NUM!</v>
      </c>
      <c r="W54" s="69" t="e">
        <f ca="1">INDEX(E$65:INDIRECT("E"&amp;$C$61),$T54)</f>
        <v>#NUM!</v>
      </c>
      <c r="X54" t="e">
        <f ca="1">INDEX(F$65:INDIRECT("F"&amp;$C$61),$T54)</f>
        <v>#NUM!</v>
      </c>
      <c r="Y54" t="e">
        <f ca="1">INDEX(G$65:INDIRECT("G"&amp;$C$61),$T54)</f>
        <v>#NUM!</v>
      </c>
      <c r="Z54" t="e">
        <f ca="1">INDEX(H$65:INDIRECT("H"&amp;$C$61),$T54)</f>
        <v>#NUM!</v>
      </c>
      <c r="AA54" t="e">
        <f ca="1">INDEX(I$65:INDIRECT("I"&amp;$C$61),$T54)</f>
        <v>#NUM!</v>
      </c>
      <c r="AB54" t="e">
        <f ca="1">INDEX(J$65:INDIRECT("J"&amp;$C$61),$T54)</f>
        <v>#NUM!</v>
      </c>
      <c r="AC54" t="e">
        <f ca="1">INDEX(K$65:INDIRECT("K"&amp;$C$61),$T54)</f>
        <v>#NUM!</v>
      </c>
      <c r="AD54" t="e">
        <f ca="1">INDEX(L$65:INDIRECT("L"&amp;$C$61),$T54)</f>
        <v>#NUM!</v>
      </c>
      <c r="AE54" t="e">
        <f ca="1">INDEX(M$65:INDIRECT("M"&amp;$C$61),$T54)</f>
        <v>#NUM!</v>
      </c>
      <c r="AF54" t="e">
        <f ca="1">INDEX(N$65:INDIRECT("N"&amp;$C$61),$T54)</f>
        <v>#NUM!</v>
      </c>
      <c r="AG54" s="23" t="e">
        <f t="array" aca="1" ref="AG54" ca="1">IF(ISBLANK($AE$11),SMALL(IF($E$65:INDIRECT("E"&amp;$C$61)=$AE$10,O$65:INDIRECT(AG$13&amp;$C$61)),$AH54),IF(ISBLANK($AE$10),SMALL(IF($D$65:INDIRECT("D"&amp;$C$61)=$AE$11,O$65:INDIRECT(AG$13&amp;$C$61)),$AH54),SMALL(IF(($E$65:INDIRECT("E"&amp;$C$61)=$AE$10)*($D$65:INDIRECT("D"&amp;$C$61)=$AE$11),O$65:INDIRECT(AG$13&amp;$C$61)),$AH54)))</f>
        <v>#NUM!</v>
      </c>
      <c r="AH54" s="69">
        <v>2</v>
      </c>
      <c r="AI54" s="69" t="str">
        <f t="shared" si="5"/>
        <v>O</v>
      </c>
      <c r="AJ54" s="69" t="str">
        <f t="shared" si="5"/>
        <v>V</v>
      </c>
    </row>
    <row r="55" spans="1:36" x14ac:dyDescent="0.25">
      <c r="A55" s="74" t="s">
        <v>74</v>
      </c>
      <c r="B55" s="69" t="s">
        <v>36</v>
      </c>
      <c r="C55" s="74" t="e">
        <f ca="1">AE6</f>
        <v>#NUM!</v>
      </c>
      <c r="D55" s="69" t="e">
        <f ca="1">INDEX(D$65:INDIRECT("D"&amp;$C$61),$C55)</f>
        <v>#NUM!</v>
      </c>
      <c r="E55" s="69" t="e">
        <f ca="1">INDEX(INDIRECT(("'MemberID'!$C$6:C"&amp;MemberID!$C$1)),MATCH(D55,INDIRECT(("'MemberID'!$G$6:G"&amp;MemberID!$C$1)),0))</f>
        <v>#NUM!</v>
      </c>
      <c r="F55" s="69" t="e">
        <f ca="1">INDEX(E$65:INDIRECT("E"&amp;$C$61),$C55)</f>
        <v>#NUM!</v>
      </c>
      <c r="G55" t="e">
        <f ca="1">INDEX(F$65:INDIRECT("F"&amp;$C$61),$C55)</f>
        <v>#NUM!</v>
      </c>
      <c r="H55" t="e">
        <f ca="1">INDEX(G$65:INDIRECT("G"&amp;$C$61),$C55)</f>
        <v>#NUM!</v>
      </c>
      <c r="I55" t="e">
        <f ca="1">INDEX(H$65:INDIRECT("H"&amp;$C$61),$C55)</f>
        <v>#NUM!</v>
      </c>
      <c r="J55" t="e">
        <f ca="1">INDEX(I$65:INDIRECT("I"&amp;$C$61),$C55)</f>
        <v>#NUM!</v>
      </c>
      <c r="K55" s="7" t="e">
        <f ca="1">INDEX(J$65:INDIRECT("J"&amp;$C$61),$C55)</f>
        <v>#NUM!</v>
      </c>
      <c r="L55" t="e">
        <f ca="1">INDEX(K$65:INDIRECT("K"&amp;$C$61),$C55)</f>
        <v>#NUM!</v>
      </c>
      <c r="M55" t="e">
        <f ca="1">INDEX(L$65:INDIRECT("L"&amp;$C$61),$C55)</f>
        <v>#NUM!</v>
      </c>
      <c r="N55" t="e">
        <f ca="1">INDEX(M$65:INDIRECT("M"&amp;$C$61),$C55)</f>
        <v>#NUM!</v>
      </c>
      <c r="O55" t="e">
        <f ca="1">INDEX(N$65:INDIRECT("N"&amp;$C$61),$C55)</f>
        <v>#NUM!</v>
      </c>
      <c r="P55" s="23" t="e">
        <f ca="1">INDEX(O$65:INDIRECT("O"&amp;$C$61),$C55)</f>
        <v>#NUM!</v>
      </c>
      <c r="Q55" s="104"/>
      <c r="R55" s="74" t="s">
        <v>74</v>
      </c>
      <c r="S55" s="69" t="s">
        <v>36</v>
      </c>
      <c r="T55" s="74" t="e">
        <f t="array" aca="1" ref="T55" ca="1">MATCH(IF(ISBLANK($AE$11),SMALL(IF($E$65:INDIRECT("E"&amp;$C$61)=$AE$10,INDIRECT(AJ55&amp;65):INDIRECT(AJ55&amp;$C$61)),$AH55),IF(ISBLANK($AE$10),SMALL(IF($D$65:INDIRECT("D"&amp;$C$61)=$AE$11,INDIRECT(AJ55&amp;65):INDIRECT(AJ55&amp;$C$61)),$AH55),SMALL(IF(($E$65:INDIRECT("E"&amp;$C$61)=$AE$10)*($D$65:INDIRECT("D"&amp;$C$61)=$AE$11),INDIRECT(AJ55&amp;65):INDIRECT(AJ55&amp;$C$61)),$AH55))),INDIRECT(AJ55&amp;65):INDIRECT(AJ55&amp;$C$61),0)</f>
        <v>#NUM!</v>
      </c>
      <c r="U55" s="69" t="e">
        <f ca="1">INDEX(D$65:INDIRECT("D"&amp;$C$61),$T55)</f>
        <v>#NUM!</v>
      </c>
      <c r="V55" s="69" t="e">
        <f ca="1">INDEX(INDIRECT(("'MemberID'!$C$6:C"&amp;MemberID!$C$1)),MATCH(U55,INDIRECT(("'MemberID'!$G$6:G"&amp;MemberID!$C$1)),0))</f>
        <v>#NUM!</v>
      </c>
      <c r="W55" s="69" t="e">
        <f ca="1">INDEX(E$65:INDIRECT("E"&amp;$C$61),$T55)</f>
        <v>#NUM!</v>
      </c>
      <c r="X55" t="e">
        <f ca="1">INDEX(F$65:INDIRECT("F"&amp;$C$61),$T55)</f>
        <v>#NUM!</v>
      </c>
      <c r="Y55" t="e">
        <f ca="1">INDEX(G$65:INDIRECT("G"&amp;$C$61),$T55)</f>
        <v>#NUM!</v>
      </c>
      <c r="Z55" t="e">
        <f ca="1">INDEX(H$65:INDIRECT("H"&amp;$C$61),$T55)</f>
        <v>#NUM!</v>
      </c>
      <c r="AA55" t="e">
        <f ca="1">INDEX(I$65:INDIRECT("I"&amp;$C$61),$T55)</f>
        <v>#NUM!</v>
      </c>
      <c r="AB55" t="e">
        <f ca="1">INDEX(J$65:INDIRECT("J"&amp;$C$61),$T55)</f>
        <v>#NUM!</v>
      </c>
      <c r="AC55" t="e">
        <f ca="1">INDEX(K$65:INDIRECT("K"&amp;$C$61),$T55)</f>
        <v>#NUM!</v>
      </c>
      <c r="AD55" t="e">
        <f ca="1">INDEX(L$65:INDIRECT("L"&amp;$C$61),$T55)</f>
        <v>#NUM!</v>
      </c>
      <c r="AE55" t="e">
        <f ca="1">INDEX(M$65:INDIRECT("M"&amp;$C$61),$T55)</f>
        <v>#NUM!</v>
      </c>
      <c r="AF55" t="e">
        <f ca="1">INDEX(N$65:INDIRECT("N"&amp;$C$61),$T55)</f>
        <v>#NUM!</v>
      </c>
      <c r="AG55" s="23" t="e">
        <f t="array" aca="1" ref="AG55" ca="1">IF(ISBLANK($AE$11),SMALL(IF($E$65:INDIRECT("E"&amp;$C$61)=$AE$10,O$65:INDIRECT(AG$13&amp;$C$61)),$AH55),IF(ISBLANK($AE$10),SMALL(IF($D$65:INDIRECT("D"&amp;$C$61)=$AE$11,O$65:INDIRECT(AG$13&amp;$C$61)),$AH55),SMALL(IF(($E$65:INDIRECT("E"&amp;$C$61)=$AE$10)*($D$65:INDIRECT("D"&amp;$C$61)=$AE$11),O$65:INDIRECT(AG$13&amp;$C$61)),$AH55)))</f>
        <v>#NUM!</v>
      </c>
      <c r="AH55" s="69">
        <v>3</v>
      </c>
      <c r="AI55" s="69" t="str">
        <f t="shared" si="5"/>
        <v>O</v>
      </c>
      <c r="AJ55" s="69" t="str">
        <f t="shared" si="5"/>
        <v>V</v>
      </c>
    </row>
    <row r="56" spans="1:36" x14ac:dyDescent="0.25">
      <c r="Q56" s="104"/>
    </row>
    <row r="57" spans="1:36" x14ac:dyDescent="0.25">
      <c r="E57" s="57"/>
      <c r="F57" s="57"/>
      <c r="G57" s="57"/>
      <c r="H57" s="57"/>
      <c r="Q57" s="104"/>
    </row>
    <row r="58" spans="1:36" x14ac:dyDescent="0.25">
      <c r="D58" s="7"/>
      <c r="E58" s="77"/>
      <c r="F58" s="77"/>
      <c r="G58" s="77"/>
      <c r="H58" s="77"/>
      <c r="I58" s="7"/>
      <c r="J58" s="7"/>
      <c r="K58" s="7"/>
      <c r="L58" s="7"/>
      <c r="M58" s="7"/>
      <c r="N58" s="7"/>
      <c r="O58" s="7"/>
      <c r="Q58" s="105"/>
      <c r="R58" s="7"/>
      <c r="S58" s="7"/>
      <c r="T58" s="7"/>
      <c r="U58" s="7"/>
      <c r="V58" s="7"/>
      <c r="W58" s="7"/>
      <c r="X58" s="7"/>
    </row>
    <row r="59" spans="1:36" x14ac:dyDescent="0.25">
      <c r="D59" s="66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8"/>
      <c r="Q59" s="105"/>
      <c r="R59" s="7"/>
      <c r="S59" s="7"/>
      <c r="T59" s="7"/>
      <c r="U59" s="7"/>
      <c r="V59" s="7"/>
      <c r="W59" s="7"/>
      <c r="X59" s="7"/>
    </row>
    <row r="60" spans="1:36" x14ac:dyDescent="0.25">
      <c r="D60" s="66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8"/>
      <c r="Q60" s="105"/>
      <c r="R60" s="7"/>
      <c r="S60" s="7"/>
      <c r="T60" s="7"/>
      <c r="U60" s="7"/>
      <c r="V60" s="7"/>
      <c r="W60" s="7"/>
      <c r="X60" s="7"/>
    </row>
    <row r="61" spans="1:36" x14ac:dyDescent="0.25">
      <c r="B61" t="s">
        <v>23</v>
      </c>
      <c r="C61" s="23">
        <f>LOOKUP(2,1/(NOT(ISBLANK(D:D))),ROW(D:D))</f>
        <v>64</v>
      </c>
      <c r="D61" s="66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8"/>
      <c r="Q61" s="105"/>
      <c r="R61" s="7"/>
      <c r="S61" s="7"/>
      <c r="T61" s="7"/>
      <c r="U61" s="7"/>
      <c r="V61" s="7"/>
      <c r="W61" s="7"/>
      <c r="X61" s="7"/>
    </row>
    <row r="62" spans="1:36" x14ac:dyDescent="0.25">
      <c r="Q62" s="104"/>
    </row>
    <row r="63" spans="1:36" x14ac:dyDescent="0.25">
      <c r="C63" s="7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Q63" s="22" t="s">
        <v>168</v>
      </c>
      <c r="R63" s="22"/>
      <c r="S63" s="22"/>
      <c r="T63" s="22"/>
      <c r="U63" s="22"/>
      <c r="V63" s="22"/>
    </row>
    <row r="64" spans="1:36" x14ac:dyDescent="0.25">
      <c r="C64" s="7"/>
      <c r="D64" t="s">
        <v>0</v>
      </c>
      <c r="E64" s="28" t="s">
        <v>191</v>
      </c>
      <c r="F64" s="28" t="s">
        <v>192</v>
      </c>
      <c r="G64" s="28" t="s">
        <v>193</v>
      </c>
      <c r="H64" s="28" t="s">
        <v>194</v>
      </c>
      <c r="I64" t="s">
        <v>129</v>
      </c>
      <c r="J64" t="s">
        <v>5</v>
      </c>
      <c r="K64" t="s">
        <v>6</v>
      </c>
      <c r="L64" t="s">
        <v>7</v>
      </c>
      <c r="M64" t="s">
        <v>8</v>
      </c>
      <c r="N64" t="s">
        <v>9</v>
      </c>
      <c r="O64" t="s">
        <v>10</v>
      </c>
      <c r="Q64" s="69" t="s">
        <v>140</v>
      </c>
      <c r="R64" s="69" t="s">
        <v>141</v>
      </c>
      <c r="S64" s="69" t="s">
        <v>142</v>
      </c>
      <c r="T64" s="69" t="s">
        <v>143</v>
      </c>
      <c r="U64" s="69" t="s">
        <v>144</v>
      </c>
      <c r="V64" s="69" t="s">
        <v>145</v>
      </c>
    </row>
    <row r="65" spans="30:49" x14ac:dyDescent="0.25">
      <c r="AD65" s="1"/>
      <c r="AE65" s="1"/>
      <c r="AO65" s="1"/>
      <c r="AP65" s="1"/>
      <c r="AQ65" s="1"/>
      <c r="AR65" s="1"/>
      <c r="AS65" s="1"/>
      <c r="AT65" s="1"/>
      <c r="AU65" s="1"/>
      <c r="AW65" s="1"/>
    </row>
  </sheetData>
  <dataValidations disablePrompts="1" count="2">
    <dataValidation type="list" showInputMessage="1" showErrorMessage="1" sqref="AE10" xr:uid="{BB8B5BAE-5486-454D-94E3-172911AF09FC}">
      <formula1>StationList</formula1>
    </dataValidation>
    <dataValidation type="list" showInputMessage="1" showErrorMessage="1" sqref="AE11" xr:uid="{94DE1A02-29C3-4206-A6EF-0EC95FE0F46F}">
      <formula1>MemberList</formula1>
    </dataValidation>
  </dataValidation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D0A0F-EA7C-43D2-9AB2-2542184D7BB7}">
  <sheetPr codeName="Sheet52"/>
  <dimension ref="A1:AI165"/>
  <sheetViews>
    <sheetView workbookViewId="0">
      <pane ySplit="8" topLeftCell="A9" activePane="bottomLeft" state="frozen"/>
      <selection pane="bottomLeft"/>
    </sheetView>
  </sheetViews>
  <sheetFormatPr defaultRowHeight="15" x14ac:dyDescent="0.25"/>
  <cols>
    <col min="2" max="2" width="9.7109375" bestFit="1" customWidth="1"/>
    <col min="3" max="3" width="9" bestFit="1" customWidth="1"/>
    <col min="5" max="5" width="11.85546875" bestFit="1" customWidth="1"/>
    <col min="6" max="6" width="35.7109375" customWidth="1"/>
    <col min="7" max="7" width="14.7109375" bestFit="1" customWidth="1"/>
    <col min="17" max="17" width="11.7109375" customWidth="1"/>
    <col min="18" max="18" width="29.42578125" customWidth="1"/>
  </cols>
  <sheetData>
    <row r="1" spans="1:35" x14ac:dyDescent="0.25">
      <c r="Q1" s="23" t="s">
        <v>204</v>
      </c>
      <c r="R1" s="23"/>
      <c r="S1" s="23"/>
      <c r="T1" s="23"/>
      <c r="U1" s="23"/>
      <c r="V1" s="23"/>
      <c r="W1" s="23"/>
      <c r="X1" s="23"/>
      <c r="Y1" s="23"/>
      <c r="Z1" s="23"/>
      <c r="AD1" t="s">
        <v>205</v>
      </c>
    </row>
    <row r="2" spans="1:35" x14ac:dyDescent="0.25">
      <c r="A2" s="24"/>
      <c r="G2" s="90" t="s">
        <v>270</v>
      </c>
      <c r="H2" s="91" t="s">
        <v>206</v>
      </c>
      <c r="Q2" s="23">
        <v>1</v>
      </c>
      <c r="R2" s="23" t="s">
        <v>207</v>
      </c>
      <c r="S2" s="23"/>
      <c r="T2" s="23"/>
      <c r="U2" s="23"/>
      <c r="V2" s="23"/>
      <c r="W2" s="23"/>
      <c r="X2" s="23"/>
      <c r="Y2" s="23"/>
      <c r="Z2" s="23"/>
      <c r="AD2" s="70" t="s">
        <v>208</v>
      </c>
    </row>
    <row r="3" spans="1:35" x14ac:dyDescent="0.25">
      <c r="A3" s="24"/>
      <c r="D3" s="7"/>
      <c r="E3" s="7"/>
      <c r="F3" s="92" t="s">
        <v>271</v>
      </c>
      <c r="G3" s="93">
        <v>3</v>
      </c>
      <c r="H3" s="93">
        <v>3</v>
      </c>
      <c r="Q3" s="23">
        <v>2</v>
      </c>
      <c r="R3" s="23" t="s">
        <v>209</v>
      </c>
      <c r="S3" s="23"/>
      <c r="T3" s="23"/>
      <c r="U3" s="23"/>
      <c r="V3" s="23"/>
      <c r="W3" s="23"/>
      <c r="X3" s="23"/>
      <c r="Y3" s="23"/>
      <c r="Z3" s="23"/>
      <c r="AD3" s="70" t="s">
        <v>210</v>
      </c>
    </row>
    <row r="4" spans="1:35" x14ac:dyDescent="0.25">
      <c r="A4" s="24"/>
      <c r="D4" s="7"/>
      <c r="E4" s="7"/>
      <c r="F4" s="103"/>
      <c r="G4" s="69"/>
      <c r="Q4" s="23">
        <v>3</v>
      </c>
      <c r="R4" s="23" t="s">
        <v>211</v>
      </c>
      <c r="S4" s="23"/>
      <c r="T4" s="23"/>
      <c r="U4" s="23"/>
      <c r="V4" s="23"/>
      <c r="W4" s="23"/>
      <c r="X4" s="23"/>
      <c r="Y4" s="23"/>
      <c r="Z4" s="23"/>
      <c r="AD4" t="s">
        <v>212</v>
      </c>
    </row>
    <row r="5" spans="1:35" x14ac:dyDescent="0.25">
      <c r="A5" s="24"/>
      <c r="D5" s="7"/>
      <c r="E5" s="7"/>
      <c r="F5" s="94"/>
      <c r="G5" s="7"/>
      <c r="H5" s="72"/>
      <c r="I5" s="24"/>
      <c r="Q5" s="95" t="s">
        <v>163</v>
      </c>
      <c r="R5" s="96" t="s">
        <v>213</v>
      </c>
      <c r="S5" s="97"/>
      <c r="T5" s="97"/>
      <c r="U5" s="97"/>
      <c r="V5" s="97"/>
      <c r="W5" s="97"/>
      <c r="X5" s="97"/>
      <c r="Y5" s="97"/>
      <c r="Z5" s="97"/>
      <c r="AA5" s="69"/>
      <c r="AB5" s="69"/>
      <c r="AC5" s="69"/>
    </row>
    <row r="6" spans="1:35" x14ac:dyDescent="0.25">
      <c r="A6" s="24"/>
      <c r="D6" s="7"/>
      <c r="E6" s="7"/>
      <c r="F6" s="92" t="s">
        <v>129</v>
      </c>
      <c r="G6" s="22" t="s">
        <v>259</v>
      </c>
      <c r="H6" s="72"/>
      <c r="I6" s="98" t="s">
        <v>214</v>
      </c>
      <c r="J6" s="99">
        <f ca="1">INDIRECT("'"&amp;G6&amp;"'!"&amp;"C61")</f>
        <v>64</v>
      </c>
      <c r="Q6" s="97"/>
      <c r="R6" s="96" t="s">
        <v>215</v>
      </c>
      <c r="S6" s="97"/>
      <c r="T6" s="97"/>
      <c r="U6" s="97"/>
      <c r="V6" s="97"/>
      <c r="W6" s="97"/>
      <c r="X6" s="97"/>
      <c r="Y6" s="97"/>
      <c r="Z6" s="97"/>
      <c r="AA6" s="69"/>
      <c r="AB6" s="69"/>
      <c r="AC6" s="69"/>
    </row>
    <row r="7" spans="1:35" x14ac:dyDescent="0.25">
      <c r="A7" s="24"/>
      <c r="D7" s="7"/>
      <c r="E7" s="7"/>
      <c r="F7" s="92" t="s">
        <v>216</v>
      </c>
      <c r="G7" s="22" t="s">
        <v>123</v>
      </c>
      <c r="H7" s="72"/>
      <c r="I7" s="98" t="s">
        <v>217</v>
      </c>
      <c r="J7" s="99" t="str">
        <f>SUBSTITUTE(ADDRESS(1,MATCH(G7,G14:L14,0)+COLUMN(G14)-1,4),"1","")</f>
        <v>G</v>
      </c>
      <c r="K7" s="98" t="s">
        <v>217</v>
      </c>
      <c r="L7" s="99" t="str">
        <f>INDEX(G15:L15,MATCH(G7,G14:L14))</f>
        <v>J</v>
      </c>
      <c r="Q7" s="69"/>
      <c r="R7" s="69"/>
      <c r="S7" s="69"/>
      <c r="T7" s="69"/>
      <c r="U7" s="71"/>
      <c r="V7" s="69"/>
      <c r="W7" s="69"/>
      <c r="X7" s="69"/>
      <c r="Y7" s="69"/>
      <c r="Z7" s="69"/>
      <c r="AA7" s="69"/>
      <c r="AB7" s="69"/>
      <c r="AC7" s="69"/>
    </row>
    <row r="8" spans="1:35" x14ac:dyDescent="0.25">
      <c r="D8" s="7"/>
      <c r="E8" s="7"/>
      <c r="F8" s="92" t="s">
        <v>218</v>
      </c>
      <c r="G8" s="22" t="s">
        <v>265</v>
      </c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</row>
    <row r="9" spans="1:35" x14ac:dyDescent="0.25">
      <c r="I9" s="72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</row>
    <row r="10" spans="1:35" x14ac:dyDescent="0.25">
      <c r="E10" s="70"/>
      <c r="F10" s="24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</row>
    <row r="11" spans="1:35" x14ac:dyDescent="0.25"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</row>
    <row r="12" spans="1:35" x14ac:dyDescent="0.25"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I12" s="69"/>
    </row>
    <row r="13" spans="1:35" x14ac:dyDescent="0.25">
      <c r="A13" s="108" t="s">
        <v>264</v>
      </c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I13" s="69"/>
    </row>
    <row r="14" spans="1:35" x14ac:dyDescent="0.25">
      <c r="A14" s="91" t="s">
        <v>13</v>
      </c>
      <c r="B14" s="99" t="s">
        <v>191</v>
      </c>
      <c r="C14" s="99" t="s">
        <v>219</v>
      </c>
      <c r="D14" s="99" t="s">
        <v>226</v>
      </c>
      <c r="E14" s="111" t="s">
        <v>258</v>
      </c>
      <c r="F14" s="91" t="s">
        <v>261</v>
      </c>
      <c r="G14" s="91" t="s">
        <v>123</v>
      </c>
      <c r="H14" s="91" t="s">
        <v>124</v>
      </c>
      <c r="I14" s="91" t="s">
        <v>125</v>
      </c>
      <c r="J14" s="91" t="s">
        <v>126</v>
      </c>
      <c r="K14" s="91" t="s">
        <v>127</v>
      </c>
      <c r="L14" s="91" t="s">
        <v>128</v>
      </c>
      <c r="M14" s="99" t="s">
        <v>220</v>
      </c>
      <c r="N14" s="99" t="s">
        <v>221</v>
      </c>
      <c r="O14" s="99" t="s">
        <v>222</v>
      </c>
      <c r="P14" s="99" t="s">
        <v>223</v>
      </c>
      <c r="Q14" s="99" t="s">
        <v>224</v>
      </c>
      <c r="R14" s="99" t="s">
        <v>225</v>
      </c>
      <c r="U14" s="69"/>
      <c r="V14" s="69"/>
      <c r="W14" s="69"/>
      <c r="X14" s="69"/>
      <c r="Y14" s="69"/>
      <c r="Z14" s="69"/>
      <c r="AA14" s="69"/>
      <c r="AB14" s="69"/>
      <c r="AC14" s="69"/>
      <c r="AD14" s="69"/>
      <c r="AI14" s="69"/>
    </row>
    <row r="15" spans="1:35" x14ac:dyDescent="0.25">
      <c r="A15" s="91"/>
      <c r="B15" s="99" t="str">
        <f>SUBSTITUTE(ADDRESS(1,COLUMN('STR1 Forces'!E63),4),"1","")</f>
        <v>E</v>
      </c>
      <c r="C15" s="99" t="str">
        <f>SUBSTITUTE(ADDRESS(1,COLUMN('STR1 Forces'!D63),4),"1","")</f>
        <v>D</v>
      </c>
      <c r="D15" s="99"/>
      <c r="E15" s="91"/>
      <c r="F15" s="99" t="str">
        <f>SUBSTITUTE(ADDRESS(1,COLUMN('STR1 Forces'!I63),4),"1","")</f>
        <v>I</v>
      </c>
      <c r="G15" s="99" t="str">
        <f>SUBSTITUTE(ADDRESS(1,COLUMN('STR1 Forces'!J63),4),"1","")</f>
        <v>J</v>
      </c>
      <c r="H15" s="99" t="str">
        <f>SUBSTITUTE(ADDRESS(1,COLUMN('STR1 Forces'!K63),4),"1","")</f>
        <v>K</v>
      </c>
      <c r="I15" s="99" t="str">
        <f>SUBSTITUTE(ADDRESS(1,COLUMN('STR1 Forces'!L63),4),"1","")</f>
        <v>L</v>
      </c>
      <c r="J15" s="99" t="str">
        <f>SUBSTITUTE(ADDRESS(1,COLUMN('STR1 Forces'!M63),4),"1","")</f>
        <v>M</v>
      </c>
      <c r="K15" s="99" t="str">
        <f>SUBSTITUTE(ADDRESS(1,COLUMN('STR1 Forces'!N63),4),"1","")</f>
        <v>N</v>
      </c>
      <c r="L15" s="99" t="str">
        <f>SUBSTITUTE(ADDRESS(1,COLUMN('STR1 Forces'!O63),4),"1","")</f>
        <v>O</v>
      </c>
      <c r="M15" s="69"/>
      <c r="N15" s="69"/>
      <c r="O15" s="69"/>
      <c r="P15" s="69"/>
      <c r="Q15" s="69"/>
      <c r="R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I15" s="69"/>
    </row>
    <row r="16" spans="1:35" x14ac:dyDescent="0.25">
      <c r="A16" s="91" t="str">
        <f>$G$8</f>
        <v>Max</v>
      </c>
      <c r="B16" s="75"/>
      <c r="C16" s="75"/>
      <c r="D16" s="75"/>
      <c r="E16" s="75"/>
      <c r="F16" s="75"/>
      <c r="G16" s="75">
        <f ca="1">IF($G$8="Max",MAX(G17:G25),MIN(G17:G25))</f>
        <v>0</v>
      </c>
      <c r="H16" s="75" t="e">
        <f t="shared" ref="H16:L16" ca="1" si="0">MAX(H17)</f>
        <v>#N/A</v>
      </c>
      <c r="I16" s="75" t="e">
        <f t="shared" ca="1" si="0"/>
        <v>#N/A</v>
      </c>
      <c r="J16" s="75" t="e">
        <f t="shared" ca="1" si="0"/>
        <v>#N/A</v>
      </c>
      <c r="K16" s="75" t="e">
        <f t="shared" ca="1" si="0"/>
        <v>#N/A</v>
      </c>
      <c r="L16" s="75" t="e">
        <f t="shared" ca="1" si="0"/>
        <v>#N/A</v>
      </c>
      <c r="M16" s="69"/>
      <c r="N16" s="69"/>
      <c r="O16" s="69"/>
      <c r="P16" s="69"/>
      <c r="Q16" s="69"/>
      <c r="R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I16" s="69"/>
    </row>
    <row r="17" spans="1:35" x14ac:dyDescent="0.25">
      <c r="A17" s="91" t="str">
        <f>MemberID!C6</f>
        <v>P01R</v>
      </c>
      <c r="B17" s="99">
        <f>0</f>
        <v>0</v>
      </c>
      <c r="C17" s="99">
        <f ca="1">INDEX(INDIRECT("MemberID!G6:G"&amp;MemberID!$C$1),MATCH(Interface!A17,INDIRECT("MemberID!C6:C"&amp;MemberID!$C$1),0))</f>
        <v>0</v>
      </c>
      <c r="D17" s="99" t="e">
        <f ca="1">MATCH(INDIRECT($J$7&amp;ROW()),INDIRECT("'"&amp;$G$6&amp;"'!"&amp;$L$7&amp;"65:"&amp;$L$7&amp;$J$6),0)</f>
        <v>#N/A</v>
      </c>
      <c r="E17" s="100" t="str">
        <f>MemberID!D6</f>
        <v>-</v>
      </c>
      <c r="F17" s="87" t="e">
        <f ca="1">INDEX(INDIRECT("'"&amp;$G$6&amp;"'!"&amp;F$15&amp;"65:"&amp;F$15&amp;$J$6),$D17)</f>
        <v>#N/A</v>
      </c>
      <c r="G17" s="75">
        <f t="array" aca="1" ref="G17" ca="1">IF($G$7=G$14,IF($G$8="Max",_xlfn.MAXIFS(INDIRECT("'"&amp;$G$6&amp;"'!"&amp;G$15&amp;"65:"&amp;G$15&amp;$J$6),INDIRECT("'"&amp;$G$6&amp;"'!"&amp;"E65:E"&amp;$J$6),$B17,INDIRECT("'"&amp;$G$6&amp;"'!"&amp;"D65:D"&amp;$J$6),$C17),_xlfn.MINIFS(INDIRECT("'"&amp;$G$6&amp;"'!"&amp;G$15&amp;"65:"&amp;G$15&amp;$J$6),INDIRECT("'"&amp;$G$6&amp;"'!"&amp;"E65:E"&amp;$J$6),$B17,INDIRECT("'"&amp;$G$6&amp;"'!"&amp;"D65:D"&amp;$J$6),$C17)),INDEX(INDIRECT("'"&amp;$G$6&amp;"'!"&amp;G$15&amp;"65:"&amp;G$15&amp;$J$6),$D17))</f>
        <v>0</v>
      </c>
      <c r="H17" s="75" t="e">
        <f ca="1">IF($G$7=H$14,IF($G$8="Max",_xlfn.MAXIFS(INDIRECT("'"&amp;$G$6&amp;"'!"&amp;H$15&amp;"65:"&amp;H$15&amp;$J$6),INDIRECT("'"&amp;$G$6&amp;"'!"&amp;"E65:E"&amp;$J$6),$B17,INDIRECT("'"&amp;$G$6&amp;"'!"&amp;"D65:D"&amp;$J$6),$C17),_xlfn.MINIFS(INDIRECT("'"&amp;$G$6&amp;"'!"&amp;H$15&amp;"65:"&amp;H$15&amp;$J$6),INDIRECT("'"&amp;$G$6&amp;"'!"&amp;"E65:E"&amp;$J$6),$B17,INDIRECT("'"&amp;$G$6&amp;"'!"&amp;"D65:D"&amp;$J$6),$C17)),INDEX(INDIRECT("'"&amp;$G$6&amp;"'!"&amp;H$15&amp;"65:"&amp;H$15&amp;$J$6),$D17))</f>
        <v>#N/A</v>
      </c>
      <c r="I17" s="75" t="e">
        <f ca="1">IF($G$7=I$14,IF($G$8="Max",_xlfn.MAXIFS(INDIRECT("'"&amp;$G$6&amp;"'!"&amp;I$15&amp;"65:"&amp;I$15&amp;$J$6),INDIRECT("'"&amp;$G$6&amp;"'!"&amp;"E65:E"&amp;$J$6),$B17,INDIRECT("'"&amp;$G$6&amp;"'!"&amp;"D65:D"&amp;$J$6),$C17),_xlfn.MINIFS(INDIRECT("'"&amp;$G$6&amp;"'!"&amp;I$15&amp;"65:"&amp;I$15&amp;$J$6),INDIRECT("'"&amp;$G$6&amp;"'!"&amp;"E65:E"&amp;$J$6),$B17,INDIRECT("'"&amp;$G$6&amp;"'!"&amp;"D65:D"&amp;$J$6),$C17)),INDEX(INDIRECT("'"&amp;$G$6&amp;"'!"&amp;I$15&amp;"65:"&amp;I$15&amp;$J$6),$D17))</f>
        <v>#N/A</v>
      </c>
      <c r="J17" s="75" t="e">
        <f ca="1">IF($G$7=J$14,IF($G$8="Max",_xlfn.MAXIFS(INDIRECT("'"&amp;$G$6&amp;"'!"&amp;J$15&amp;"65:"&amp;J$15&amp;$J$6),INDIRECT("'"&amp;$G$6&amp;"'!"&amp;"E65:E"&amp;$J$6),$B17,INDIRECT("'"&amp;$G$6&amp;"'!"&amp;"D65:D"&amp;$J$6),$C17),_xlfn.MINIFS(INDIRECT("'"&amp;$G$6&amp;"'!"&amp;J$15&amp;"65:"&amp;J$15&amp;$J$6),INDIRECT("'"&amp;$G$6&amp;"'!"&amp;"E65:E"&amp;$J$6),$B17,INDIRECT("'"&amp;$G$6&amp;"'!"&amp;"D65:D"&amp;$J$6),$C17)),INDEX(INDIRECT("'"&amp;$G$6&amp;"'!"&amp;J$15&amp;"65:"&amp;J$15&amp;$J$6),$D17))</f>
        <v>#N/A</v>
      </c>
      <c r="K17" s="75" t="e">
        <f ca="1">IF($G$7=K$14,IF($G$8="Max",_xlfn.MAXIFS(INDIRECT("'"&amp;$G$6&amp;"'!"&amp;K$15&amp;"65:"&amp;K$15&amp;$J$6),INDIRECT("'"&amp;$G$6&amp;"'!"&amp;"E65:E"&amp;$J$6),$B17,INDIRECT("'"&amp;$G$6&amp;"'!"&amp;"D65:D"&amp;$J$6),$C17),_xlfn.MINIFS(INDIRECT("'"&amp;$G$6&amp;"'!"&amp;K$15&amp;"65:"&amp;K$15&amp;$J$6),INDIRECT("'"&amp;$G$6&amp;"'!"&amp;"E65:E"&amp;$J$6),$B17,INDIRECT("'"&amp;$G$6&amp;"'!"&amp;"D65:D"&amp;$J$6),$C17)),INDEX(INDIRECT("'"&amp;$G$6&amp;"'!"&amp;K$15&amp;"65:"&amp;K$15&amp;$J$6),$D17))</f>
        <v>#N/A</v>
      </c>
      <c r="L17" s="75" t="e">
        <f ca="1">IF($G$7=L$14,IF($G$8="Max",_xlfn.MAXIFS(INDIRECT("'"&amp;$G$6&amp;"'!"&amp;L$15&amp;"65:"&amp;L$15&amp;$J$6),INDIRECT("'"&amp;$G$6&amp;"'!"&amp;"E65:E"&amp;$J$6),$B17,INDIRECT("'"&amp;$G$6&amp;"'!"&amp;"D65:D"&amp;$J$6),$C17),_xlfn.MINIFS(INDIRECT("'"&amp;$G$6&amp;"'!"&amp;L$15&amp;"65:"&amp;L$15&amp;$J$6),INDIRECT("'"&amp;$G$6&amp;"'!"&amp;"E65:E"&amp;$J$6),$B17,INDIRECT("'"&amp;$G$6&amp;"'!"&amp;"D65:D"&amp;$J$6),$C17)),INDEX(INDIRECT("'"&amp;$G$6&amp;"'!"&amp;L$15&amp;"65:"&amp;L$15&amp;$J$6),$D17))</f>
        <v>#N/A</v>
      </c>
      <c r="M17" s="69"/>
      <c r="N17" s="69"/>
      <c r="O17" s="69"/>
      <c r="P17" s="69"/>
      <c r="Q17" s="69"/>
      <c r="R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I17" s="69"/>
    </row>
    <row r="18" spans="1:35" x14ac:dyDescent="0.25">
      <c r="A18" s="91" t="str">
        <f>MemberID!C7</f>
        <v>P01C</v>
      </c>
      <c r="B18" s="99">
        <f>0</f>
        <v>0</v>
      </c>
      <c r="C18" s="99">
        <f ca="1">INDEX(INDIRECT("MemberID!G6:G"&amp;MemberID!$C$1),MATCH(Interface!A18,INDIRECT("MemberID!C6:C"&amp;MemberID!$C$1),0))</f>
        <v>0</v>
      </c>
      <c r="D18" s="99" t="e">
        <f t="shared" ref="D18:D25" ca="1" si="1">MATCH(INDIRECT($J$7&amp;ROW()),INDIRECT("'"&amp;$G$6&amp;"'!"&amp;$L$7&amp;"65:"&amp;$L$7&amp;$J$6),0)</f>
        <v>#N/A</v>
      </c>
      <c r="E18" s="100" t="str">
        <f>MemberID!D7</f>
        <v>-</v>
      </c>
      <c r="F18" s="87" t="e">
        <f t="shared" ref="F18:F25" ca="1" si="2">INDEX(INDIRECT("'"&amp;$G$6&amp;"'!"&amp;F$15&amp;"65:"&amp;F$15&amp;$J$6),$D18)</f>
        <v>#N/A</v>
      </c>
      <c r="G18" s="75">
        <f t="array" aca="1" ref="G18" ca="1">IF($G$7=G$14,IF($G$8="Max",_xlfn.MAXIFS(INDIRECT("'"&amp;$G$6&amp;"'!"&amp;G$15&amp;"65:"&amp;G$15&amp;$J$6),INDIRECT("'"&amp;$G$6&amp;"'!"&amp;"E65:E"&amp;$J$6),$B18,INDIRECT("'"&amp;$G$6&amp;"'!"&amp;"D65:D"&amp;$J$6),$C18),_xlfn.MINIFS(INDIRECT("'"&amp;$G$6&amp;"'!"&amp;G$15&amp;"65:"&amp;G$15&amp;$J$6),INDIRECT("'"&amp;$G$6&amp;"'!"&amp;"E65:E"&amp;$J$6),$B18,INDIRECT("'"&amp;$G$6&amp;"'!"&amp;"D65:D"&amp;$J$6),$C18)),INDEX(INDIRECT("'"&amp;$G$6&amp;"'!"&amp;G$15&amp;"65:"&amp;G$15&amp;$J$6),$D18))</f>
        <v>0</v>
      </c>
      <c r="H18" s="75" t="e">
        <f t="shared" ref="H18:L25" ca="1" si="3">IF($G$7=H$14,IF($G$8="Max",_xlfn.MAXIFS(INDIRECT("'"&amp;$G$6&amp;"'!"&amp;H$15&amp;"65:"&amp;H$15&amp;$J$6),INDIRECT("'"&amp;$G$6&amp;"'!"&amp;"E65:E"&amp;$J$6),$B18,INDIRECT("'"&amp;$G$6&amp;"'!"&amp;"D65:D"&amp;$J$6),$C18),_xlfn.MINIFS(INDIRECT("'"&amp;$G$6&amp;"'!"&amp;H$15&amp;"65:"&amp;H$15&amp;$J$6),INDIRECT("'"&amp;$G$6&amp;"'!"&amp;"E65:E"&amp;$J$6),$B18,INDIRECT("'"&amp;$G$6&amp;"'!"&amp;"D65:D"&amp;$J$6),$C18)),INDEX(INDIRECT("'"&amp;$G$6&amp;"'!"&amp;H$15&amp;"65:"&amp;H$15&amp;$J$6),$D18))</f>
        <v>#N/A</v>
      </c>
      <c r="I18" s="75" t="e">
        <f t="shared" ca="1" si="3"/>
        <v>#N/A</v>
      </c>
      <c r="J18" s="75" t="e">
        <f t="shared" ca="1" si="3"/>
        <v>#N/A</v>
      </c>
      <c r="K18" s="75" t="e">
        <f t="shared" ca="1" si="3"/>
        <v>#N/A</v>
      </c>
      <c r="L18" s="75" t="e">
        <f t="shared" ca="1" si="3"/>
        <v>#N/A</v>
      </c>
      <c r="M18" s="69"/>
      <c r="N18" s="69"/>
      <c r="O18" s="69"/>
      <c r="P18" s="69"/>
      <c r="Q18" s="69"/>
      <c r="R18" s="69"/>
      <c r="U18" s="69"/>
      <c r="V18" s="69"/>
      <c r="W18" s="69"/>
      <c r="X18" s="69"/>
      <c r="Y18" s="69"/>
      <c r="Z18" s="69"/>
      <c r="AA18" s="69"/>
      <c r="AB18" s="69"/>
      <c r="AC18" s="69"/>
    </row>
    <row r="19" spans="1:35" x14ac:dyDescent="0.25">
      <c r="A19" s="91" t="str">
        <f>MemberID!C8</f>
        <v>P01L</v>
      </c>
      <c r="B19" s="99">
        <f>0</f>
        <v>0</v>
      </c>
      <c r="C19" s="99">
        <f ca="1">INDEX(INDIRECT("MemberID!G6:G"&amp;MemberID!$C$1),MATCH(Interface!A19,INDIRECT("MemberID!C6:C"&amp;MemberID!$C$1),0))</f>
        <v>0</v>
      </c>
      <c r="D19" s="99" t="e">
        <f t="shared" ca="1" si="1"/>
        <v>#N/A</v>
      </c>
      <c r="E19" s="100" t="str">
        <f>MemberID!D8</f>
        <v>-</v>
      </c>
      <c r="F19" s="87" t="e">
        <f t="shared" ca="1" si="2"/>
        <v>#N/A</v>
      </c>
      <c r="G19" s="75">
        <f t="array" aca="1" ref="G19" ca="1">IF($G$7=G$14,IF($G$8="Max",_xlfn.MAXIFS(INDIRECT("'"&amp;$G$6&amp;"'!"&amp;G$15&amp;"65:"&amp;G$15&amp;$J$6),INDIRECT("'"&amp;$G$6&amp;"'!"&amp;"E65:E"&amp;$J$6),$B19,INDIRECT("'"&amp;$G$6&amp;"'!"&amp;"D65:D"&amp;$J$6),$C19),_xlfn.MINIFS(INDIRECT("'"&amp;$G$6&amp;"'!"&amp;G$15&amp;"65:"&amp;G$15&amp;$J$6),INDIRECT("'"&amp;$G$6&amp;"'!"&amp;"E65:E"&amp;$J$6),$B19,INDIRECT("'"&amp;$G$6&amp;"'!"&amp;"D65:D"&amp;$J$6),$C19)),INDEX(INDIRECT("'"&amp;$G$6&amp;"'!"&amp;G$15&amp;"65:"&amp;G$15&amp;$J$6),$D19))</f>
        <v>0</v>
      </c>
      <c r="H19" s="75" t="e">
        <f t="shared" ca="1" si="3"/>
        <v>#N/A</v>
      </c>
      <c r="I19" s="75" t="e">
        <f t="shared" ca="1" si="3"/>
        <v>#N/A</v>
      </c>
      <c r="J19" s="75" t="e">
        <f t="shared" ca="1" si="3"/>
        <v>#N/A</v>
      </c>
      <c r="K19" s="75" t="e">
        <f t="shared" ca="1" si="3"/>
        <v>#N/A</v>
      </c>
      <c r="L19" s="75" t="e">
        <f t="shared" ca="1" si="3"/>
        <v>#N/A</v>
      </c>
      <c r="M19" s="69"/>
      <c r="N19" s="69"/>
      <c r="O19" s="69"/>
      <c r="P19" s="69"/>
      <c r="Q19" s="69"/>
      <c r="R19" s="69"/>
      <c r="U19" s="69"/>
      <c r="V19" s="69"/>
      <c r="W19" s="69"/>
      <c r="X19" s="69"/>
      <c r="Y19" s="69"/>
      <c r="Z19" s="69"/>
      <c r="AA19" s="69"/>
      <c r="AB19" s="69"/>
      <c r="AC19" s="69"/>
    </row>
    <row r="20" spans="1:35" x14ac:dyDescent="0.25">
      <c r="A20" s="91" t="str">
        <f>MemberID!C9</f>
        <v>P02R</v>
      </c>
      <c r="B20" s="99">
        <f>0</f>
        <v>0</v>
      </c>
      <c r="C20" s="99">
        <f ca="1">INDEX(INDIRECT("MemberID!G6:G"&amp;MemberID!$C$1),MATCH(Interface!A20,INDIRECT("MemberID!C6:C"&amp;MemberID!$C$1),0))</f>
        <v>0</v>
      </c>
      <c r="D20" s="99" t="e">
        <f t="shared" ca="1" si="1"/>
        <v>#N/A</v>
      </c>
      <c r="E20" s="100" t="str">
        <f>MemberID!D9</f>
        <v>-</v>
      </c>
      <c r="F20" s="87" t="e">
        <f t="shared" ca="1" si="2"/>
        <v>#N/A</v>
      </c>
      <c r="G20" s="75">
        <f t="array" aca="1" ref="G20" ca="1">IF($G$7=G$14,IF($G$8="Max",_xlfn.MAXIFS(INDIRECT("'"&amp;$G$6&amp;"'!"&amp;G$15&amp;"65:"&amp;G$15&amp;$J$6),INDIRECT("'"&amp;$G$6&amp;"'!"&amp;"E65:E"&amp;$J$6),$B20,INDIRECT("'"&amp;$G$6&amp;"'!"&amp;"D65:D"&amp;$J$6),$C20),_xlfn.MINIFS(INDIRECT("'"&amp;$G$6&amp;"'!"&amp;G$15&amp;"65:"&amp;G$15&amp;$J$6),INDIRECT("'"&amp;$G$6&amp;"'!"&amp;"E65:E"&amp;$J$6),$B20,INDIRECT("'"&amp;$G$6&amp;"'!"&amp;"D65:D"&amp;$J$6),$C20)),INDEX(INDIRECT("'"&amp;$G$6&amp;"'!"&amp;G$15&amp;"65:"&amp;G$15&amp;$J$6),$D20))</f>
        <v>0</v>
      </c>
      <c r="H20" s="75" t="e">
        <f t="shared" ca="1" si="3"/>
        <v>#N/A</v>
      </c>
      <c r="I20" s="75" t="e">
        <f t="shared" ca="1" si="3"/>
        <v>#N/A</v>
      </c>
      <c r="J20" s="75" t="e">
        <f t="shared" ca="1" si="3"/>
        <v>#N/A</v>
      </c>
      <c r="K20" s="75" t="e">
        <f t="shared" ca="1" si="3"/>
        <v>#N/A</v>
      </c>
      <c r="L20" s="75" t="e">
        <f t="shared" ca="1" si="3"/>
        <v>#N/A</v>
      </c>
      <c r="M20" s="69"/>
      <c r="N20" s="69"/>
      <c r="O20" s="69"/>
      <c r="P20" s="69"/>
      <c r="Q20" s="69"/>
      <c r="R20" s="69"/>
      <c r="U20" s="69"/>
      <c r="V20" s="69"/>
      <c r="W20" s="69"/>
      <c r="X20" s="69"/>
      <c r="Y20" s="69"/>
      <c r="Z20" s="69"/>
      <c r="AA20" s="69"/>
      <c r="AB20" s="69"/>
      <c r="AC20" s="69"/>
    </row>
    <row r="21" spans="1:35" x14ac:dyDescent="0.25">
      <c r="A21" s="91" t="str">
        <f>MemberID!C10</f>
        <v>P02C</v>
      </c>
      <c r="B21" s="99">
        <f>0</f>
        <v>0</v>
      </c>
      <c r="C21" s="99">
        <f ca="1">INDEX(INDIRECT("MemberID!G6:G"&amp;MemberID!$C$1),MATCH(Interface!A21,INDIRECT("MemberID!C6:C"&amp;MemberID!$C$1),0))</f>
        <v>0</v>
      </c>
      <c r="D21" s="99" t="e">
        <f t="shared" ca="1" si="1"/>
        <v>#N/A</v>
      </c>
      <c r="E21" s="100" t="str">
        <f>MemberID!D10</f>
        <v>-</v>
      </c>
      <c r="F21" s="87" t="e">
        <f t="shared" ca="1" si="2"/>
        <v>#N/A</v>
      </c>
      <c r="G21" s="75">
        <f t="array" aca="1" ref="G21" ca="1">IF($G$7=G$14,IF($G$8="Max",_xlfn.MAXIFS(INDIRECT("'"&amp;$G$6&amp;"'!"&amp;G$15&amp;"65:"&amp;G$15&amp;$J$6),INDIRECT("'"&amp;$G$6&amp;"'!"&amp;"E65:E"&amp;$J$6),$B21,INDIRECT("'"&amp;$G$6&amp;"'!"&amp;"D65:D"&amp;$J$6),$C21),_xlfn.MINIFS(INDIRECT("'"&amp;$G$6&amp;"'!"&amp;G$15&amp;"65:"&amp;G$15&amp;$J$6),INDIRECT("'"&amp;$G$6&amp;"'!"&amp;"E65:E"&amp;$J$6),$B21,INDIRECT("'"&amp;$G$6&amp;"'!"&amp;"D65:D"&amp;$J$6),$C21)),INDEX(INDIRECT("'"&amp;$G$6&amp;"'!"&amp;G$15&amp;"65:"&amp;G$15&amp;$J$6),$D21))</f>
        <v>0</v>
      </c>
      <c r="H21" s="75" t="e">
        <f t="shared" ca="1" si="3"/>
        <v>#N/A</v>
      </c>
      <c r="I21" s="75" t="e">
        <f t="shared" ca="1" si="3"/>
        <v>#N/A</v>
      </c>
      <c r="J21" s="75" t="e">
        <f t="shared" ca="1" si="3"/>
        <v>#N/A</v>
      </c>
      <c r="K21" s="75" t="e">
        <f t="shared" ca="1" si="3"/>
        <v>#N/A</v>
      </c>
      <c r="L21" s="75" t="e">
        <f t="shared" ca="1" si="3"/>
        <v>#N/A</v>
      </c>
      <c r="M21" s="69"/>
      <c r="N21" s="69"/>
      <c r="O21" s="69"/>
      <c r="P21" s="69"/>
      <c r="Q21" s="69"/>
      <c r="R21" s="69"/>
      <c r="U21" s="69"/>
      <c r="V21" s="69"/>
      <c r="W21" s="69"/>
      <c r="X21" s="69"/>
      <c r="Y21" s="69"/>
      <c r="Z21" s="69"/>
      <c r="AA21" s="69"/>
      <c r="AB21" s="69"/>
      <c r="AC21" s="69"/>
    </row>
    <row r="22" spans="1:35" x14ac:dyDescent="0.25">
      <c r="A22" s="91" t="str">
        <f>MemberID!C11</f>
        <v>P02L</v>
      </c>
      <c r="B22" s="99">
        <f>0</f>
        <v>0</v>
      </c>
      <c r="C22" s="99">
        <f ca="1">INDEX(INDIRECT("MemberID!G6:G"&amp;MemberID!$C$1),MATCH(Interface!A22,INDIRECT("MemberID!C6:C"&amp;MemberID!$C$1),0))</f>
        <v>0</v>
      </c>
      <c r="D22" s="99" t="e">
        <f t="shared" ca="1" si="1"/>
        <v>#N/A</v>
      </c>
      <c r="E22" s="100" t="str">
        <f>MemberID!D11</f>
        <v>-</v>
      </c>
      <c r="F22" s="87" t="e">
        <f t="shared" ca="1" si="2"/>
        <v>#N/A</v>
      </c>
      <c r="G22" s="75">
        <f t="array" aca="1" ref="G22" ca="1">IF($G$7=G$14,IF($G$8="Max",_xlfn.MAXIFS(INDIRECT("'"&amp;$G$6&amp;"'!"&amp;G$15&amp;"65:"&amp;G$15&amp;$J$6),INDIRECT("'"&amp;$G$6&amp;"'!"&amp;"E65:E"&amp;$J$6),$B22,INDIRECT("'"&amp;$G$6&amp;"'!"&amp;"D65:D"&amp;$J$6),$C22),_xlfn.MINIFS(INDIRECT("'"&amp;$G$6&amp;"'!"&amp;G$15&amp;"65:"&amp;G$15&amp;$J$6),INDIRECT("'"&amp;$G$6&amp;"'!"&amp;"E65:E"&amp;$J$6),$B22,INDIRECT("'"&amp;$G$6&amp;"'!"&amp;"D65:D"&amp;$J$6),$C22)),INDEX(INDIRECT("'"&amp;$G$6&amp;"'!"&amp;G$15&amp;"65:"&amp;G$15&amp;$J$6),$D22))</f>
        <v>0</v>
      </c>
      <c r="H22" s="75" t="e">
        <f t="shared" ca="1" si="3"/>
        <v>#N/A</v>
      </c>
      <c r="I22" s="75" t="e">
        <f t="shared" ca="1" si="3"/>
        <v>#N/A</v>
      </c>
      <c r="J22" s="75" t="e">
        <f t="shared" ca="1" si="3"/>
        <v>#N/A</v>
      </c>
      <c r="K22" s="75" t="e">
        <f t="shared" ca="1" si="3"/>
        <v>#N/A</v>
      </c>
      <c r="L22" s="75" t="e">
        <f t="shared" ca="1" si="3"/>
        <v>#N/A</v>
      </c>
      <c r="M22" s="69"/>
      <c r="N22" s="69"/>
      <c r="O22" s="69"/>
      <c r="P22" s="69"/>
      <c r="Q22" s="69"/>
      <c r="R22" s="69"/>
      <c r="U22" s="69"/>
      <c r="V22" s="69"/>
      <c r="W22" s="69"/>
      <c r="X22" s="69"/>
      <c r="Y22" s="69"/>
      <c r="Z22" s="69"/>
      <c r="AA22" s="69"/>
      <c r="AB22" s="69"/>
      <c r="AC22" s="69"/>
    </row>
    <row r="23" spans="1:35" x14ac:dyDescent="0.25">
      <c r="A23" s="91" t="str">
        <f>MemberID!C12</f>
        <v>P03R</v>
      </c>
      <c r="B23" s="99">
        <f>0</f>
        <v>0</v>
      </c>
      <c r="C23" s="99">
        <f ca="1">INDEX(INDIRECT("MemberID!G6:G"&amp;MemberID!$C$1),MATCH(Interface!A23,INDIRECT("MemberID!C6:C"&amp;MemberID!$C$1),0))</f>
        <v>0</v>
      </c>
      <c r="D23" s="99" t="e">
        <f t="shared" ca="1" si="1"/>
        <v>#N/A</v>
      </c>
      <c r="E23" s="100" t="str">
        <f>MemberID!D12</f>
        <v>-</v>
      </c>
      <c r="F23" s="87" t="e">
        <f t="shared" ca="1" si="2"/>
        <v>#N/A</v>
      </c>
      <c r="G23" s="75">
        <f t="array" aca="1" ref="G23" ca="1">IF($G$7=G$14,IF($G$8="Max",_xlfn.MAXIFS(INDIRECT("'"&amp;$G$6&amp;"'!"&amp;G$15&amp;"65:"&amp;G$15&amp;$J$6),INDIRECT("'"&amp;$G$6&amp;"'!"&amp;"E65:E"&amp;$J$6),$B23,INDIRECT("'"&amp;$G$6&amp;"'!"&amp;"D65:D"&amp;$J$6),$C23),_xlfn.MINIFS(INDIRECT("'"&amp;$G$6&amp;"'!"&amp;G$15&amp;"65:"&amp;G$15&amp;$J$6),INDIRECT("'"&amp;$G$6&amp;"'!"&amp;"E65:E"&amp;$J$6),$B23,INDIRECT("'"&amp;$G$6&amp;"'!"&amp;"D65:D"&amp;$J$6),$C23)),INDEX(INDIRECT("'"&amp;$G$6&amp;"'!"&amp;G$15&amp;"65:"&amp;G$15&amp;$J$6),$D23))</f>
        <v>0</v>
      </c>
      <c r="H23" s="75" t="e">
        <f t="shared" ca="1" si="3"/>
        <v>#N/A</v>
      </c>
      <c r="I23" s="75" t="e">
        <f t="shared" ca="1" si="3"/>
        <v>#N/A</v>
      </c>
      <c r="J23" s="75" t="e">
        <f t="shared" ca="1" si="3"/>
        <v>#N/A</v>
      </c>
      <c r="K23" s="75" t="e">
        <f t="shared" ca="1" si="3"/>
        <v>#N/A</v>
      </c>
      <c r="L23" s="75" t="e">
        <f t="shared" ca="1" si="3"/>
        <v>#N/A</v>
      </c>
      <c r="M23" s="69"/>
      <c r="N23" s="69"/>
      <c r="O23" s="69"/>
      <c r="P23" s="69"/>
      <c r="Q23" s="69"/>
      <c r="R23" s="69"/>
      <c r="U23" s="69"/>
      <c r="V23" s="69"/>
      <c r="W23" s="69"/>
      <c r="X23" s="69"/>
      <c r="Y23" s="69"/>
      <c r="Z23" s="69"/>
      <c r="AA23" s="69"/>
      <c r="AB23" s="69"/>
      <c r="AC23" s="69"/>
    </row>
    <row r="24" spans="1:35" x14ac:dyDescent="0.25">
      <c r="A24" s="91" t="str">
        <f>MemberID!C13</f>
        <v>P03C</v>
      </c>
      <c r="B24" s="99">
        <f>0</f>
        <v>0</v>
      </c>
      <c r="C24" s="99">
        <f ca="1">INDEX(INDIRECT("MemberID!G6:G"&amp;MemberID!$C$1),MATCH(Interface!A24,INDIRECT("MemberID!C6:C"&amp;MemberID!$C$1),0))</f>
        <v>0</v>
      </c>
      <c r="D24" s="99" t="e">
        <f t="shared" ca="1" si="1"/>
        <v>#N/A</v>
      </c>
      <c r="E24" s="100" t="str">
        <f>MemberID!D13</f>
        <v>-</v>
      </c>
      <c r="F24" s="87" t="e">
        <f t="shared" ca="1" si="2"/>
        <v>#N/A</v>
      </c>
      <c r="G24" s="75">
        <f t="array" aca="1" ref="G24" ca="1">IF($G$7=G$14,IF($G$8="Max",_xlfn.MAXIFS(INDIRECT("'"&amp;$G$6&amp;"'!"&amp;G$15&amp;"65:"&amp;G$15&amp;$J$6),INDIRECT("'"&amp;$G$6&amp;"'!"&amp;"E65:E"&amp;$J$6),$B24,INDIRECT("'"&amp;$G$6&amp;"'!"&amp;"D65:D"&amp;$J$6),$C24),_xlfn.MINIFS(INDIRECT("'"&amp;$G$6&amp;"'!"&amp;G$15&amp;"65:"&amp;G$15&amp;$J$6),INDIRECT("'"&amp;$G$6&amp;"'!"&amp;"E65:E"&amp;$J$6),$B24,INDIRECT("'"&amp;$G$6&amp;"'!"&amp;"D65:D"&amp;$J$6),$C24)),INDEX(INDIRECT("'"&amp;$G$6&amp;"'!"&amp;G$15&amp;"65:"&amp;G$15&amp;$J$6),$D24))</f>
        <v>0</v>
      </c>
      <c r="H24" s="75" t="e">
        <f t="shared" ca="1" si="3"/>
        <v>#N/A</v>
      </c>
      <c r="I24" s="75" t="e">
        <f t="shared" ca="1" si="3"/>
        <v>#N/A</v>
      </c>
      <c r="J24" s="75" t="e">
        <f t="shared" ca="1" si="3"/>
        <v>#N/A</v>
      </c>
      <c r="K24" s="75" t="e">
        <f t="shared" ca="1" si="3"/>
        <v>#N/A</v>
      </c>
      <c r="L24" s="75" t="e">
        <f t="shared" ca="1" si="3"/>
        <v>#N/A</v>
      </c>
      <c r="M24" s="69"/>
      <c r="N24" s="69"/>
      <c r="O24" s="69"/>
      <c r="P24" s="69"/>
      <c r="Q24" s="69"/>
      <c r="R24" s="69"/>
      <c r="U24" s="69"/>
      <c r="V24" s="69"/>
      <c r="W24" s="69"/>
      <c r="X24" s="69"/>
      <c r="Y24" s="69"/>
      <c r="Z24" s="69"/>
      <c r="AA24" s="69"/>
      <c r="AB24" s="69"/>
      <c r="AC24" s="69"/>
    </row>
    <row r="25" spans="1:35" x14ac:dyDescent="0.25">
      <c r="A25" s="91" t="str">
        <f>MemberID!C14</f>
        <v>P03L</v>
      </c>
      <c r="B25" s="99">
        <f>0</f>
        <v>0</v>
      </c>
      <c r="C25" s="99">
        <f ca="1">INDEX(INDIRECT("MemberID!G6:G"&amp;MemberID!$C$1),MATCH(Interface!A25,INDIRECT("MemberID!C6:C"&amp;MemberID!$C$1),0))</f>
        <v>0</v>
      </c>
      <c r="D25" s="99" t="e">
        <f t="shared" ca="1" si="1"/>
        <v>#N/A</v>
      </c>
      <c r="E25" s="100" t="str">
        <f>MemberID!D14</f>
        <v>-</v>
      </c>
      <c r="F25" s="87" t="e">
        <f t="shared" ca="1" si="2"/>
        <v>#N/A</v>
      </c>
      <c r="G25" s="75">
        <f t="array" aca="1" ref="G25" ca="1">IF($G$7=G$14,IF($G$8="Max",_xlfn.MAXIFS(INDIRECT("'"&amp;$G$6&amp;"'!"&amp;G$15&amp;"65:"&amp;G$15&amp;$J$6),INDIRECT("'"&amp;$G$6&amp;"'!"&amp;"E65:E"&amp;$J$6),$B25,INDIRECT("'"&amp;$G$6&amp;"'!"&amp;"D65:D"&amp;$J$6),$C25),_xlfn.MINIFS(INDIRECT("'"&amp;$G$6&amp;"'!"&amp;G$15&amp;"65:"&amp;G$15&amp;$J$6),INDIRECT("'"&amp;$G$6&amp;"'!"&amp;"E65:E"&amp;$J$6),$B25,INDIRECT("'"&amp;$G$6&amp;"'!"&amp;"D65:D"&amp;$J$6),$C25)),INDEX(INDIRECT("'"&amp;$G$6&amp;"'!"&amp;G$15&amp;"65:"&amp;G$15&amp;$J$6),$D25))</f>
        <v>0</v>
      </c>
      <c r="H25" s="75" t="e">
        <f t="shared" ca="1" si="3"/>
        <v>#N/A</v>
      </c>
      <c r="I25" s="75" t="e">
        <f t="shared" ca="1" si="3"/>
        <v>#N/A</v>
      </c>
      <c r="J25" s="75" t="e">
        <f t="shared" ca="1" si="3"/>
        <v>#N/A</v>
      </c>
      <c r="K25" s="75" t="e">
        <f t="shared" ca="1" si="3"/>
        <v>#N/A</v>
      </c>
      <c r="L25" s="75" t="e">
        <f t="shared" ca="1" si="3"/>
        <v>#N/A</v>
      </c>
      <c r="M25" s="69"/>
      <c r="N25" s="69"/>
      <c r="O25" s="69"/>
      <c r="P25" s="69"/>
      <c r="Q25" s="69"/>
      <c r="R25" s="69"/>
      <c r="U25" s="69"/>
      <c r="V25" s="69"/>
      <c r="W25" s="69"/>
      <c r="X25" s="69"/>
      <c r="Y25" s="69"/>
      <c r="Z25" s="69"/>
      <c r="AA25" s="69"/>
      <c r="AB25" s="69"/>
      <c r="AC25" s="69"/>
    </row>
    <row r="26" spans="1:35" x14ac:dyDescent="0.25">
      <c r="U26" s="69"/>
      <c r="V26" s="69"/>
      <c r="W26" s="69"/>
      <c r="X26" s="69"/>
      <c r="Y26" s="69"/>
      <c r="Z26" s="69"/>
      <c r="AA26" s="69"/>
      <c r="AB26" s="69"/>
      <c r="AC26" s="69"/>
    </row>
    <row r="27" spans="1:35" x14ac:dyDescent="0.25">
      <c r="A27" s="108" t="s">
        <v>263</v>
      </c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U27" s="69"/>
      <c r="V27" s="69"/>
      <c r="W27" s="69"/>
      <c r="X27" s="69"/>
      <c r="Y27" s="69"/>
      <c r="Z27" s="69"/>
      <c r="AA27" s="69"/>
      <c r="AB27" s="69"/>
      <c r="AC27" s="69"/>
    </row>
    <row r="28" spans="1:35" x14ac:dyDescent="0.25">
      <c r="A28" s="91" t="s">
        <v>13</v>
      </c>
      <c r="B28" s="99" t="s">
        <v>191</v>
      </c>
      <c r="C28" s="99" t="s">
        <v>219</v>
      </c>
      <c r="D28" s="99" t="s">
        <v>226</v>
      </c>
      <c r="E28" s="111" t="s">
        <v>258</v>
      </c>
      <c r="F28" s="91" t="s">
        <v>261</v>
      </c>
      <c r="G28" s="91" t="s">
        <v>123</v>
      </c>
      <c r="H28" s="91" t="s">
        <v>124</v>
      </c>
      <c r="I28" s="91" t="s">
        <v>125</v>
      </c>
      <c r="J28" s="91" t="s">
        <v>126</v>
      </c>
      <c r="K28" s="91" t="s">
        <v>127</v>
      </c>
      <c r="L28" s="91" t="s">
        <v>128</v>
      </c>
      <c r="M28" s="99" t="s">
        <v>220</v>
      </c>
      <c r="N28" s="99" t="s">
        <v>221</v>
      </c>
      <c r="O28" s="99" t="s">
        <v>222</v>
      </c>
      <c r="P28" s="99" t="s">
        <v>223</v>
      </c>
      <c r="Q28" s="99" t="s">
        <v>224</v>
      </c>
      <c r="R28" s="99" t="s">
        <v>225</v>
      </c>
      <c r="U28" s="69"/>
      <c r="V28" s="69"/>
      <c r="W28" s="69"/>
      <c r="X28" s="69"/>
      <c r="Y28" s="69"/>
      <c r="Z28" s="69"/>
      <c r="AA28" s="69"/>
      <c r="AB28" s="69"/>
      <c r="AC28" s="69"/>
    </row>
    <row r="29" spans="1:35" x14ac:dyDescent="0.25">
      <c r="A29" s="91"/>
      <c r="B29" s="99" t="str">
        <f>SUBSTITUTE(ADDRESS(1,COLUMN('STR1 Forces'!E77),4),"1","")</f>
        <v>E</v>
      </c>
      <c r="C29" s="99" t="str">
        <f>SUBSTITUTE(ADDRESS(1,COLUMN('STR1 Forces'!D77),4),"1","")</f>
        <v>D</v>
      </c>
      <c r="D29" s="99"/>
      <c r="E29" s="91"/>
      <c r="F29" s="99" t="str">
        <f>SUBSTITUTE(ADDRESS(1,COLUMN('STR1 Forces'!I77),4),"1","")</f>
        <v>I</v>
      </c>
      <c r="G29" s="99" t="str">
        <f>SUBSTITUTE(ADDRESS(1,COLUMN('STR1 Forces'!J77),4),"1","")</f>
        <v>J</v>
      </c>
      <c r="H29" s="99" t="str">
        <f>SUBSTITUTE(ADDRESS(1,COLUMN('STR1 Forces'!K77),4),"1","")</f>
        <v>K</v>
      </c>
      <c r="I29" s="99" t="str">
        <f>SUBSTITUTE(ADDRESS(1,COLUMN('STR1 Forces'!L77),4),"1","")</f>
        <v>L</v>
      </c>
      <c r="J29" s="99" t="str">
        <f>SUBSTITUTE(ADDRESS(1,COLUMN('STR1 Forces'!M77),4),"1","")</f>
        <v>M</v>
      </c>
      <c r="K29" s="99" t="str">
        <f>SUBSTITUTE(ADDRESS(1,COLUMN('STR1 Forces'!N77),4),"1","")</f>
        <v>N</v>
      </c>
      <c r="L29" s="99" t="str">
        <f>SUBSTITUTE(ADDRESS(1,COLUMN('STR1 Forces'!O77),4),"1","")</f>
        <v>O</v>
      </c>
      <c r="M29" s="69"/>
      <c r="N29" s="69"/>
      <c r="O29" s="69"/>
      <c r="P29" s="69"/>
      <c r="Q29" s="69"/>
      <c r="R29" s="69"/>
      <c r="U29" s="69"/>
      <c r="V29" s="69"/>
      <c r="W29" s="69"/>
      <c r="X29" s="69"/>
      <c r="Y29" s="69"/>
      <c r="Z29" s="69"/>
      <c r="AA29" s="69"/>
      <c r="AB29" s="69"/>
      <c r="AC29" s="69"/>
    </row>
    <row r="30" spans="1:35" x14ac:dyDescent="0.25">
      <c r="A30" s="91" t="str">
        <f>$G$8</f>
        <v>Max</v>
      </c>
      <c r="B30" s="75"/>
      <c r="C30" s="75"/>
      <c r="D30" s="75"/>
      <c r="E30" s="75"/>
      <c r="F30" s="75"/>
      <c r="G30" s="75">
        <f ca="1">IF($G$8="Max",MAX(G31:G39),MIN(G31:G39))</f>
        <v>0</v>
      </c>
      <c r="H30" s="75" t="e">
        <f t="shared" ref="H30:L30" ca="1" si="4">MAX(H31)</f>
        <v>#N/A</v>
      </c>
      <c r="I30" s="75" t="e">
        <f t="shared" ca="1" si="4"/>
        <v>#N/A</v>
      </c>
      <c r="J30" s="75" t="e">
        <f t="shared" ca="1" si="4"/>
        <v>#N/A</v>
      </c>
      <c r="K30" s="75" t="e">
        <f t="shared" ca="1" si="4"/>
        <v>#N/A</v>
      </c>
      <c r="L30" s="75" t="e">
        <f t="shared" ca="1" si="4"/>
        <v>#N/A</v>
      </c>
      <c r="M30" s="69"/>
      <c r="N30" s="69"/>
      <c r="O30" s="69"/>
      <c r="P30" s="69"/>
      <c r="Q30" s="69"/>
      <c r="R30" s="69"/>
      <c r="U30" s="69"/>
      <c r="V30" s="69"/>
      <c r="W30" s="69"/>
      <c r="X30" s="69"/>
      <c r="Y30" s="69"/>
      <c r="Z30" s="69"/>
      <c r="AA30" s="69"/>
      <c r="AB30" s="69"/>
      <c r="AC30" s="69"/>
    </row>
    <row r="31" spans="1:35" x14ac:dyDescent="0.25">
      <c r="A31" s="91" t="str">
        <f>A17</f>
        <v>P01R</v>
      </c>
      <c r="B31" s="99">
        <f>1</f>
        <v>1</v>
      </c>
      <c r="C31" s="99">
        <f ca="1">INDEX(INDIRECT("MemberID!G6:G"&amp;MemberID!$C$1),MATCH(Interface!A31,INDIRECT("MemberID!C6:C"&amp;MemberID!$C$1),0))</f>
        <v>0</v>
      </c>
      <c r="D31" s="99" t="e">
        <f ca="1">MATCH(INDIRECT($J$7&amp;ROW()),INDIRECT("'"&amp;$G$6&amp;"'!"&amp;$L$7&amp;"65:"&amp;$L$7&amp;$J$6),0)</f>
        <v>#N/A</v>
      </c>
      <c r="E31" s="100" t="str">
        <f>E17</f>
        <v>-</v>
      </c>
      <c r="F31" s="87" t="e">
        <f ca="1">INDEX(INDIRECT("'"&amp;$G$6&amp;"'!"&amp;F$15&amp;"65:"&amp;F$15&amp;$J$6),$D31)</f>
        <v>#N/A</v>
      </c>
      <c r="G31" s="75">
        <f t="array" aca="1" ref="G31" ca="1">IF($G$7=G$14,IF($G$8="Max",_xlfn.MAXIFS(INDIRECT("'"&amp;$G$6&amp;"'!"&amp;G$15&amp;"65:"&amp;G$15&amp;$J$6),INDIRECT("'"&amp;$G$6&amp;"'!"&amp;"E65:E"&amp;$J$6),$B31,INDIRECT("'"&amp;$G$6&amp;"'!"&amp;"D65:D"&amp;$J$6),$C31),_xlfn.MINIFS(INDIRECT("'"&amp;$G$6&amp;"'!"&amp;G$15&amp;"65:"&amp;G$15&amp;$J$6),INDIRECT("'"&amp;$G$6&amp;"'!"&amp;"E65:E"&amp;$J$6),$B31,INDIRECT("'"&amp;$G$6&amp;"'!"&amp;"D65:D"&amp;$J$6),$C31)),INDEX(INDIRECT("'"&amp;$G$6&amp;"'!"&amp;G$15&amp;"65:"&amp;G$15&amp;$J$6),$D31))</f>
        <v>0</v>
      </c>
      <c r="H31" s="75" t="e">
        <f ca="1">IF($G$7=H$14,IF($G$8="Max",_xlfn.MAXIFS(INDIRECT("'"&amp;$G$6&amp;"'!"&amp;H$15&amp;"65:"&amp;H$15&amp;$J$6),INDIRECT("'"&amp;$G$6&amp;"'!"&amp;"E65:E"&amp;$J$6),$B31,INDIRECT("'"&amp;$G$6&amp;"'!"&amp;"D65:D"&amp;$J$6),$C31),_xlfn.MINIFS(INDIRECT("'"&amp;$G$6&amp;"'!"&amp;H$15&amp;"65:"&amp;H$15&amp;$J$6),INDIRECT("'"&amp;$G$6&amp;"'!"&amp;"E65:E"&amp;$J$6),$B31,INDIRECT("'"&amp;$G$6&amp;"'!"&amp;"D65:D"&amp;$J$6),$C31)),INDEX(INDIRECT("'"&amp;$G$6&amp;"'!"&amp;H$15&amp;"65:"&amp;H$15&amp;$J$6),$D31))</f>
        <v>#N/A</v>
      </c>
      <c r="I31" s="75" t="e">
        <f ca="1">IF($G$7=I$14,IF($G$8="Max",_xlfn.MAXIFS(INDIRECT("'"&amp;$G$6&amp;"'!"&amp;I$15&amp;"65:"&amp;I$15&amp;$J$6),INDIRECT("'"&amp;$G$6&amp;"'!"&amp;"E65:E"&amp;$J$6),$B31,INDIRECT("'"&amp;$G$6&amp;"'!"&amp;"D65:D"&amp;$J$6),$C31),_xlfn.MINIFS(INDIRECT("'"&amp;$G$6&amp;"'!"&amp;I$15&amp;"65:"&amp;I$15&amp;$J$6),INDIRECT("'"&amp;$G$6&amp;"'!"&amp;"E65:E"&amp;$J$6),$B31,INDIRECT("'"&amp;$G$6&amp;"'!"&amp;"D65:D"&amp;$J$6),$C31)),INDEX(INDIRECT("'"&amp;$G$6&amp;"'!"&amp;I$15&amp;"65:"&amp;I$15&amp;$J$6),$D31))</f>
        <v>#N/A</v>
      </c>
      <c r="J31" s="75" t="e">
        <f ca="1">IF($G$7=J$14,IF($G$8="Max",_xlfn.MAXIFS(INDIRECT("'"&amp;$G$6&amp;"'!"&amp;J$15&amp;"65:"&amp;J$15&amp;$J$6),INDIRECT("'"&amp;$G$6&amp;"'!"&amp;"E65:E"&amp;$J$6),$B31,INDIRECT("'"&amp;$G$6&amp;"'!"&amp;"D65:D"&amp;$J$6),$C31),_xlfn.MINIFS(INDIRECT("'"&amp;$G$6&amp;"'!"&amp;J$15&amp;"65:"&amp;J$15&amp;$J$6),INDIRECT("'"&amp;$G$6&amp;"'!"&amp;"E65:E"&amp;$J$6),$B31,INDIRECT("'"&amp;$G$6&amp;"'!"&amp;"D65:D"&amp;$J$6),$C31)),INDEX(INDIRECT("'"&amp;$G$6&amp;"'!"&amp;J$15&amp;"65:"&amp;J$15&amp;$J$6),$D31))</f>
        <v>#N/A</v>
      </c>
      <c r="K31" s="75" t="e">
        <f ca="1">IF($G$7=K$14,IF($G$8="Max",_xlfn.MAXIFS(INDIRECT("'"&amp;$G$6&amp;"'!"&amp;K$15&amp;"65:"&amp;K$15&amp;$J$6),INDIRECT("'"&amp;$G$6&amp;"'!"&amp;"E65:E"&amp;$J$6),$B31,INDIRECT("'"&amp;$G$6&amp;"'!"&amp;"D65:D"&amp;$J$6),$C31),_xlfn.MINIFS(INDIRECT("'"&amp;$G$6&amp;"'!"&amp;K$15&amp;"65:"&amp;K$15&amp;$J$6),INDIRECT("'"&amp;$G$6&amp;"'!"&amp;"E65:E"&amp;$J$6),$B31,INDIRECT("'"&amp;$G$6&amp;"'!"&amp;"D65:D"&amp;$J$6),$C31)),INDEX(INDIRECT("'"&amp;$G$6&amp;"'!"&amp;K$15&amp;"65:"&amp;K$15&amp;$J$6),$D31))</f>
        <v>#N/A</v>
      </c>
      <c r="L31" s="75" t="e">
        <f ca="1">IF($G$7=L$14,IF($G$8="Max",_xlfn.MAXIFS(INDIRECT("'"&amp;$G$6&amp;"'!"&amp;L$15&amp;"65:"&amp;L$15&amp;$J$6),INDIRECT("'"&amp;$G$6&amp;"'!"&amp;"E65:E"&amp;$J$6),$B31,INDIRECT("'"&amp;$G$6&amp;"'!"&amp;"D65:D"&amp;$J$6),$C31),_xlfn.MINIFS(INDIRECT("'"&amp;$G$6&amp;"'!"&amp;L$15&amp;"65:"&amp;L$15&amp;$J$6),INDIRECT("'"&amp;$G$6&amp;"'!"&amp;"E65:E"&amp;$J$6),$B31,INDIRECT("'"&amp;$G$6&amp;"'!"&amp;"D65:D"&amp;$J$6),$C31)),INDEX(INDIRECT("'"&amp;$G$6&amp;"'!"&amp;L$15&amp;"65:"&amp;L$15&amp;$J$6),$D31))</f>
        <v>#N/A</v>
      </c>
      <c r="M31" s="69"/>
      <c r="N31" s="69"/>
      <c r="O31" s="69"/>
      <c r="P31" s="69"/>
      <c r="Q31" s="69"/>
      <c r="R31" s="69"/>
      <c r="U31" s="69"/>
      <c r="V31" s="69"/>
      <c r="W31" s="69"/>
      <c r="X31" s="69"/>
      <c r="Y31" s="69"/>
      <c r="Z31" s="69"/>
      <c r="AA31" s="69"/>
      <c r="AB31" s="69"/>
      <c r="AC31" s="69"/>
    </row>
    <row r="32" spans="1:35" x14ac:dyDescent="0.25">
      <c r="A32" s="91" t="str">
        <f t="shared" ref="A32:A39" si="5">A18</f>
        <v>P01C</v>
      </c>
      <c r="B32" s="99">
        <f>1</f>
        <v>1</v>
      </c>
      <c r="C32" s="99">
        <f ca="1">INDEX(INDIRECT("MemberID!G6:G"&amp;MemberID!$C$1),MATCH(Interface!A32,INDIRECT("MemberID!C6:C"&amp;MemberID!$C$1),0))</f>
        <v>0</v>
      </c>
      <c r="D32" s="99" t="e">
        <f t="shared" ref="D32:D39" ca="1" si="6">MATCH(INDIRECT($J$7&amp;ROW()),INDIRECT("'"&amp;$G$6&amp;"'!"&amp;$L$7&amp;"65:"&amp;$L$7&amp;$J$6),0)</f>
        <v>#N/A</v>
      </c>
      <c r="E32" s="100" t="str">
        <f t="shared" ref="E32:E39" si="7">E18</f>
        <v>-</v>
      </c>
      <c r="F32" s="87" t="e">
        <f t="shared" ref="F32:F39" ca="1" si="8">INDEX(INDIRECT("'"&amp;$G$6&amp;"'!"&amp;F$15&amp;"65:"&amp;F$15&amp;$J$6),$D32)</f>
        <v>#N/A</v>
      </c>
      <c r="G32" s="75">
        <f t="array" aca="1" ref="G32" ca="1">IF($G$7=G$14,IF($G$8="Max",_xlfn.MAXIFS(INDIRECT("'"&amp;$G$6&amp;"'!"&amp;G$15&amp;"65:"&amp;G$15&amp;$J$6),INDIRECT("'"&amp;$G$6&amp;"'!"&amp;"E65:E"&amp;$J$6),$B32,INDIRECT("'"&amp;$G$6&amp;"'!"&amp;"D65:D"&amp;$J$6),$C32),_xlfn.MINIFS(INDIRECT("'"&amp;$G$6&amp;"'!"&amp;G$15&amp;"65:"&amp;G$15&amp;$J$6),INDIRECT("'"&amp;$G$6&amp;"'!"&amp;"E65:E"&amp;$J$6),$B32,INDIRECT("'"&amp;$G$6&amp;"'!"&amp;"D65:D"&amp;$J$6),$C32)),INDEX(INDIRECT("'"&amp;$G$6&amp;"'!"&amp;G$15&amp;"65:"&amp;G$15&amp;$J$6),$D32))</f>
        <v>0</v>
      </c>
      <c r="H32" s="75" t="e">
        <f t="shared" ref="H32:L39" ca="1" si="9">IF($G$7=H$14,IF($G$8="Max",_xlfn.MAXIFS(INDIRECT("'"&amp;$G$6&amp;"'!"&amp;H$15&amp;"65:"&amp;H$15&amp;$J$6),INDIRECT("'"&amp;$G$6&amp;"'!"&amp;"E65:E"&amp;$J$6),$B32,INDIRECT("'"&amp;$G$6&amp;"'!"&amp;"D65:D"&amp;$J$6),$C32),_xlfn.MINIFS(INDIRECT("'"&amp;$G$6&amp;"'!"&amp;H$15&amp;"65:"&amp;H$15&amp;$J$6),INDIRECT("'"&amp;$G$6&amp;"'!"&amp;"E65:E"&amp;$J$6),$B32,INDIRECT("'"&amp;$G$6&amp;"'!"&amp;"D65:D"&amp;$J$6),$C32)),INDEX(INDIRECT("'"&amp;$G$6&amp;"'!"&amp;H$15&amp;"65:"&amp;H$15&amp;$J$6),$D32))</f>
        <v>#N/A</v>
      </c>
      <c r="I32" s="75" t="e">
        <f t="shared" ca="1" si="9"/>
        <v>#N/A</v>
      </c>
      <c r="J32" s="75" t="e">
        <f t="shared" ca="1" si="9"/>
        <v>#N/A</v>
      </c>
      <c r="K32" s="75" t="e">
        <f t="shared" ca="1" si="9"/>
        <v>#N/A</v>
      </c>
      <c r="L32" s="75" t="e">
        <f t="shared" ca="1" si="9"/>
        <v>#N/A</v>
      </c>
      <c r="M32" s="69"/>
      <c r="N32" s="69"/>
      <c r="O32" s="69"/>
      <c r="P32" s="69"/>
      <c r="Q32" s="69"/>
      <c r="R32" s="69"/>
      <c r="U32" s="69"/>
      <c r="V32" s="69"/>
      <c r="W32" s="69"/>
      <c r="X32" s="69"/>
      <c r="Y32" s="69"/>
      <c r="Z32" s="69"/>
      <c r="AA32" s="69"/>
      <c r="AB32" s="69"/>
      <c r="AC32" s="69"/>
    </row>
    <row r="33" spans="1:29" x14ac:dyDescent="0.25">
      <c r="A33" s="91" t="str">
        <f t="shared" si="5"/>
        <v>P01L</v>
      </c>
      <c r="B33" s="99">
        <f>1</f>
        <v>1</v>
      </c>
      <c r="C33" s="99">
        <f ca="1">INDEX(INDIRECT("MemberID!G6:G"&amp;MemberID!$C$1),MATCH(Interface!A33,INDIRECT("MemberID!C6:C"&amp;MemberID!$C$1),0))</f>
        <v>0</v>
      </c>
      <c r="D33" s="99" t="e">
        <f t="shared" ca="1" si="6"/>
        <v>#N/A</v>
      </c>
      <c r="E33" s="100" t="str">
        <f t="shared" si="7"/>
        <v>-</v>
      </c>
      <c r="F33" s="87" t="e">
        <f t="shared" ca="1" si="8"/>
        <v>#N/A</v>
      </c>
      <c r="G33" s="75">
        <f t="array" aca="1" ref="G33" ca="1">IF($G$7=G$14,IF($G$8="Max",_xlfn.MAXIFS(INDIRECT("'"&amp;$G$6&amp;"'!"&amp;G$15&amp;"65:"&amp;G$15&amp;$J$6),INDIRECT("'"&amp;$G$6&amp;"'!"&amp;"E65:E"&amp;$J$6),$B33,INDIRECT("'"&amp;$G$6&amp;"'!"&amp;"D65:D"&amp;$J$6),$C33),_xlfn.MINIFS(INDIRECT("'"&amp;$G$6&amp;"'!"&amp;G$15&amp;"65:"&amp;G$15&amp;$J$6),INDIRECT("'"&amp;$G$6&amp;"'!"&amp;"E65:E"&amp;$J$6),$B33,INDIRECT("'"&amp;$G$6&amp;"'!"&amp;"D65:D"&amp;$J$6),$C33)),INDEX(INDIRECT("'"&amp;$G$6&amp;"'!"&amp;G$15&amp;"65:"&amp;G$15&amp;$J$6),$D33))</f>
        <v>0</v>
      </c>
      <c r="H33" s="75" t="e">
        <f t="shared" ca="1" si="9"/>
        <v>#N/A</v>
      </c>
      <c r="I33" s="75" t="e">
        <f t="shared" ca="1" si="9"/>
        <v>#N/A</v>
      </c>
      <c r="J33" s="75" t="e">
        <f t="shared" ca="1" si="9"/>
        <v>#N/A</v>
      </c>
      <c r="K33" s="75" t="e">
        <f t="shared" ca="1" si="9"/>
        <v>#N/A</v>
      </c>
      <c r="L33" s="75" t="e">
        <f t="shared" ca="1" si="9"/>
        <v>#N/A</v>
      </c>
      <c r="M33" s="69"/>
      <c r="N33" s="69"/>
      <c r="O33" s="69"/>
      <c r="P33" s="69"/>
      <c r="Q33" s="69"/>
      <c r="R33" s="69"/>
      <c r="U33" s="69"/>
      <c r="V33" s="69"/>
      <c r="W33" s="69"/>
      <c r="X33" s="69"/>
      <c r="Y33" s="69"/>
      <c r="Z33" s="69"/>
      <c r="AA33" s="69"/>
      <c r="AB33" s="69"/>
      <c r="AC33" s="69"/>
    </row>
    <row r="34" spans="1:29" x14ac:dyDescent="0.25">
      <c r="A34" s="91" t="str">
        <f t="shared" si="5"/>
        <v>P02R</v>
      </c>
      <c r="B34" s="99">
        <f>1</f>
        <v>1</v>
      </c>
      <c r="C34" s="99">
        <f ca="1">INDEX(INDIRECT("MemberID!G6:G"&amp;MemberID!$C$1),MATCH(Interface!A34,INDIRECT("MemberID!C6:C"&amp;MemberID!$C$1),0))</f>
        <v>0</v>
      </c>
      <c r="D34" s="99" t="e">
        <f t="shared" ca="1" si="6"/>
        <v>#N/A</v>
      </c>
      <c r="E34" s="100" t="str">
        <f t="shared" si="7"/>
        <v>-</v>
      </c>
      <c r="F34" s="87" t="e">
        <f t="shared" ca="1" si="8"/>
        <v>#N/A</v>
      </c>
      <c r="G34" s="75">
        <f t="array" aca="1" ref="G34" ca="1">IF($G$7=G$14,IF($G$8="Max",_xlfn.MAXIFS(INDIRECT("'"&amp;$G$6&amp;"'!"&amp;G$15&amp;"65:"&amp;G$15&amp;$J$6),INDIRECT("'"&amp;$G$6&amp;"'!"&amp;"E65:E"&amp;$J$6),$B34,INDIRECT("'"&amp;$G$6&amp;"'!"&amp;"D65:D"&amp;$J$6),$C34),_xlfn.MINIFS(INDIRECT("'"&amp;$G$6&amp;"'!"&amp;G$15&amp;"65:"&amp;G$15&amp;$J$6),INDIRECT("'"&amp;$G$6&amp;"'!"&amp;"E65:E"&amp;$J$6),$B34,INDIRECT("'"&amp;$G$6&amp;"'!"&amp;"D65:D"&amp;$J$6),$C34)),INDEX(INDIRECT("'"&amp;$G$6&amp;"'!"&amp;G$15&amp;"65:"&amp;G$15&amp;$J$6),$D34))</f>
        <v>0</v>
      </c>
      <c r="H34" s="75" t="e">
        <f t="shared" ca="1" si="9"/>
        <v>#N/A</v>
      </c>
      <c r="I34" s="75" t="e">
        <f t="shared" ca="1" si="9"/>
        <v>#N/A</v>
      </c>
      <c r="J34" s="75" t="e">
        <f t="shared" ca="1" si="9"/>
        <v>#N/A</v>
      </c>
      <c r="K34" s="75" t="e">
        <f t="shared" ca="1" si="9"/>
        <v>#N/A</v>
      </c>
      <c r="L34" s="75" t="e">
        <f t="shared" ca="1" si="9"/>
        <v>#N/A</v>
      </c>
      <c r="M34" s="69"/>
      <c r="N34" s="69"/>
      <c r="O34" s="69"/>
      <c r="P34" s="69"/>
      <c r="Q34" s="69"/>
      <c r="R34" s="69"/>
      <c r="U34" s="100"/>
      <c r="V34" s="69"/>
      <c r="W34" s="69"/>
      <c r="X34" s="69"/>
      <c r="Y34" s="69"/>
      <c r="Z34" s="69"/>
      <c r="AA34" s="69"/>
      <c r="AB34" s="69"/>
      <c r="AC34" s="69"/>
    </row>
    <row r="35" spans="1:29" x14ac:dyDescent="0.25">
      <c r="A35" s="91" t="str">
        <f t="shared" si="5"/>
        <v>P02C</v>
      </c>
      <c r="B35" s="99">
        <f>1</f>
        <v>1</v>
      </c>
      <c r="C35" s="99">
        <f ca="1">INDEX(INDIRECT("MemberID!G6:G"&amp;MemberID!$C$1),MATCH(Interface!A35,INDIRECT("MemberID!C6:C"&amp;MemberID!$C$1),0))</f>
        <v>0</v>
      </c>
      <c r="D35" s="99" t="e">
        <f t="shared" ca="1" si="6"/>
        <v>#N/A</v>
      </c>
      <c r="E35" s="100" t="str">
        <f t="shared" si="7"/>
        <v>-</v>
      </c>
      <c r="F35" s="87" t="e">
        <f t="shared" ca="1" si="8"/>
        <v>#N/A</v>
      </c>
      <c r="G35" s="75">
        <f t="array" aca="1" ref="G35" ca="1">IF($G$7=G$14,IF($G$8="Max",_xlfn.MAXIFS(INDIRECT("'"&amp;$G$6&amp;"'!"&amp;G$15&amp;"65:"&amp;G$15&amp;$J$6),INDIRECT("'"&amp;$G$6&amp;"'!"&amp;"E65:E"&amp;$J$6),$B35,INDIRECT("'"&amp;$G$6&amp;"'!"&amp;"D65:D"&amp;$J$6),$C35),_xlfn.MINIFS(INDIRECT("'"&amp;$G$6&amp;"'!"&amp;G$15&amp;"65:"&amp;G$15&amp;$J$6),INDIRECT("'"&amp;$G$6&amp;"'!"&amp;"E65:E"&amp;$J$6),$B35,INDIRECT("'"&amp;$G$6&amp;"'!"&amp;"D65:D"&amp;$J$6),$C35)),INDEX(INDIRECT("'"&amp;$G$6&amp;"'!"&amp;G$15&amp;"65:"&amp;G$15&amp;$J$6),$D35))</f>
        <v>0</v>
      </c>
      <c r="H35" s="75" t="e">
        <f t="shared" ca="1" si="9"/>
        <v>#N/A</v>
      </c>
      <c r="I35" s="75" t="e">
        <f t="shared" ca="1" si="9"/>
        <v>#N/A</v>
      </c>
      <c r="J35" s="75" t="e">
        <f t="shared" ca="1" si="9"/>
        <v>#N/A</v>
      </c>
      <c r="K35" s="75" t="e">
        <f t="shared" ca="1" si="9"/>
        <v>#N/A</v>
      </c>
      <c r="L35" s="75" t="e">
        <f t="shared" ca="1" si="9"/>
        <v>#N/A</v>
      </c>
      <c r="M35" s="69"/>
      <c r="N35" s="69"/>
      <c r="O35" s="69"/>
      <c r="P35" s="69"/>
      <c r="Q35" s="69"/>
      <c r="R35" s="69"/>
      <c r="U35" s="69"/>
      <c r="V35" s="69"/>
      <c r="W35" s="69"/>
      <c r="X35" s="69"/>
      <c r="Y35" s="69"/>
      <c r="Z35" s="69"/>
      <c r="AA35" s="69"/>
      <c r="AB35" s="69"/>
      <c r="AC35" s="69"/>
    </row>
    <row r="36" spans="1:29" x14ac:dyDescent="0.25">
      <c r="A36" s="91" t="str">
        <f t="shared" si="5"/>
        <v>P02L</v>
      </c>
      <c r="B36" s="99">
        <f>1</f>
        <v>1</v>
      </c>
      <c r="C36" s="99">
        <f ca="1">INDEX(INDIRECT("MemberID!G6:G"&amp;MemberID!$C$1),MATCH(Interface!A36,INDIRECT("MemberID!C6:C"&amp;MemberID!$C$1),0))</f>
        <v>0</v>
      </c>
      <c r="D36" s="99" t="e">
        <f t="shared" ca="1" si="6"/>
        <v>#N/A</v>
      </c>
      <c r="E36" s="100" t="str">
        <f t="shared" si="7"/>
        <v>-</v>
      </c>
      <c r="F36" s="87" t="e">
        <f t="shared" ca="1" si="8"/>
        <v>#N/A</v>
      </c>
      <c r="G36" s="75">
        <f t="array" aca="1" ref="G36" ca="1">IF($G$7=G$14,IF($G$8="Max",_xlfn.MAXIFS(INDIRECT("'"&amp;$G$6&amp;"'!"&amp;G$15&amp;"65:"&amp;G$15&amp;$J$6),INDIRECT("'"&amp;$G$6&amp;"'!"&amp;"E65:E"&amp;$J$6),$B36,INDIRECT("'"&amp;$G$6&amp;"'!"&amp;"D65:D"&amp;$J$6),$C36),_xlfn.MINIFS(INDIRECT("'"&amp;$G$6&amp;"'!"&amp;G$15&amp;"65:"&amp;G$15&amp;$J$6),INDIRECT("'"&amp;$G$6&amp;"'!"&amp;"E65:E"&amp;$J$6),$B36,INDIRECT("'"&amp;$G$6&amp;"'!"&amp;"D65:D"&amp;$J$6),$C36)),INDEX(INDIRECT("'"&amp;$G$6&amp;"'!"&amp;G$15&amp;"65:"&amp;G$15&amp;$J$6),$D36))</f>
        <v>0</v>
      </c>
      <c r="H36" s="75" t="e">
        <f t="shared" ca="1" si="9"/>
        <v>#N/A</v>
      </c>
      <c r="I36" s="75" t="e">
        <f t="shared" ca="1" si="9"/>
        <v>#N/A</v>
      </c>
      <c r="J36" s="75" t="e">
        <f t="shared" ca="1" si="9"/>
        <v>#N/A</v>
      </c>
      <c r="K36" s="75" t="e">
        <f t="shared" ca="1" si="9"/>
        <v>#N/A</v>
      </c>
      <c r="L36" s="75" t="e">
        <f t="shared" ca="1" si="9"/>
        <v>#N/A</v>
      </c>
      <c r="M36" s="69"/>
      <c r="N36" s="69"/>
      <c r="O36" s="69"/>
      <c r="P36" s="69"/>
      <c r="Q36" s="69"/>
      <c r="R36" s="69"/>
      <c r="U36" s="69"/>
      <c r="V36" s="69"/>
      <c r="W36" s="69"/>
      <c r="X36" s="69"/>
      <c r="Y36" s="69"/>
      <c r="Z36" s="69"/>
      <c r="AA36" s="69"/>
      <c r="AB36" s="69"/>
      <c r="AC36" s="69"/>
    </row>
    <row r="37" spans="1:29" x14ac:dyDescent="0.25">
      <c r="A37" s="91" t="str">
        <f t="shared" si="5"/>
        <v>P03R</v>
      </c>
      <c r="B37" s="99">
        <f>1</f>
        <v>1</v>
      </c>
      <c r="C37" s="99">
        <f ca="1">INDEX(INDIRECT("MemberID!G6:G"&amp;MemberID!$C$1),MATCH(Interface!A37,INDIRECT("MemberID!C6:C"&amp;MemberID!$C$1),0))</f>
        <v>0</v>
      </c>
      <c r="D37" s="99" t="e">
        <f t="shared" ca="1" si="6"/>
        <v>#N/A</v>
      </c>
      <c r="E37" s="100" t="str">
        <f t="shared" si="7"/>
        <v>-</v>
      </c>
      <c r="F37" s="87" t="e">
        <f t="shared" ca="1" si="8"/>
        <v>#N/A</v>
      </c>
      <c r="G37" s="75">
        <f t="array" aca="1" ref="G37" ca="1">IF($G$7=G$14,IF($G$8="Max",_xlfn.MAXIFS(INDIRECT("'"&amp;$G$6&amp;"'!"&amp;G$15&amp;"65:"&amp;G$15&amp;$J$6),INDIRECT("'"&amp;$G$6&amp;"'!"&amp;"E65:E"&amp;$J$6),$B37,INDIRECT("'"&amp;$G$6&amp;"'!"&amp;"D65:D"&amp;$J$6),$C37),_xlfn.MINIFS(INDIRECT("'"&amp;$G$6&amp;"'!"&amp;G$15&amp;"65:"&amp;G$15&amp;$J$6),INDIRECT("'"&amp;$G$6&amp;"'!"&amp;"E65:E"&amp;$J$6),$B37,INDIRECT("'"&amp;$G$6&amp;"'!"&amp;"D65:D"&amp;$J$6),$C37)),INDEX(INDIRECT("'"&amp;$G$6&amp;"'!"&amp;G$15&amp;"65:"&amp;G$15&amp;$J$6),$D37))</f>
        <v>0</v>
      </c>
      <c r="H37" s="75" t="e">
        <f t="shared" ca="1" si="9"/>
        <v>#N/A</v>
      </c>
      <c r="I37" s="75" t="e">
        <f t="shared" ca="1" si="9"/>
        <v>#N/A</v>
      </c>
      <c r="J37" s="75" t="e">
        <f t="shared" ca="1" si="9"/>
        <v>#N/A</v>
      </c>
      <c r="K37" s="75" t="e">
        <f t="shared" ca="1" si="9"/>
        <v>#N/A</v>
      </c>
      <c r="L37" s="75" t="e">
        <f t="shared" ca="1" si="9"/>
        <v>#N/A</v>
      </c>
      <c r="M37" s="69"/>
      <c r="N37" s="69"/>
      <c r="O37" s="69"/>
      <c r="P37" s="69"/>
      <c r="Q37" s="69"/>
      <c r="R37" s="69"/>
      <c r="U37" s="69"/>
      <c r="V37" s="69"/>
      <c r="W37" s="69"/>
      <c r="X37" s="69"/>
      <c r="Y37" s="69"/>
      <c r="Z37" s="69"/>
      <c r="AA37" s="69"/>
      <c r="AB37" s="69"/>
      <c r="AC37" s="69"/>
    </row>
    <row r="38" spans="1:29" x14ac:dyDescent="0.25">
      <c r="A38" s="91" t="str">
        <f t="shared" si="5"/>
        <v>P03C</v>
      </c>
      <c r="B38" s="99">
        <f>1</f>
        <v>1</v>
      </c>
      <c r="C38" s="99">
        <f ca="1">INDEX(INDIRECT("MemberID!G6:G"&amp;MemberID!$C$1),MATCH(Interface!A38,INDIRECT("MemberID!C6:C"&amp;MemberID!$C$1),0))</f>
        <v>0</v>
      </c>
      <c r="D38" s="99" t="e">
        <f t="shared" ca="1" si="6"/>
        <v>#N/A</v>
      </c>
      <c r="E38" s="100" t="str">
        <f t="shared" si="7"/>
        <v>-</v>
      </c>
      <c r="F38" s="87" t="e">
        <f t="shared" ca="1" si="8"/>
        <v>#N/A</v>
      </c>
      <c r="G38" s="75">
        <f t="array" aca="1" ref="G38" ca="1">IF($G$7=G$14,IF($G$8="Max",_xlfn.MAXIFS(INDIRECT("'"&amp;$G$6&amp;"'!"&amp;G$15&amp;"65:"&amp;G$15&amp;$J$6),INDIRECT("'"&amp;$G$6&amp;"'!"&amp;"E65:E"&amp;$J$6),$B38,INDIRECT("'"&amp;$G$6&amp;"'!"&amp;"D65:D"&amp;$J$6),$C38),_xlfn.MINIFS(INDIRECT("'"&amp;$G$6&amp;"'!"&amp;G$15&amp;"65:"&amp;G$15&amp;$J$6),INDIRECT("'"&amp;$G$6&amp;"'!"&amp;"E65:E"&amp;$J$6),$B38,INDIRECT("'"&amp;$G$6&amp;"'!"&amp;"D65:D"&amp;$J$6),$C38)),INDEX(INDIRECT("'"&amp;$G$6&amp;"'!"&amp;G$15&amp;"65:"&amp;G$15&amp;$J$6),$D38))</f>
        <v>0</v>
      </c>
      <c r="H38" s="75" t="e">
        <f t="shared" ca="1" si="9"/>
        <v>#N/A</v>
      </c>
      <c r="I38" s="75" t="e">
        <f t="shared" ca="1" si="9"/>
        <v>#N/A</v>
      </c>
      <c r="J38" s="75" t="e">
        <f t="shared" ca="1" si="9"/>
        <v>#N/A</v>
      </c>
      <c r="K38" s="75" t="e">
        <f t="shared" ca="1" si="9"/>
        <v>#N/A</v>
      </c>
      <c r="L38" s="75" t="e">
        <f t="shared" ca="1" si="9"/>
        <v>#N/A</v>
      </c>
      <c r="M38" s="69"/>
      <c r="N38" s="69"/>
      <c r="O38" s="69"/>
      <c r="P38" s="69"/>
      <c r="Q38" s="69"/>
      <c r="R38" s="69"/>
    </row>
    <row r="39" spans="1:29" x14ac:dyDescent="0.25">
      <c r="A39" s="91" t="str">
        <f t="shared" si="5"/>
        <v>P03L</v>
      </c>
      <c r="B39" s="99">
        <f>1</f>
        <v>1</v>
      </c>
      <c r="C39" s="99">
        <f ca="1">INDEX(INDIRECT("MemberID!G6:G"&amp;MemberID!$C$1),MATCH(Interface!A39,INDIRECT("MemberID!C6:C"&amp;MemberID!$C$1),0))</f>
        <v>0</v>
      </c>
      <c r="D39" s="99" t="e">
        <f t="shared" ca="1" si="6"/>
        <v>#N/A</v>
      </c>
      <c r="E39" s="100" t="str">
        <f t="shared" si="7"/>
        <v>-</v>
      </c>
      <c r="F39" s="87" t="e">
        <f t="shared" ca="1" si="8"/>
        <v>#N/A</v>
      </c>
      <c r="G39" s="75">
        <f t="array" aca="1" ref="G39" ca="1">IF($G$7=G$14,IF($G$8="Max",_xlfn.MAXIFS(INDIRECT("'"&amp;$G$6&amp;"'!"&amp;G$15&amp;"65:"&amp;G$15&amp;$J$6),INDIRECT("'"&amp;$G$6&amp;"'!"&amp;"E65:E"&amp;$J$6),$B39,INDIRECT("'"&amp;$G$6&amp;"'!"&amp;"D65:D"&amp;$J$6),$C39),_xlfn.MINIFS(INDIRECT("'"&amp;$G$6&amp;"'!"&amp;G$15&amp;"65:"&amp;G$15&amp;$J$6),INDIRECT("'"&amp;$G$6&amp;"'!"&amp;"E65:E"&amp;$J$6),$B39,INDIRECT("'"&amp;$G$6&amp;"'!"&amp;"D65:D"&amp;$J$6),$C39)),INDEX(INDIRECT("'"&amp;$G$6&amp;"'!"&amp;G$15&amp;"65:"&amp;G$15&amp;$J$6),$D39))</f>
        <v>0</v>
      </c>
      <c r="H39" s="75" t="e">
        <f t="shared" ca="1" si="9"/>
        <v>#N/A</v>
      </c>
      <c r="I39" s="75" t="e">
        <f t="shared" ca="1" si="9"/>
        <v>#N/A</v>
      </c>
      <c r="J39" s="75" t="e">
        <f t="shared" ca="1" si="9"/>
        <v>#N/A</v>
      </c>
      <c r="K39" s="75" t="e">
        <f t="shared" ca="1" si="9"/>
        <v>#N/A</v>
      </c>
      <c r="L39" s="75" t="e">
        <f t="shared" ca="1" si="9"/>
        <v>#N/A</v>
      </c>
      <c r="M39" s="69"/>
      <c r="N39" s="69"/>
      <c r="O39" s="69"/>
      <c r="P39" s="69"/>
      <c r="Q39" s="69"/>
      <c r="R39" s="69"/>
    </row>
    <row r="41" spans="1:29" x14ac:dyDescent="0.25">
      <c r="A41" s="108" t="s">
        <v>268</v>
      </c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</row>
    <row r="42" spans="1:29" x14ac:dyDescent="0.25">
      <c r="A42" s="91" t="s">
        <v>13</v>
      </c>
      <c r="B42" s="99" t="s">
        <v>191</v>
      </c>
      <c r="C42" s="99" t="s">
        <v>219</v>
      </c>
      <c r="D42" s="99" t="s">
        <v>226</v>
      </c>
      <c r="E42" s="111" t="s">
        <v>258</v>
      </c>
      <c r="F42" s="91" t="s">
        <v>261</v>
      </c>
      <c r="G42" s="91" t="s">
        <v>123</v>
      </c>
      <c r="H42" s="91" t="s">
        <v>124</v>
      </c>
      <c r="I42" s="91" t="s">
        <v>125</v>
      </c>
      <c r="J42" s="91" t="s">
        <v>126</v>
      </c>
      <c r="K42" s="91" t="s">
        <v>127</v>
      </c>
      <c r="L42" s="91" t="s">
        <v>128</v>
      </c>
      <c r="M42" s="99" t="s">
        <v>220</v>
      </c>
      <c r="N42" s="99" t="s">
        <v>221</v>
      </c>
      <c r="O42" s="99" t="s">
        <v>222</v>
      </c>
      <c r="P42" s="99" t="s">
        <v>223</v>
      </c>
      <c r="Q42" s="99" t="s">
        <v>224</v>
      </c>
      <c r="R42" s="99" t="s">
        <v>225</v>
      </c>
    </row>
    <row r="43" spans="1:29" x14ac:dyDescent="0.25">
      <c r="A43" s="91"/>
      <c r="B43" s="99" t="str">
        <f>SUBSTITUTE(ADDRESS(1,COLUMN('STR1 Forces'!E91),4),"1","")</f>
        <v>E</v>
      </c>
      <c r="C43" s="99" t="str">
        <f>SUBSTITUTE(ADDRESS(1,COLUMN('STR1 Forces'!D91),4),"1","")</f>
        <v>D</v>
      </c>
      <c r="D43" s="99"/>
      <c r="E43" s="91"/>
      <c r="F43" s="99" t="str">
        <f>SUBSTITUTE(ADDRESS(1,COLUMN('STR1 Forces'!I91),4),"1","")</f>
        <v>I</v>
      </c>
      <c r="G43" s="99" t="str">
        <f>SUBSTITUTE(ADDRESS(1,COLUMN('STR1 Forces'!J91),4),"1","")</f>
        <v>J</v>
      </c>
      <c r="H43" s="99" t="str">
        <f>SUBSTITUTE(ADDRESS(1,COLUMN('STR1 Forces'!K91),4),"1","")</f>
        <v>K</v>
      </c>
      <c r="I43" s="99" t="str">
        <f>SUBSTITUTE(ADDRESS(1,COLUMN('STR1 Forces'!L91),4),"1","")</f>
        <v>L</v>
      </c>
      <c r="J43" s="99" t="str">
        <f>SUBSTITUTE(ADDRESS(1,COLUMN('STR1 Forces'!M91),4),"1","")</f>
        <v>M</v>
      </c>
      <c r="K43" s="99" t="str">
        <f>SUBSTITUTE(ADDRESS(1,COLUMN('STR1 Forces'!N91),4),"1","")</f>
        <v>N</v>
      </c>
      <c r="L43" s="99" t="str">
        <f>SUBSTITUTE(ADDRESS(1,COLUMN('STR1 Forces'!O91),4),"1","")</f>
        <v>O</v>
      </c>
      <c r="M43" s="69"/>
      <c r="N43" s="69"/>
      <c r="O43" s="69"/>
      <c r="P43" s="69"/>
      <c r="Q43" s="69"/>
      <c r="R43" s="69"/>
    </row>
    <row r="44" spans="1:29" x14ac:dyDescent="0.25">
      <c r="A44" s="91" t="str">
        <f>$G$8</f>
        <v>Max</v>
      </c>
      <c r="B44" s="75"/>
      <c r="C44" s="75"/>
      <c r="D44" s="75"/>
      <c r="E44" s="75"/>
      <c r="F44" s="75"/>
      <c r="G44" s="75">
        <f ca="1">IF($G$8="Max",MAX(G45:G53),MIN(G45:G53))</f>
        <v>0</v>
      </c>
      <c r="H44" s="75" t="e">
        <f t="shared" ref="H44:L44" ca="1" si="10">MAX(H45)</f>
        <v>#N/A</v>
      </c>
      <c r="I44" s="75" t="e">
        <f t="shared" ca="1" si="10"/>
        <v>#N/A</v>
      </c>
      <c r="J44" s="75" t="e">
        <f t="shared" ca="1" si="10"/>
        <v>#N/A</v>
      </c>
      <c r="K44" s="75" t="e">
        <f t="shared" ca="1" si="10"/>
        <v>#N/A</v>
      </c>
      <c r="L44" s="75" t="e">
        <f t="shared" ca="1" si="10"/>
        <v>#N/A</v>
      </c>
      <c r="M44" s="69"/>
      <c r="N44" s="69"/>
      <c r="O44" s="69"/>
      <c r="P44" s="69"/>
      <c r="Q44" s="69"/>
      <c r="R44" s="69"/>
    </row>
    <row r="45" spans="1:29" x14ac:dyDescent="0.25">
      <c r="A45" s="91" t="str">
        <f>A17</f>
        <v>P01R</v>
      </c>
      <c r="B45" s="99">
        <f>2</f>
        <v>2</v>
      </c>
      <c r="C45" s="99">
        <f ca="1">INDEX(INDIRECT("MemberID!G6:G"&amp;MemberID!$C$1),MATCH(Interface!A45,INDIRECT("MemberID!C6:C"&amp;MemberID!$C$1),0))</f>
        <v>0</v>
      </c>
      <c r="D45" s="99" t="e">
        <f ca="1">MATCH(INDIRECT($J$7&amp;ROW()),INDIRECT("'"&amp;$G$6&amp;"'!"&amp;$L$7&amp;"65:"&amp;$L$7&amp;$J$6),0)</f>
        <v>#N/A</v>
      </c>
      <c r="E45" s="100" t="str">
        <f>E17</f>
        <v>-</v>
      </c>
      <c r="F45" s="87" t="e">
        <f ca="1">INDEX(INDIRECT("'"&amp;$G$6&amp;"'!"&amp;F$15&amp;"65:"&amp;F$15&amp;$J$6),$D45)</f>
        <v>#N/A</v>
      </c>
      <c r="G45" s="75">
        <f t="array" aca="1" ref="G45" ca="1">IF($G$7=G$14,IF($G$8="Max",_xlfn.MAXIFS(INDIRECT("'"&amp;$G$6&amp;"'!"&amp;G$15&amp;"65:"&amp;G$15&amp;$J$6),INDIRECT("'"&amp;$G$6&amp;"'!"&amp;"E65:E"&amp;$J$6),$B45,INDIRECT("'"&amp;$G$6&amp;"'!"&amp;"D65:D"&amp;$J$6),$C45),_xlfn.MINIFS(INDIRECT("'"&amp;$G$6&amp;"'!"&amp;G$15&amp;"65:"&amp;G$15&amp;$J$6),INDIRECT("'"&amp;$G$6&amp;"'!"&amp;"E65:E"&amp;$J$6),$B45,INDIRECT("'"&amp;$G$6&amp;"'!"&amp;"D65:D"&amp;$J$6),$C45)),INDEX(INDIRECT("'"&amp;$G$6&amp;"'!"&amp;G$15&amp;"65:"&amp;G$15&amp;$J$6),$D45))</f>
        <v>0</v>
      </c>
      <c r="H45" s="75" t="e">
        <f ca="1">IF($G$7=H$14,IF($G$8="Max",_xlfn.MAXIFS(INDIRECT("'"&amp;$G$6&amp;"'!"&amp;H$15&amp;"65:"&amp;H$15&amp;$J$6),INDIRECT("'"&amp;$G$6&amp;"'!"&amp;"E65:E"&amp;$J$6),$B45,INDIRECT("'"&amp;$G$6&amp;"'!"&amp;"D65:D"&amp;$J$6),$C45),_xlfn.MINIFS(INDIRECT("'"&amp;$G$6&amp;"'!"&amp;H$15&amp;"65:"&amp;H$15&amp;$J$6),INDIRECT("'"&amp;$G$6&amp;"'!"&amp;"E65:E"&amp;$J$6),$B45,INDIRECT("'"&amp;$G$6&amp;"'!"&amp;"D65:D"&amp;$J$6),$C45)),INDEX(INDIRECT("'"&amp;$G$6&amp;"'!"&amp;H$15&amp;"65:"&amp;H$15&amp;$J$6),$D45))</f>
        <v>#N/A</v>
      </c>
      <c r="I45" s="75" t="e">
        <f ca="1">IF($G$7=I$14,IF($G$8="Max",_xlfn.MAXIFS(INDIRECT("'"&amp;$G$6&amp;"'!"&amp;I$15&amp;"65:"&amp;I$15&amp;$J$6),INDIRECT("'"&amp;$G$6&amp;"'!"&amp;"E65:E"&amp;$J$6),$B45,INDIRECT("'"&amp;$G$6&amp;"'!"&amp;"D65:D"&amp;$J$6),$C45),_xlfn.MINIFS(INDIRECT("'"&amp;$G$6&amp;"'!"&amp;I$15&amp;"65:"&amp;I$15&amp;$J$6),INDIRECT("'"&amp;$G$6&amp;"'!"&amp;"E65:E"&amp;$J$6),$B45,INDIRECT("'"&amp;$G$6&amp;"'!"&amp;"D65:D"&amp;$J$6),$C45)),INDEX(INDIRECT("'"&amp;$G$6&amp;"'!"&amp;I$15&amp;"65:"&amp;I$15&amp;$J$6),$D45))</f>
        <v>#N/A</v>
      </c>
      <c r="J45" s="75" t="e">
        <f ca="1">IF($G$7=J$14,IF($G$8="Max",_xlfn.MAXIFS(INDIRECT("'"&amp;$G$6&amp;"'!"&amp;J$15&amp;"65:"&amp;J$15&amp;$J$6),INDIRECT("'"&amp;$G$6&amp;"'!"&amp;"E65:E"&amp;$J$6),$B45,INDIRECT("'"&amp;$G$6&amp;"'!"&amp;"D65:D"&amp;$J$6),$C45),_xlfn.MINIFS(INDIRECT("'"&amp;$G$6&amp;"'!"&amp;J$15&amp;"65:"&amp;J$15&amp;$J$6),INDIRECT("'"&amp;$G$6&amp;"'!"&amp;"E65:E"&amp;$J$6),$B45,INDIRECT("'"&amp;$G$6&amp;"'!"&amp;"D65:D"&amp;$J$6),$C45)),INDEX(INDIRECT("'"&amp;$G$6&amp;"'!"&amp;J$15&amp;"65:"&amp;J$15&amp;$J$6),$D45))</f>
        <v>#N/A</v>
      </c>
      <c r="K45" s="75" t="e">
        <f ca="1">IF($G$7=K$14,IF($G$8="Max",_xlfn.MAXIFS(INDIRECT("'"&amp;$G$6&amp;"'!"&amp;K$15&amp;"65:"&amp;K$15&amp;$J$6),INDIRECT("'"&amp;$G$6&amp;"'!"&amp;"E65:E"&amp;$J$6),$B45,INDIRECT("'"&amp;$G$6&amp;"'!"&amp;"D65:D"&amp;$J$6),$C45),_xlfn.MINIFS(INDIRECT("'"&amp;$G$6&amp;"'!"&amp;K$15&amp;"65:"&amp;K$15&amp;$J$6),INDIRECT("'"&amp;$G$6&amp;"'!"&amp;"E65:E"&amp;$J$6),$B45,INDIRECT("'"&amp;$G$6&amp;"'!"&amp;"D65:D"&amp;$J$6),$C45)),INDEX(INDIRECT("'"&amp;$G$6&amp;"'!"&amp;K$15&amp;"65:"&amp;K$15&amp;$J$6),$D45))</f>
        <v>#N/A</v>
      </c>
      <c r="L45" s="75" t="e">
        <f ca="1">IF($G$7=L$14,IF($G$8="Max",_xlfn.MAXIFS(INDIRECT("'"&amp;$G$6&amp;"'!"&amp;L$15&amp;"65:"&amp;L$15&amp;$J$6),INDIRECT("'"&amp;$G$6&amp;"'!"&amp;"E65:E"&amp;$J$6),$B45,INDIRECT("'"&amp;$G$6&amp;"'!"&amp;"D65:D"&amp;$J$6),$C45),_xlfn.MINIFS(INDIRECT("'"&amp;$G$6&amp;"'!"&amp;L$15&amp;"65:"&amp;L$15&amp;$J$6),INDIRECT("'"&amp;$G$6&amp;"'!"&amp;"E65:E"&amp;$J$6),$B45,INDIRECT("'"&amp;$G$6&amp;"'!"&amp;"D65:D"&amp;$J$6),$C45)),INDEX(INDIRECT("'"&amp;$G$6&amp;"'!"&amp;L$15&amp;"65:"&amp;L$15&amp;$J$6),$D45))</f>
        <v>#N/A</v>
      </c>
      <c r="M45" s="69"/>
      <c r="N45" s="69"/>
      <c r="O45" s="69"/>
      <c r="P45" s="69"/>
      <c r="Q45" s="69"/>
      <c r="R45" s="69"/>
    </row>
    <row r="46" spans="1:29" x14ac:dyDescent="0.25">
      <c r="A46" s="91" t="str">
        <f t="shared" ref="A46:A53" si="11">A18</f>
        <v>P01C</v>
      </c>
      <c r="B46" s="99">
        <f>2</f>
        <v>2</v>
      </c>
      <c r="C46" s="99">
        <f ca="1">INDEX(INDIRECT("MemberID!G6:G"&amp;MemberID!$C$1),MATCH(Interface!A46,INDIRECT("MemberID!C6:C"&amp;MemberID!$C$1),0))</f>
        <v>0</v>
      </c>
      <c r="D46" s="99" t="e">
        <f t="shared" ref="D46:D53" ca="1" si="12">MATCH(INDIRECT($J$7&amp;ROW()),INDIRECT("'"&amp;$G$6&amp;"'!"&amp;$L$7&amp;"65:"&amp;$L$7&amp;$J$6),0)</f>
        <v>#N/A</v>
      </c>
      <c r="E46" s="100" t="str">
        <f t="shared" ref="E46:E53" si="13">E18</f>
        <v>-</v>
      </c>
      <c r="F46" s="87" t="e">
        <f t="shared" ref="F46:F53" ca="1" si="14">INDEX(INDIRECT("'"&amp;$G$6&amp;"'!"&amp;F$15&amp;"65:"&amp;F$15&amp;$J$6),$D46)</f>
        <v>#N/A</v>
      </c>
      <c r="G46" s="75">
        <f t="array" aca="1" ref="G46" ca="1">IF($G$7=G$14,IF($G$8="Max",_xlfn.MAXIFS(INDIRECT("'"&amp;$G$6&amp;"'!"&amp;G$15&amp;"65:"&amp;G$15&amp;$J$6),INDIRECT("'"&amp;$G$6&amp;"'!"&amp;"E65:E"&amp;$J$6),$B46,INDIRECT("'"&amp;$G$6&amp;"'!"&amp;"D65:D"&amp;$J$6),$C46),_xlfn.MINIFS(INDIRECT("'"&amp;$G$6&amp;"'!"&amp;G$15&amp;"65:"&amp;G$15&amp;$J$6),INDIRECT("'"&amp;$G$6&amp;"'!"&amp;"E65:E"&amp;$J$6),$B46,INDIRECT("'"&amp;$G$6&amp;"'!"&amp;"D65:D"&amp;$J$6),$C46)),INDEX(INDIRECT("'"&amp;$G$6&amp;"'!"&amp;G$15&amp;"65:"&amp;G$15&amp;$J$6),$D46))</f>
        <v>0</v>
      </c>
      <c r="H46" s="75" t="e">
        <f t="shared" ref="H46:L53" ca="1" si="15">IF($G$7=H$14,IF($G$8="Max",_xlfn.MAXIFS(INDIRECT("'"&amp;$G$6&amp;"'!"&amp;H$15&amp;"65:"&amp;H$15&amp;$J$6),INDIRECT("'"&amp;$G$6&amp;"'!"&amp;"E65:E"&amp;$J$6),$B46,INDIRECT("'"&amp;$G$6&amp;"'!"&amp;"D65:D"&amp;$J$6),$C46),_xlfn.MINIFS(INDIRECT("'"&amp;$G$6&amp;"'!"&amp;H$15&amp;"65:"&amp;H$15&amp;$J$6),INDIRECT("'"&amp;$G$6&amp;"'!"&amp;"E65:E"&amp;$J$6),$B46,INDIRECT("'"&amp;$G$6&amp;"'!"&amp;"D65:D"&amp;$J$6),$C46)),INDEX(INDIRECT("'"&amp;$G$6&amp;"'!"&amp;H$15&amp;"65:"&amp;H$15&amp;$J$6),$D46))</f>
        <v>#N/A</v>
      </c>
      <c r="I46" s="75" t="e">
        <f t="shared" ca="1" si="15"/>
        <v>#N/A</v>
      </c>
      <c r="J46" s="75" t="e">
        <f t="shared" ca="1" si="15"/>
        <v>#N/A</v>
      </c>
      <c r="K46" s="75" t="e">
        <f t="shared" ca="1" si="15"/>
        <v>#N/A</v>
      </c>
      <c r="L46" s="75" t="e">
        <f t="shared" ca="1" si="15"/>
        <v>#N/A</v>
      </c>
      <c r="M46" s="69"/>
      <c r="N46" s="69"/>
      <c r="O46" s="69"/>
      <c r="P46" s="69"/>
      <c r="Q46" s="69"/>
      <c r="R46" s="69"/>
    </row>
    <row r="47" spans="1:29" x14ac:dyDescent="0.25">
      <c r="A47" s="91" t="str">
        <f t="shared" si="11"/>
        <v>P01L</v>
      </c>
      <c r="B47" s="99">
        <f>2</f>
        <v>2</v>
      </c>
      <c r="C47" s="99">
        <f ca="1">INDEX(INDIRECT("MemberID!G6:G"&amp;MemberID!$C$1),MATCH(Interface!A47,INDIRECT("MemberID!C6:C"&amp;MemberID!$C$1),0))</f>
        <v>0</v>
      </c>
      <c r="D47" s="99" t="e">
        <f t="shared" ca="1" si="12"/>
        <v>#N/A</v>
      </c>
      <c r="E47" s="100" t="str">
        <f t="shared" si="13"/>
        <v>-</v>
      </c>
      <c r="F47" s="87" t="e">
        <f t="shared" ca="1" si="14"/>
        <v>#N/A</v>
      </c>
      <c r="G47" s="75">
        <f t="array" aca="1" ref="G47" ca="1">IF($G$7=G$14,IF($G$8="Max",_xlfn.MAXIFS(INDIRECT("'"&amp;$G$6&amp;"'!"&amp;G$15&amp;"65:"&amp;G$15&amp;$J$6),INDIRECT("'"&amp;$G$6&amp;"'!"&amp;"E65:E"&amp;$J$6),$B47,INDIRECT("'"&amp;$G$6&amp;"'!"&amp;"D65:D"&amp;$J$6),$C47),_xlfn.MINIFS(INDIRECT("'"&amp;$G$6&amp;"'!"&amp;G$15&amp;"65:"&amp;G$15&amp;$J$6),INDIRECT("'"&amp;$G$6&amp;"'!"&amp;"E65:E"&amp;$J$6),$B47,INDIRECT("'"&amp;$G$6&amp;"'!"&amp;"D65:D"&amp;$J$6),$C47)),INDEX(INDIRECT("'"&amp;$G$6&amp;"'!"&amp;G$15&amp;"65:"&amp;G$15&amp;$J$6),$D47))</f>
        <v>0</v>
      </c>
      <c r="H47" s="75" t="e">
        <f t="shared" ca="1" si="15"/>
        <v>#N/A</v>
      </c>
      <c r="I47" s="75" t="e">
        <f t="shared" ca="1" si="15"/>
        <v>#N/A</v>
      </c>
      <c r="J47" s="75" t="e">
        <f t="shared" ca="1" si="15"/>
        <v>#N/A</v>
      </c>
      <c r="K47" s="75" t="e">
        <f t="shared" ca="1" si="15"/>
        <v>#N/A</v>
      </c>
      <c r="L47" s="75" t="e">
        <f t="shared" ca="1" si="15"/>
        <v>#N/A</v>
      </c>
      <c r="M47" s="69"/>
      <c r="N47" s="69"/>
      <c r="O47" s="69"/>
      <c r="P47" s="69"/>
      <c r="Q47" s="69"/>
      <c r="R47" s="69"/>
    </row>
    <row r="48" spans="1:29" x14ac:dyDescent="0.25">
      <c r="A48" s="91" t="str">
        <f t="shared" si="11"/>
        <v>P02R</v>
      </c>
      <c r="B48" s="99">
        <f>2</f>
        <v>2</v>
      </c>
      <c r="C48" s="99">
        <f ca="1">INDEX(INDIRECT("MemberID!G6:G"&amp;MemberID!$C$1),MATCH(Interface!A48,INDIRECT("MemberID!C6:C"&amp;MemberID!$C$1),0))</f>
        <v>0</v>
      </c>
      <c r="D48" s="99" t="e">
        <f t="shared" ca="1" si="12"/>
        <v>#N/A</v>
      </c>
      <c r="E48" s="100" t="str">
        <f t="shared" si="13"/>
        <v>-</v>
      </c>
      <c r="F48" s="87" t="e">
        <f t="shared" ca="1" si="14"/>
        <v>#N/A</v>
      </c>
      <c r="G48" s="75">
        <f t="array" aca="1" ref="G48" ca="1">IF($G$7=G$14,IF($G$8="Max",_xlfn.MAXIFS(INDIRECT("'"&amp;$G$6&amp;"'!"&amp;G$15&amp;"65:"&amp;G$15&amp;$J$6),INDIRECT("'"&amp;$G$6&amp;"'!"&amp;"E65:E"&amp;$J$6),$B48,INDIRECT("'"&amp;$G$6&amp;"'!"&amp;"D65:D"&amp;$J$6),$C48),_xlfn.MINIFS(INDIRECT("'"&amp;$G$6&amp;"'!"&amp;G$15&amp;"65:"&amp;G$15&amp;$J$6),INDIRECT("'"&amp;$G$6&amp;"'!"&amp;"E65:E"&amp;$J$6),$B48,INDIRECT("'"&amp;$G$6&amp;"'!"&amp;"D65:D"&amp;$J$6),$C48)),INDEX(INDIRECT("'"&amp;$G$6&amp;"'!"&amp;G$15&amp;"65:"&amp;G$15&amp;$J$6),$D48))</f>
        <v>0</v>
      </c>
      <c r="H48" s="75" t="e">
        <f t="shared" ca="1" si="15"/>
        <v>#N/A</v>
      </c>
      <c r="I48" s="75" t="e">
        <f t="shared" ca="1" si="15"/>
        <v>#N/A</v>
      </c>
      <c r="J48" s="75" t="e">
        <f t="shared" ca="1" si="15"/>
        <v>#N/A</v>
      </c>
      <c r="K48" s="75" t="e">
        <f t="shared" ca="1" si="15"/>
        <v>#N/A</v>
      </c>
      <c r="L48" s="75" t="e">
        <f t="shared" ca="1" si="15"/>
        <v>#N/A</v>
      </c>
      <c r="M48" s="69"/>
      <c r="N48" s="69"/>
      <c r="O48" s="69"/>
      <c r="P48" s="69"/>
      <c r="Q48" s="69"/>
      <c r="R48" s="69"/>
    </row>
    <row r="49" spans="1:18" x14ac:dyDescent="0.25">
      <c r="A49" s="91" t="str">
        <f t="shared" si="11"/>
        <v>P02C</v>
      </c>
      <c r="B49" s="99">
        <f>2</f>
        <v>2</v>
      </c>
      <c r="C49" s="99">
        <f ca="1">INDEX(INDIRECT("MemberID!G6:G"&amp;MemberID!$C$1),MATCH(Interface!A49,INDIRECT("MemberID!C6:C"&amp;MemberID!$C$1),0))</f>
        <v>0</v>
      </c>
      <c r="D49" s="99" t="e">
        <f t="shared" ca="1" si="12"/>
        <v>#N/A</v>
      </c>
      <c r="E49" s="100" t="str">
        <f t="shared" si="13"/>
        <v>-</v>
      </c>
      <c r="F49" s="87" t="e">
        <f t="shared" ca="1" si="14"/>
        <v>#N/A</v>
      </c>
      <c r="G49" s="75">
        <f t="array" aca="1" ref="G49" ca="1">IF($G$7=G$14,IF($G$8="Max",_xlfn.MAXIFS(INDIRECT("'"&amp;$G$6&amp;"'!"&amp;G$15&amp;"65:"&amp;G$15&amp;$J$6),INDIRECT("'"&amp;$G$6&amp;"'!"&amp;"E65:E"&amp;$J$6),$B49,INDIRECT("'"&amp;$G$6&amp;"'!"&amp;"D65:D"&amp;$J$6),$C49),_xlfn.MINIFS(INDIRECT("'"&amp;$G$6&amp;"'!"&amp;G$15&amp;"65:"&amp;G$15&amp;$J$6),INDIRECT("'"&amp;$G$6&amp;"'!"&amp;"E65:E"&amp;$J$6),$B49,INDIRECT("'"&amp;$G$6&amp;"'!"&amp;"D65:D"&amp;$J$6),$C49)),INDEX(INDIRECT("'"&amp;$G$6&amp;"'!"&amp;G$15&amp;"65:"&amp;G$15&amp;$J$6),$D49))</f>
        <v>0</v>
      </c>
      <c r="H49" s="75" t="e">
        <f t="shared" ca="1" si="15"/>
        <v>#N/A</v>
      </c>
      <c r="I49" s="75" t="e">
        <f t="shared" ca="1" si="15"/>
        <v>#N/A</v>
      </c>
      <c r="J49" s="75" t="e">
        <f t="shared" ca="1" si="15"/>
        <v>#N/A</v>
      </c>
      <c r="K49" s="75" t="e">
        <f t="shared" ca="1" si="15"/>
        <v>#N/A</v>
      </c>
      <c r="L49" s="75" t="e">
        <f t="shared" ca="1" si="15"/>
        <v>#N/A</v>
      </c>
      <c r="M49" s="69"/>
      <c r="N49" s="69"/>
      <c r="O49" s="69"/>
      <c r="P49" s="69"/>
      <c r="Q49" s="69"/>
      <c r="R49" s="69"/>
    </row>
    <row r="50" spans="1:18" x14ac:dyDescent="0.25">
      <c r="A50" s="91" t="str">
        <f t="shared" si="11"/>
        <v>P02L</v>
      </c>
      <c r="B50" s="99">
        <f>2</f>
        <v>2</v>
      </c>
      <c r="C50" s="99">
        <f ca="1">INDEX(INDIRECT("MemberID!G6:G"&amp;MemberID!$C$1),MATCH(Interface!A50,INDIRECT("MemberID!C6:C"&amp;MemberID!$C$1),0))</f>
        <v>0</v>
      </c>
      <c r="D50" s="99" t="e">
        <f t="shared" ca="1" si="12"/>
        <v>#N/A</v>
      </c>
      <c r="E50" s="100" t="str">
        <f t="shared" si="13"/>
        <v>-</v>
      </c>
      <c r="F50" s="87" t="e">
        <f t="shared" ca="1" si="14"/>
        <v>#N/A</v>
      </c>
      <c r="G50" s="75">
        <f t="array" aca="1" ref="G50" ca="1">IF($G$7=G$14,IF($G$8="Max",_xlfn.MAXIFS(INDIRECT("'"&amp;$G$6&amp;"'!"&amp;G$15&amp;"65:"&amp;G$15&amp;$J$6),INDIRECT("'"&amp;$G$6&amp;"'!"&amp;"E65:E"&amp;$J$6),$B50,INDIRECT("'"&amp;$G$6&amp;"'!"&amp;"D65:D"&amp;$J$6),$C50),_xlfn.MINIFS(INDIRECT("'"&amp;$G$6&amp;"'!"&amp;G$15&amp;"65:"&amp;G$15&amp;$J$6),INDIRECT("'"&amp;$G$6&amp;"'!"&amp;"E65:E"&amp;$J$6),$B50,INDIRECT("'"&amp;$G$6&amp;"'!"&amp;"D65:D"&amp;$J$6),$C50)),INDEX(INDIRECT("'"&amp;$G$6&amp;"'!"&amp;G$15&amp;"65:"&amp;G$15&amp;$J$6),$D50))</f>
        <v>0</v>
      </c>
      <c r="H50" s="75" t="e">
        <f t="shared" ca="1" si="15"/>
        <v>#N/A</v>
      </c>
      <c r="I50" s="75" t="e">
        <f t="shared" ca="1" si="15"/>
        <v>#N/A</v>
      </c>
      <c r="J50" s="75" t="e">
        <f t="shared" ca="1" si="15"/>
        <v>#N/A</v>
      </c>
      <c r="K50" s="75" t="e">
        <f t="shared" ca="1" si="15"/>
        <v>#N/A</v>
      </c>
      <c r="L50" s="75" t="e">
        <f t="shared" ca="1" si="15"/>
        <v>#N/A</v>
      </c>
      <c r="M50" s="69"/>
      <c r="N50" s="69"/>
      <c r="O50" s="69"/>
      <c r="P50" s="69"/>
      <c r="Q50" s="69"/>
      <c r="R50" s="69"/>
    </row>
    <row r="51" spans="1:18" x14ac:dyDescent="0.25">
      <c r="A51" s="91" t="str">
        <f t="shared" si="11"/>
        <v>P03R</v>
      </c>
      <c r="B51" s="99">
        <f>2</f>
        <v>2</v>
      </c>
      <c r="C51" s="99">
        <f ca="1">INDEX(INDIRECT("MemberID!G6:G"&amp;MemberID!$C$1),MATCH(Interface!A51,INDIRECT("MemberID!C6:C"&amp;MemberID!$C$1),0))</f>
        <v>0</v>
      </c>
      <c r="D51" s="99" t="e">
        <f t="shared" ca="1" si="12"/>
        <v>#N/A</v>
      </c>
      <c r="E51" s="100" t="str">
        <f t="shared" si="13"/>
        <v>-</v>
      </c>
      <c r="F51" s="87" t="e">
        <f t="shared" ca="1" si="14"/>
        <v>#N/A</v>
      </c>
      <c r="G51" s="75">
        <f t="array" aca="1" ref="G51" ca="1">IF($G$7=G$14,IF($G$8="Max",_xlfn.MAXIFS(INDIRECT("'"&amp;$G$6&amp;"'!"&amp;G$15&amp;"65:"&amp;G$15&amp;$J$6),INDIRECT("'"&amp;$G$6&amp;"'!"&amp;"E65:E"&amp;$J$6),$B51,INDIRECT("'"&amp;$G$6&amp;"'!"&amp;"D65:D"&amp;$J$6),$C51),_xlfn.MINIFS(INDIRECT("'"&amp;$G$6&amp;"'!"&amp;G$15&amp;"65:"&amp;G$15&amp;$J$6),INDIRECT("'"&amp;$G$6&amp;"'!"&amp;"E65:E"&amp;$J$6),$B51,INDIRECT("'"&amp;$G$6&amp;"'!"&amp;"D65:D"&amp;$J$6),$C51)),INDEX(INDIRECT("'"&amp;$G$6&amp;"'!"&amp;G$15&amp;"65:"&amp;G$15&amp;$J$6),$D51))</f>
        <v>0</v>
      </c>
      <c r="H51" s="75" t="e">
        <f t="shared" ca="1" si="15"/>
        <v>#N/A</v>
      </c>
      <c r="I51" s="75" t="e">
        <f t="shared" ca="1" si="15"/>
        <v>#N/A</v>
      </c>
      <c r="J51" s="75" t="e">
        <f t="shared" ca="1" si="15"/>
        <v>#N/A</v>
      </c>
      <c r="K51" s="75" t="e">
        <f t="shared" ca="1" si="15"/>
        <v>#N/A</v>
      </c>
      <c r="L51" s="75" t="e">
        <f t="shared" ca="1" si="15"/>
        <v>#N/A</v>
      </c>
      <c r="M51" s="69"/>
      <c r="N51" s="69"/>
      <c r="O51" s="69"/>
      <c r="P51" s="69"/>
      <c r="Q51" s="69"/>
      <c r="R51" s="69"/>
    </row>
    <row r="52" spans="1:18" x14ac:dyDescent="0.25">
      <c r="A52" s="91" t="str">
        <f t="shared" si="11"/>
        <v>P03C</v>
      </c>
      <c r="B52" s="99">
        <f>2</f>
        <v>2</v>
      </c>
      <c r="C52" s="99">
        <f ca="1">INDEX(INDIRECT("MemberID!G6:G"&amp;MemberID!$C$1),MATCH(Interface!A52,INDIRECT("MemberID!C6:C"&amp;MemberID!$C$1),0))</f>
        <v>0</v>
      </c>
      <c r="D52" s="99" t="e">
        <f t="shared" ca="1" si="12"/>
        <v>#N/A</v>
      </c>
      <c r="E52" s="100" t="str">
        <f t="shared" si="13"/>
        <v>-</v>
      </c>
      <c r="F52" s="87" t="e">
        <f t="shared" ca="1" si="14"/>
        <v>#N/A</v>
      </c>
      <c r="G52" s="75">
        <f t="array" aca="1" ref="G52" ca="1">IF($G$7=G$14,IF($G$8="Max",_xlfn.MAXIFS(INDIRECT("'"&amp;$G$6&amp;"'!"&amp;G$15&amp;"65:"&amp;G$15&amp;$J$6),INDIRECT("'"&amp;$G$6&amp;"'!"&amp;"E65:E"&amp;$J$6),$B52,INDIRECT("'"&amp;$G$6&amp;"'!"&amp;"D65:D"&amp;$J$6),$C52),_xlfn.MINIFS(INDIRECT("'"&amp;$G$6&amp;"'!"&amp;G$15&amp;"65:"&amp;G$15&amp;$J$6),INDIRECT("'"&amp;$G$6&amp;"'!"&amp;"E65:E"&amp;$J$6),$B52,INDIRECT("'"&amp;$G$6&amp;"'!"&amp;"D65:D"&amp;$J$6),$C52)),INDEX(INDIRECT("'"&amp;$G$6&amp;"'!"&amp;G$15&amp;"65:"&amp;G$15&amp;$J$6),$D52))</f>
        <v>0</v>
      </c>
      <c r="H52" s="75" t="e">
        <f t="shared" ca="1" si="15"/>
        <v>#N/A</v>
      </c>
      <c r="I52" s="75" t="e">
        <f t="shared" ca="1" si="15"/>
        <v>#N/A</v>
      </c>
      <c r="J52" s="75" t="e">
        <f t="shared" ca="1" si="15"/>
        <v>#N/A</v>
      </c>
      <c r="K52" s="75" t="e">
        <f t="shared" ca="1" si="15"/>
        <v>#N/A</v>
      </c>
      <c r="L52" s="75" t="e">
        <f t="shared" ca="1" si="15"/>
        <v>#N/A</v>
      </c>
      <c r="M52" s="69"/>
      <c r="N52" s="69"/>
      <c r="O52" s="69"/>
      <c r="P52" s="69"/>
      <c r="Q52" s="69"/>
      <c r="R52" s="69"/>
    </row>
    <row r="53" spans="1:18" x14ac:dyDescent="0.25">
      <c r="A53" s="91" t="str">
        <f t="shared" si="11"/>
        <v>P03L</v>
      </c>
      <c r="B53" s="99">
        <f>2</f>
        <v>2</v>
      </c>
      <c r="C53" s="99">
        <f ca="1">INDEX(INDIRECT("MemberID!G6:G"&amp;MemberID!$C$1),MATCH(Interface!A53,INDIRECT("MemberID!C6:C"&amp;MemberID!$C$1),0))</f>
        <v>0</v>
      </c>
      <c r="D53" s="99" t="e">
        <f t="shared" ca="1" si="12"/>
        <v>#N/A</v>
      </c>
      <c r="E53" s="100" t="str">
        <f t="shared" si="13"/>
        <v>-</v>
      </c>
      <c r="F53" s="87" t="e">
        <f t="shared" ca="1" si="14"/>
        <v>#N/A</v>
      </c>
      <c r="G53" s="75">
        <f t="array" aca="1" ref="G53" ca="1">IF($G$7=G$14,IF($G$8="Max",_xlfn.MAXIFS(INDIRECT("'"&amp;$G$6&amp;"'!"&amp;G$15&amp;"65:"&amp;G$15&amp;$J$6),INDIRECT("'"&amp;$G$6&amp;"'!"&amp;"E65:E"&amp;$J$6),$B53,INDIRECT("'"&amp;$G$6&amp;"'!"&amp;"D65:D"&amp;$J$6),$C53),_xlfn.MINIFS(INDIRECT("'"&amp;$G$6&amp;"'!"&amp;G$15&amp;"65:"&amp;G$15&amp;$J$6),INDIRECT("'"&amp;$G$6&amp;"'!"&amp;"E65:E"&amp;$J$6),$B53,INDIRECT("'"&amp;$G$6&amp;"'!"&amp;"D65:D"&amp;$J$6),$C53)),INDEX(INDIRECT("'"&amp;$G$6&amp;"'!"&amp;G$15&amp;"65:"&amp;G$15&amp;$J$6),$D53))</f>
        <v>0</v>
      </c>
      <c r="H53" s="75" t="e">
        <f t="shared" ca="1" si="15"/>
        <v>#N/A</v>
      </c>
      <c r="I53" s="75" t="e">
        <f t="shared" ca="1" si="15"/>
        <v>#N/A</v>
      </c>
      <c r="J53" s="75" t="e">
        <f t="shared" ca="1" si="15"/>
        <v>#N/A</v>
      </c>
      <c r="K53" s="75" t="e">
        <f t="shared" ca="1" si="15"/>
        <v>#N/A</v>
      </c>
      <c r="L53" s="75" t="e">
        <f t="shared" ca="1" si="15"/>
        <v>#N/A</v>
      </c>
      <c r="M53" s="69"/>
      <c r="N53" s="69"/>
      <c r="O53" s="69"/>
      <c r="P53" s="69"/>
      <c r="Q53" s="69"/>
      <c r="R53" s="69"/>
    </row>
    <row r="55" spans="1:18" x14ac:dyDescent="0.25">
      <c r="A55" s="108" t="s">
        <v>272</v>
      </c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</row>
    <row r="56" spans="1:18" x14ac:dyDescent="0.25">
      <c r="A56" s="91" t="s">
        <v>13</v>
      </c>
      <c r="B56" s="99" t="s">
        <v>191</v>
      </c>
      <c r="C56" s="99" t="s">
        <v>219</v>
      </c>
      <c r="D56" s="99" t="s">
        <v>226</v>
      </c>
      <c r="E56" s="111" t="s">
        <v>258</v>
      </c>
      <c r="F56" s="91" t="s">
        <v>261</v>
      </c>
      <c r="G56" s="91" t="s">
        <v>123</v>
      </c>
      <c r="H56" s="91" t="s">
        <v>124</v>
      </c>
      <c r="I56" s="91" t="s">
        <v>125</v>
      </c>
      <c r="J56" s="91" t="s">
        <v>126</v>
      </c>
      <c r="K56" s="91" t="s">
        <v>127</v>
      </c>
      <c r="L56" s="91" t="s">
        <v>128</v>
      </c>
      <c r="M56" s="99" t="s">
        <v>220</v>
      </c>
      <c r="N56" s="99" t="s">
        <v>221</v>
      </c>
      <c r="O56" s="99" t="s">
        <v>222</v>
      </c>
      <c r="P56" s="99" t="s">
        <v>223</v>
      </c>
      <c r="Q56" s="99" t="s">
        <v>224</v>
      </c>
      <c r="R56" s="99" t="s">
        <v>225</v>
      </c>
    </row>
    <row r="57" spans="1:18" x14ac:dyDescent="0.25">
      <c r="A57" s="91"/>
      <c r="B57" s="99" t="str">
        <f>SUBSTITUTE(ADDRESS(1,COLUMN('STR1 Forces'!E105),4),"1","")</f>
        <v>E</v>
      </c>
      <c r="C57" s="99" t="str">
        <f>SUBSTITUTE(ADDRESS(1,COLUMN('STR1 Forces'!D105),4),"1","")</f>
        <v>D</v>
      </c>
      <c r="D57" s="99"/>
      <c r="E57" s="91"/>
      <c r="F57" s="99" t="str">
        <f>SUBSTITUTE(ADDRESS(1,COLUMN('STR1 Forces'!I105),4),"1","")</f>
        <v>I</v>
      </c>
      <c r="G57" s="99" t="str">
        <f>SUBSTITUTE(ADDRESS(1,COLUMN('STR1 Forces'!J105),4),"1","")</f>
        <v>J</v>
      </c>
      <c r="H57" s="99" t="str">
        <f>SUBSTITUTE(ADDRESS(1,COLUMN('STR1 Forces'!K105),4),"1","")</f>
        <v>K</v>
      </c>
      <c r="I57" s="99" t="str">
        <f>SUBSTITUTE(ADDRESS(1,COLUMN('STR1 Forces'!L105),4),"1","")</f>
        <v>L</v>
      </c>
      <c r="J57" s="99" t="str">
        <f>SUBSTITUTE(ADDRESS(1,COLUMN('STR1 Forces'!M105),4),"1","")</f>
        <v>M</v>
      </c>
      <c r="K57" s="99" t="str">
        <f>SUBSTITUTE(ADDRESS(1,COLUMN('STR1 Forces'!N105),4),"1","")</f>
        <v>N</v>
      </c>
      <c r="L57" s="99" t="str">
        <f>SUBSTITUTE(ADDRESS(1,COLUMN('STR1 Forces'!O105),4),"1","")</f>
        <v>O</v>
      </c>
      <c r="M57" s="69"/>
      <c r="N57" s="69"/>
      <c r="O57" s="69"/>
      <c r="P57" s="69"/>
      <c r="Q57" s="69"/>
      <c r="R57" s="69"/>
    </row>
    <row r="58" spans="1:18" x14ac:dyDescent="0.25">
      <c r="A58" s="91" t="str">
        <f>$G$8</f>
        <v>Max</v>
      </c>
      <c r="B58" s="75"/>
      <c r="C58" s="75"/>
      <c r="D58" s="75"/>
      <c r="E58" s="75"/>
      <c r="F58" s="75"/>
      <c r="G58" s="75">
        <f ca="1">IF($G$8="Max",MAX(G59:G67),MIN(G59:G67))</f>
        <v>0</v>
      </c>
      <c r="H58" s="75" t="e">
        <f t="shared" ref="H58:L58" ca="1" si="16">MAX(H59)</f>
        <v>#N/A</v>
      </c>
      <c r="I58" s="75" t="e">
        <f t="shared" ca="1" si="16"/>
        <v>#N/A</v>
      </c>
      <c r="J58" s="75" t="e">
        <f t="shared" ca="1" si="16"/>
        <v>#N/A</v>
      </c>
      <c r="K58" s="75" t="e">
        <f t="shared" ca="1" si="16"/>
        <v>#N/A</v>
      </c>
      <c r="L58" s="75" t="e">
        <f t="shared" ca="1" si="16"/>
        <v>#N/A</v>
      </c>
      <c r="M58" s="69"/>
      <c r="N58" s="69"/>
      <c r="O58" s="69"/>
      <c r="P58" s="69"/>
      <c r="Q58" s="69"/>
      <c r="R58" s="69"/>
    </row>
    <row r="59" spans="1:18" x14ac:dyDescent="0.25">
      <c r="A59" s="91" t="str">
        <f>A17</f>
        <v>P01R</v>
      </c>
      <c r="B59" s="99">
        <f>3</f>
        <v>3</v>
      </c>
      <c r="C59" s="99">
        <f ca="1">INDEX(INDIRECT("MemberID!G6:G"&amp;MemberID!$C$1),MATCH(Interface!A59,INDIRECT("MemberID!C6:C"&amp;MemberID!$C$1),0))</f>
        <v>0</v>
      </c>
      <c r="D59" s="99" t="e">
        <f ca="1">MATCH(INDIRECT($J$7&amp;ROW()),INDIRECT("'"&amp;$G$6&amp;"'!"&amp;$L$7&amp;"65:"&amp;$L$7&amp;$J$6),0)</f>
        <v>#N/A</v>
      </c>
      <c r="E59" s="100" t="str">
        <f>E17</f>
        <v>-</v>
      </c>
      <c r="F59" s="87" t="e">
        <f ca="1">INDEX(INDIRECT("'"&amp;$G$6&amp;"'!"&amp;F$15&amp;"65:"&amp;F$15&amp;$J$6),$D59)</f>
        <v>#N/A</v>
      </c>
      <c r="G59" s="75">
        <f t="array" aca="1" ref="G59" ca="1">IF($G$7=G$14,IF($G$8="Max",_xlfn.MAXIFS(INDIRECT("'"&amp;$G$6&amp;"'!"&amp;G$15&amp;"65:"&amp;G$15&amp;$J$6),INDIRECT("'"&amp;$G$6&amp;"'!"&amp;"E65:E"&amp;$J$6),$B59,INDIRECT("'"&amp;$G$6&amp;"'!"&amp;"D65:D"&amp;$J$6),$C59),_xlfn.MINIFS(INDIRECT("'"&amp;$G$6&amp;"'!"&amp;G$15&amp;"65:"&amp;G$15&amp;$J$6),INDIRECT("'"&amp;$G$6&amp;"'!"&amp;"E65:E"&amp;$J$6),$B59,INDIRECT("'"&amp;$G$6&amp;"'!"&amp;"D65:D"&amp;$J$6),$C59)),INDEX(INDIRECT("'"&amp;$G$6&amp;"'!"&amp;G$15&amp;"65:"&amp;G$15&amp;$J$6),$D59))</f>
        <v>0</v>
      </c>
      <c r="H59" s="75" t="e">
        <f ca="1">IF($G$7=H$14,IF($G$8="Max",_xlfn.MAXIFS(INDIRECT("'"&amp;$G$6&amp;"'!"&amp;H$15&amp;"65:"&amp;H$15&amp;$J$6),INDIRECT("'"&amp;$G$6&amp;"'!"&amp;"E65:E"&amp;$J$6),$B59,INDIRECT("'"&amp;$G$6&amp;"'!"&amp;"D65:D"&amp;$J$6),$C59),_xlfn.MINIFS(INDIRECT("'"&amp;$G$6&amp;"'!"&amp;H$15&amp;"65:"&amp;H$15&amp;$J$6),INDIRECT("'"&amp;$G$6&amp;"'!"&amp;"E65:E"&amp;$J$6),$B59,INDIRECT("'"&amp;$G$6&amp;"'!"&amp;"D65:D"&amp;$J$6),$C59)),INDEX(INDIRECT("'"&amp;$G$6&amp;"'!"&amp;H$15&amp;"65:"&amp;H$15&amp;$J$6),$D59))</f>
        <v>#N/A</v>
      </c>
      <c r="I59" s="75" t="e">
        <f ca="1">IF($G$7=I$14,IF($G$8="Max",_xlfn.MAXIFS(INDIRECT("'"&amp;$G$6&amp;"'!"&amp;I$15&amp;"65:"&amp;I$15&amp;$J$6),INDIRECT("'"&amp;$G$6&amp;"'!"&amp;"E65:E"&amp;$J$6),$B59,INDIRECT("'"&amp;$G$6&amp;"'!"&amp;"D65:D"&amp;$J$6),$C59),_xlfn.MINIFS(INDIRECT("'"&amp;$G$6&amp;"'!"&amp;I$15&amp;"65:"&amp;I$15&amp;$J$6),INDIRECT("'"&amp;$G$6&amp;"'!"&amp;"E65:E"&amp;$J$6),$B59,INDIRECT("'"&amp;$G$6&amp;"'!"&amp;"D65:D"&amp;$J$6),$C59)),INDEX(INDIRECT("'"&amp;$G$6&amp;"'!"&amp;I$15&amp;"65:"&amp;I$15&amp;$J$6),$D59))</f>
        <v>#N/A</v>
      </c>
      <c r="J59" s="75" t="e">
        <f ca="1">IF($G$7=J$14,IF($G$8="Max",_xlfn.MAXIFS(INDIRECT("'"&amp;$G$6&amp;"'!"&amp;J$15&amp;"65:"&amp;J$15&amp;$J$6),INDIRECT("'"&amp;$G$6&amp;"'!"&amp;"E65:E"&amp;$J$6),$B59,INDIRECT("'"&amp;$G$6&amp;"'!"&amp;"D65:D"&amp;$J$6),$C59),_xlfn.MINIFS(INDIRECT("'"&amp;$G$6&amp;"'!"&amp;J$15&amp;"65:"&amp;J$15&amp;$J$6),INDIRECT("'"&amp;$G$6&amp;"'!"&amp;"E65:E"&amp;$J$6),$B59,INDIRECT("'"&amp;$G$6&amp;"'!"&amp;"D65:D"&amp;$J$6),$C59)),INDEX(INDIRECT("'"&amp;$G$6&amp;"'!"&amp;J$15&amp;"65:"&amp;J$15&amp;$J$6),$D59))</f>
        <v>#N/A</v>
      </c>
      <c r="K59" s="75" t="e">
        <f ca="1">IF($G$7=K$14,IF($G$8="Max",_xlfn.MAXIFS(INDIRECT("'"&amp;$G$6&amp;"'!"&amp;K$15&amp;"65:"&amp;K$15&amp;$J$6),INDIRECT("'"&amp;$G$6&amp;"'!"&amp;"E65:E"&amp;$J$6),$B59,INDIRECT("'"&amp;$G$6&amp;"'!"&amp;"D65:D"&amp;$J$6),$C59),_xlfn.MINIFS(INDIRECT("'"&amp;$G$6&amp;"'!"&amp;K$15&amp;"65:"&amp;K$15&amp;$J$6),INDIRECT("'"&amp;$G$6&amp;"'!"&amp;"E65:E"&amp;$J$6),$B59,INDIRECT("'"&amp;$G$6&amp;"'!"&amp;"D65:D"&amp;$J$6),$C59)),INDEX(INDIRECT("'"&amp;$G$6&amp;"'!"&amp;K$15&amp;"65:"&amp;K$15&amp;$J$6),$D59))</f>
        <v>#N/A</v>
      </c>
      <c r="L59" s="75" t="e">
        <f ca="1">IF($G$7=L$14,IF($G$8="Max",_xlfn.MAXIFS(INDIRECT("'"&amp;$G$6&amp;"'!"&amp;L$15&amp;"65:"&amp;L$15&amp;$J$6),INDIRECT("'"&amp;$G$6&amp;"'!"&amp;"E65:E"&amp;$J$6),$B59,INDIRECT("'"&amp;$G$6&amp;"'!"&amp;"D65:D"&amp;$J$6),$C59),_xlfn.MINIFS(INDIRECT("'"&amp;$G$6&amp;"'!"&amp;L$15&amp;"65:"&amp;L$15&amp;$J$6),INDIRECT("'"&amp;$G$6&amp;"'!"&amp;"E65:E"&amp;$J$6),$B59,INDIRECT("'"&amp;$G$6&amp;"'!"&amp;"D65:D"&amp;$J$6),$C59)),INDEX(INDIRECT("'"&amp;$G$6&amp;"'!"&amp;L$15&amp;"65:"&amp;L$15&amp;$J$6),$D59))</f>
        <v>#N/A</v>
      </c>
      <c r="M59" s="69"/>
      <c r="N59" s="69"/>
      <c r="O59" s="69"/>
      <c r="P59" s="69"/>
      <c r="Q59" s="69"/>
      <c r="R59" s="69"/>
    </row>
    <row r="60" spans="1:18" x14ac:dyDescent="0.25">
      <c r="A60" s="91" t="str">
        <f t="shared" ref="A60:A67" si="17">A18</f>
        <v>P01C</v>
      </c>
      <c r="B60" s="99">
        <f>3</f>
        <v>3</v>
      </c>
      <c r="C60" s="99">
        <f ca="1">INDEX(INDIRECT("MemberID!G6:G"&amp;MemberID!$C$1),MATCH(Interface!A60,INDIRECT("MemberID!C6:C"&amp;MemberID!$C$1),0))</f>
        <v>0</v>
      </c>
      <c r="D60" s="99" t="e">
        <f t="shared" ref="D60:D67" ca="1" si="18">MATCH(INDIRECT($J$7&amp;ROW()),INDIRECT("'"&amp;$G$6&amp;"'!"&amp;$L$7&amp;"65:"&amp;$L$7&amp;$J$6),0)</f>
        <v>#N/A</v>
      </c>
      <c r="E60" s="100" t="str">
        <f t="shared" ref="E60:E67" si="19">E18</f>
        <v>-</v>
      </c>
      <c r="F60" s="87" t="e">
        <f t="shared" ref="F60:F67" ca="1" si="20">INDEX(INDIRECT("'"&amp;$G$6&amp;"'!"&amp;F$15&amp;"65:"&amp;F$15&amp;$J$6),$D60)</f>
        <v>#N/A</v>
      </c>
      <c r="G60" s="75">
        <f t="array" aca="1" ref="G60" ca="1">IF($G$7=G$14,IF($G$8="Max",_xlfn.MAXIFS(INDIRECT("'"&amp;$G$6&amp;"'!"&amp;G$15&amp;"65:"&amp;G$15&amp;$J$6),INDIRECT("'"&amp;$G$6&amp;"'!"&amp;"E65:E"&amp;$J$6),$B60,INDIRECT("'"&amp;$G$6&amp;"'!"&amp;"D65:D"&amp;$J$6),$C60),_xlfn.MINIFS(INDIRECT("'"&amp;$G$6&amp;"'!"&amp;G$15&amp;"65:"&amp;G$15&amp;$J$6),INDIRECT("'"&amp;$G$6&amp;"'!"&amp;"E65:E"&amp;$J$6),$B60,INDIRECT("'"&amp;$G$6&amp;"'!"&amp;"D65:D"&amp;$J$6),$C60)),INDEX(INDIRECT("'"&amp;$G$6&amp;"'!"&amp;G$15&amp;"65:"&amp;G$15&amp;$J$6),$D60))</f>
        <v>0</v>
      </c>
      <c r="H60" s="75" t="e">
        <f t="shared" ref="H60:L67" ca="1" si="21">IF($G$7=H$14,IF($G$8="Max",_xlfn.MAXIFS(INDIRECT("'"&amp;$G$6&amp;"'!"&amp;H$15&amp;"65:"&amp;H$15&amp;$J$6),INDIRECT("'"&amp;$G$6&amp;"'!"&amp;"E65:E"&amp;$J$6),$B60,INDIRECT("'"&amp;$G$6&amp;"'!"&amp;"D65:D"&amp;$J$6),$C60),_xlfn.MINIFS(INDIRECT("'"&amp;$G$6&amp;"'!"&amp;H$15&amp;"65:"&amp;H$15&amp;$J$6),INDIRECT("'"&amp;$G$6&amp;"'!"&amp;"E65:E"&amp;$J$6),$B60,INDIRECT("'"&amp;$G$6&amp;"'!"&amp;"D65:D"&amp;$J$6),$C60)),INDEX(INDIRECT("'"&amp;$G$6&amp;"'!"&amp;H$15&amp;"65:"&amp;H$15&amp;$J$6),$D60))</f>
        <v>#N/A</v>
      </c>
      <c r="I60" s="75" t="e">
        <f t="shared" ca="1" si="21"/>
        <v>#N/A</v>
      </c>
      <c r="J60" s="75" t="e">
        <f t="shared" ca="1" si="21"/>
        <v>#N/A</v>
      </c>
      <c r="K60" s="75" t="e">
        <f t="shared" ca="1" si="21"/>
        <v>#N/A</v>
      </c>
      <c r="L60" s="75" t="e">
        <f t="shared" ca="1" si="21"/>
        <v>#N/A</v>
      </c>
      <c r="M60" s="69"/>
      <c r="N60" s="69"/>
      <c r="O60" s="69"/>
      <c r="P60" s="69"/>
      <c r="Q60" s="69"/>
      <c r="R60" s="69"/>
    </row>
    <row r="61" spans="1:18" x14ac:dyDescent="0.25">
      <c r="A61" s="91" t="str">
        <f t="shared" si="17"/>
        <v>P01L</v>
      </c>
      <c r="B61" s="99">
        <f>3</f>
        <v>3</v>
      </c>
      <c r="C61" s="99">
        <f ca="1">INDEX(INDIRECT("MemberID!G6:G"&amp;MemberID!$C$1),MATCH(Interface!A61,INDIRECT("MemberID!C6:C"&amp;MemberID!$C$1),0))</f>
        <v>0</v>
      </c>
      <c r="D61" s="99" t="e">
        <f t="shared" ca="1" si="18"/>
        <v>#N/A</v>
      </c>
      <c r="E61" s="100" t="str">
        <f t="shared" si="19"/>
        <v>-</v>
      </c>
      <c r="F61" s="87" t="e">
        <f t="shared" ca="1" si="20"/>
        <v>#N/A</v>
      </c>
      <c r="G61" s="75">
        <f t="array" aca="1" ref="G61" ca="1">IF($G$7=G$14,IF($G$8="Max",_xlfn.MAXIFS(INDIRECT("'"&amp;$G$6&amp;"'!"&amp;G$15&amp;"65:"&amp;G$15&amp;$J$6),INDIRECT("'"&amp;$G$6&amp;"'!"&amp;"E65:E"&amp;$J$6),$B61,INDIRECT("'"&amp;$G$6&amp;"'!"&amp;"D65:D"&amp;$J$6),$C61),_xlfn.MINIFS(INDIRECT("'"&amp;$G$6&amp;"'!"&amp;G$15&amp;"65:"&amp;G$15&amp;$J$6),INDIRECT("'"&amp;$G$6&amp;"'!"&amp;"E65:E"&amp;$J$6),$B61,INDIRECT("'"&amp;$G$6&amp;"'!"&amp;"D65:D"&amp;$J$6),$C61)),INDEX(INDIRECT("'"&amp;$G$6&amp;"'!"&amp;G$15&amp;"65:"&amp;G$15&amp;$J$6),$D61))</f>
        <v>0</v>
      </c>
      <c r="H61" s="75" t="e">
        <f t="shared" ca="1" si="21"/>
        <v>#N/A</v>
      </c>
      <c r="I61" s="75" t="e">
        <f t="shared" ca="1" si="21"/>
        <v>#N/A</v>
      </c>
      <c r="J61" s="75" t="e">
        <f t="shared" ca="1" si="21"/>
        <v>#N/A</v>
      </c>
      <c r="K61" s="75" t="e">
        <f t="shared" ca="1" si="21"/>
        <v>#N/A</v>
      </c>
      <c r="L61" s="75" t="e">
        <f t="shared" ca="1" si="21"/>
        <v>#N/A</v>
      </c>
      <c r="M61" s="69"/>
      <c r="N61" s="69"/>
      <c r="O61" s="69"/>
      <c r="P61" s="69"/>
      <c r="Q61" s="69"/>
      <c r="R61" s="69"/>
    </row>
    <row r="62" spans="1:18" x14ac:dyDescent="0.25">
      <c r="A62" s="91" t="str">
        <f t="shared" si="17"/>
        <v>P02R</v>
      </c>
      <c r="B62" s="99">
        <f>3</f>
        <v>3</v>
      </c>
      <c r="C62" s="99">
        <f ca="1">INDEX(INDIRECT("MemberID!G6:G"&amp;MemberID!$C$1),MATCH(Interface!A62,INDIRECT("MemberID!C6:C"&amp;MemberID!$C$1),0))</f>
        <v>0</v>
      </c>
      <c r="D62" s="99" t="e">
        <f t="shared" ca="1" si="18"/>
        <v>#N/A</v>
      </c>
      <c r="E62" s="100" t="str">
        <f t="shared" si="19"/>
        <v>-</v>
      </c>
      <c r="F62" s="87" t="e">
        <f t="shared" ca="1" si="20"/>
        <v>#N/A</v>
      </c>
      <c r="G62" s="75">
        <f t="array" aca="1" ref="G62" ca="1">IF($G$7=G$14,IF($G$8="Max",_xlfn.MAXIFS(INDIRECT("'"&amp;$G$6&amp;"'!"&amp;G$15&amp;"65:"&amp;G$15&amp;$J$6),INDIRECT("'"&amp;$G$6&amp;"'!"&amp;"E65:E"&amp;$J$6),$B62,INDIRECT("'"&amp;$G$6&amp;"'!"&amp;"D65:D"&amp;$J$6),$C62),_xlfn.MINIFS(INDIRECT("'"&amp;$G$6&amp;"'!"&amp;G$15&amp;"65:"&amp;G$15&amp;$J$6),INDIRECT("'"&amp;$G$6&amp;"'!"&amp;"E65:E"&amp;$J$6),$B62,INDIRECT("'"&amp;$G$6&amp;"'!"&amp;"D65:D"&amp;$J$6),$C62)),INDEX(INDIRECT("'"&amp;$G$6&amp;"'!"&amp;G$15&amp;"65:"&amp;G$15&amp;$J$6),$D62))</f>
        <v>0</v>
      </c>
      <c r="H62" s="75" t="e">
        <f t="shared" ca="1" si="21"/>
        <v>#N/A</v>
      </c>
      <c r="I62" s="75" t="e">
        <f t="shared" ca="1" si="21"/>
        <v>#N/A</v>
      </c>
      <c r="J62" s="75" t="e">
        <f t="shared" ca="1" si="21"/>
        <v>#N/A</v>
      </c>
      <c r="K62" s="75" t="e">
        <f t="shared" ca="1" si="21"/>
        <v>#N/A</v>
      </c>
      <c r="L62" s="75" t="e">
        <f t="shared" ca="1" si="21"/>
        <v>#N/A</v>
      </c>
      <c r="M62" s="69"/>
      <c r="N62" s="69"/>
      <c r="O62" s="69"/>
      <c r="P62" s="69"/>
      <c r="Q62" s="69"/>
      <c r="R62" s="69"/>
    </row>
    <row r="63" spans="1:18" x14ac:dyDescent="0.25">
      <c r="A63" s="91" t="str">
        <f t="shared" si="17"/>
        <v>P02C</v>
      </c>
      <c r="B63" s="99">
        <f>3</f>
        <v>3</v>
      </c>
      <c r="C63" s="99">
        <f ca="1">INDEX(INDIRECT("MemberID!G6:G"&amp;MemberID!$C$1),MATCH(Interface!A63,INDIRECT("MemberID!C6:C"&amp;MemberID!$C$1),0))</f>
        <v>0</v>
      </c>
      <c r="D63" s="99" t="e">
        <f t="shared" ca="1" si="18"/>
        <v>#N/A</v>
      </c>
      <c r="E63" s="100" t="str">
        <f t="shared" si="19"/>
        <v>-</v>
      </c>
      <c r="F63" s="87" t="e">
        <f t="shared" ca="1" si="20"/>
        <v>#N/A</v>
      </c>
      <c r="G63" s="75">
        <f t="array" aca="1" ref="G63" ca="1">IF($G$7=G$14,IF($G$8="Max",_xlfn.MAXIFS(INDIRECT("'"&amp;$G$6&amp;"'!"&amp;G$15&amp;"65:"&amp;G$15&amp;$J$6),INDIRECT("'"&amp;$G$6&amp;"'!"&amp;"E65:E"&amp;$J$6),$B63,INDIRECT("'"&amp;$G$6&amp;"'!"&amp;"D65:D"&amp;$J$6),$C63),_xlfn.MINIFS(INDIRECT("'"&amp;$G$6&amp;"'!"&amp;G$15&amp;"65:"&amp;G$15&amp;$J$6),INDIRECT("'"&amp;$G$6&amp;"'!"&amp;"E65:E"&amp;$J$6),$B63,INDIRECT("'"&amp;$G$6&amp;"'!"&amp;"D65:D"&amp;$J$6),$C63)),INDEX(INDIRECT("'"&amp;$G$6&amp;"'!"&amp;G$15&amp;"65:"&amp;G$15&amp;$J$6),$D63))</f>
        <v>0</v>
      </c>
      <c r="H63" s="75" t="e">
        <f t="shared" ca="1" si="21"/>
        <v>#N/A</v>
      </c>
      <c r="I63" s="75" t="e">
        <f t="shared" ca="1" si="21"/>
        <v>#N/A</v>
      </c>
      <c r="J63" s="75" t="e">
        <f t="shared" ca="1" si="21"/>
        <v>#N/A</v>
      </c>
      <c r="K63" s="75" t="e">
        <f t="shared" ca="1" si="21"/>
        <v>#N/A</v>
      </c>
      <c r="L63" s="75" t="e">
        <f t="shared" ca="1" si="21"/>
        <v>#N/A</v>
      </c>
      <c r="M63" s="69"/>
      <c r="N63" s="69"/>
      <c r="O63" s="69"/>
      <c r="P63" s="69"/>
      <c r="Q63" s="69"/>
      <c r="R63" s="69"/>
    </row>
    <row r="64" spans="1:18" x14ac:dyDescent="0.25">
      <c r="A64" s="91" t="str">
        <f t="shared" si="17"/>
        <v>P02L</v>
      </c>
      <c r="B64" s="99">
        <f>3</f>
        <v>3</v>
      </c>
      <c r="C64" s="99">
        <f ca="1">INDEX(INDIRECT("MemberID!G6:G"&amp;MemberID!$C$1),MATCH(Interface!A64,INDIRECT("MemberID!C6:C"&amp;MemberID!$C$1),0))</f>
        <v>0</v>
      </c>
      <c r="D64" s="99" t="e">
        <f t="shared" ca="1" si="18"/>
        <v>#N/A</v>
      </c>
      <c r="E64" s="100" t="str">
        <f t="shared" si="19"/>
        <v>-</v>
      </c>
      <c r="F64" s="87" t="e">
        <f t="shared" ca="1" si="20"/>
        <v>#N/A</v>
      </c>
      <c r="G64" s="75">
        <f t="array" aca="1" ref="G64" ca="1">IF($G$7=G$14,IF($G$8="Max",_xlfn.MAXIFS(INDIRECT("'"&amp;$G$6&amp;"'!"&amp;G$15&amp;"65:"&amp;G$15&amp;$J$6),INDIRECT("'"&amp;$G$6&amp;"'!"&amp;"E65:E"&amp;$J$6),$B64,INDIRECT("'"&amp;$G$6&amp;"'!"&amp;"D65:D"&amp;$J$6),$C64),_xlfn.MINIFS(INDIRECT("'"&amp;$G$6&amp;"'!"&amp;G$15&amp;"65:"&amp;G$15&amp;$J$6),INDIRECT("'"&amp;$G$6&amp;"'!"&amp;"E65:E"&amp;$J$6),$B64,INDIRECT("'"&amp;$G$6&amp;"'!"&amp;"D65:D"&amp;$J$6),$C64)),INDEX(INDIRECT("'"&amp;$G$6&amp;"'!"&amp;G$15&amp;"65:"&amp;G$15&amp;$J$6),$D64))</f>
        <v>0</v>
      </c>
      <c r="H64" s="75" t="e">
        <f t="shared" ca="1" si="21"/>
        <v>#N/A</v>
      </c>
      <c r="I64" s="75" t="e">
        <f t="shared" ca="1" si="21"/>
        <v>#N/A</v>
      </c>
      <c r="J64" s="75" t="e">
        <f t="shared" ca="1" si="21"/>
        <v>#N/A</v>
      </c>
      <c r="K64" s="75" t="e">
        <f t="shared" ca="1" si="21"/>
        <v>#N/A</v>
      </c>
      <c r="L64" s="75" t="e">
        <f t="shared" ca="1" si="21"/>
        <v>#N/A</v>
      </c>
      <c r="M64" s="69"/>
      <c r="N64" s="69"/>
      <c r="O64" s="69"/>
      <c r="P64" s="69"/>
      <c r="Q64" s="69"/>
      <c r="R64" s="69"/>
    </row>
    <row r="65" spans="1:18" x14ac:dyDescent="0.25">
      <c r="A65" s="91" t="str">
        <f t="shared" si="17"/>
        <v>P03R</v>
      </c>
      <c r="B65" s="99">
        <f>3</f>
        <v>3</v>
      </c>
      <c r="C65" s="99">
        <f ca="1">INDEX(INDIRECT("MemberID!G6:G"&amp;MemberID!$C$1),MATCH(Interface!A65,INDIRECT("MemberID!C6:C"&amp;MemberID!$C$1),0))</f>
        <v>0</v>
      </c>
      <c r="D65" s="99" t="e">
        <f t="shared" ca="1" si="18"/>
        <v>#N/A</v>
      </c>
      <c r="E65" s="100" t="str">
        <f t="shared" si="19"/>
        <v>-</v>
      </c>
      <c r="F65" s="87" t="e">
        <f t="shared" ca="1" si="20"/>
        <v>#N/A</v>
      </c>
      <c r="G65" s="75">
        <f t="array" aca="1" ref="G65" ca="1">IF($G$7=G$14,IF($G$8="Max",_xlfn.MAXIFS(INDIRECT("'"&amp;$G$6&amp;"'!"&amp;G$15&amp;"65:"&amp;G$15&amp;$J$6),INDIRECT("'"&amp;$G$6&amp;"'!"&amp;"E65:E"&amp;$J$6),$B65,INDIRECT("'"&amp;$G$6&amp;"'!"&amp;"D65:D"&amp;$J$6),$C65),_xlfn.MINIFS(INDIRECT("'"&amp;$G$6&amp;"'!"&amp;G$15&amp;"65:"&amp;G$15&amp;$J$6),INDIRECT("'"&amp;$G$6&amp;"'!"&amp;"E65:E"&amp;$J$6),$B65,INDIRECT("'"&amp;$G$6&amp;"'!"&amp;"D65:D"&amp;$J$6),$C65)),INDEX(INDIRECT("'"&amp;$G$6&amp;"'!"&amp;G$15&amp;"65:"&amp;G$15&amp;$J$6),$D65))</f>
        <v>0</v>
      </c>
      <c r="H65" s="75" t="e">
        <f t="shared" ca="1" si="21"/>
        <v>#N/A</v>
      </c>
      <c r="I65" s="75" t="e">
        <f t="shared" ca="1" si="21"/>
        <v>#N/A</v>
      </c>
      <c r="J65" s="75" t="e">
        <f t="shared" ca="1" si="21"/>
        <v>#N/A</v>
      </c>
      <c r="K65" s="75" t="e">
        <f t="shared" ca="1" si="21"/>
        <v>#N/A</v>
      </c>
      <c r="L65" s="75" t="e">
        <f t="shared" ca="1" si="21"/>
        <v>#N/A</v>
      </c>
      <c r="M65" s="69"/>
      <c r="N65" s="69"/>
      <c r="O65" s="69"/>
      <c r="P65" s="69"/>
      <c r="Q65" s="69"/>
      <c r="R65" s="69"/>
    </row>
    <row r="66" spans="1:18" x14ac:dyDescent="0.25">
      <c r="A66" s="91" t="str">
        <f t="shared" si="17"/>
        <v>P03C</v>
      </c>
      <c r="B66" s="99">
        <f>3</f>
        <v>3</v>
      </c>
      <c r="C66" s="99">
        <f ca="1">INDEX(INDIRECT("MemberID!G6:G"&amp;MemberID!$C$1),MATCH(Interface!A66,INDIRECT("MemberID!C6:C"&amp;MemberID!$C$1),0))</f>
        <v>0</v>
      </c>
      <c r="D66" s="99" t="e">
        <f t="shared" ca="1" si="18"/>
        <v>#N/A</v>
      </c>
      <c r="E66" s="100" t="str">
        <f t="shared" si="19"/>
        <v>-</v>
      </c>
      <c r="F66" s="87" t="e">
        <f t="shared" ca="1" si="20"/>
        <v>#N/A</v>
      </c>
      <c r="G66" s="75">
        <f t="array" aca="1" ref="G66" ca="1">IF($G$7=G$14,IF($G$8="Max",_xlfn.MAXIFS(INDIRECT("'"&amp;$G$6&amp;"'!"&amp;G$15&amp;"65:"&amp;G$15&amp;$J$6),INDIRECT("'"&amp;$G$6&amp;"'!"&amp;"E65:E"&amp;$J$6),$B66,INDIRECT("'"&amp;$G$6&amp;"'!"&amp;"D65:D"&amp;$J$6),$C66),_xlfn.MINIFS(INDIRECT("'"&amp;$G$6&amp;"'!"&amp;G$15&amp;"65:"&amp;G$15&amp;$J$6),INDIRECT("'"&amp;$G$6&amp;"'!"&amp;"E65:E"&amp;$J$6),$B66,INDIRECT("'"&amp;$G$6&amp;"'!"&amp;"D65:D"&amp;$J$6),$C66)),INDEX(INDIRECT("'"&amp;$G$6&amp;"'!"&amp;G$15&amp;"65:"&amp;G$15&amp;$J$6),$D66))</f>
        <v>0</v>
      </c>
      <c r="H66" s="75" t="e">
        <f t="shared" ca="1" si="21"/>
        <v>#N/A</v>
      </c>
      <c r="I66" s="75" t="e">
        <f t="shared" ca="1" si="21"/>
        <v>#N/A</v>
      </c>
      <c r="J66" s="75" t="e">
        <f t="shared" ca="1" si="21"/>
        <v>#N/A</v>
      </c>
      <c r="K66" s="75" t="e">
        <f t="shared" ca="1" si="21"/>
        <v>#N/A</v>
      </c>
      <c r="L66" s="75" t="e">
        <f t="shared" ca="1" si="21"/>
        <v>#N/A</v>
      </c>
      <c r="M66" s="69"/>
      <c r="N66" s="69"/>
      <c r="O66" s="69"/>
      <c r="P66" s="69"/>
      <c r="Q66" s="69"/>
      <c r="R66" s="69"/>
    </row>
    <row r="67" spans="1:18" x14ac:dyDescent="0.25">
      <c r="A67" s="91" t="str">
        <f t="shared" si="17"/>
        <v>P03L</v>
      </c>
      <c r="B67" s="99">
        <f>3</f>
        <v>3</v>
      </c>
      <c r="C67" s="99">
        <f ca="1">INDEX(INDIRECT("MemberID!G6:G"&amp;MemberID!$C$1),MATCH(Interface!A67,INDIRECT("MemberID!C6:C"&amp;MemberID!$C$1),0))</f>
        <v>0</v>
      </c>
      <c r="D67" s="99" t="e">
        <f t="shared" ca="1" si="18"/>
        <v>#N/A</v>
      </c>
      <c r="E67" s="100" t="str">
        <f t="shared" si="19"/>
        <v>-</v>
      </c>
      <c r="F67" s="87" t="e">
        <f t="shared" ca="1" si="20"/>
        <v>#N/A</v>
      </c>
      <c r="G67" s="75">
        <f t="array" aca="1" ref="G67" ca="1">IF($G$7=G$14,IF($G$8="Max",_xlfn.MAXIFS(INDIRECT("'"&amp;$G$6&amp;"'!"&amp;G$15&amp;"65:"&amp;G$15&amp;$J$6),INDIRECT("'"&amp;$G$6&amp;"'!"&amp;"E65:E"&amp;$J$6),$B67,INDIRECT("'"&amp;$G$6&amp;"'!"&amp;"D65:D"&amp;$J$6),$C67),_xlfn.MINIFS(INDIRECT("'"&amp;$G$6&amp;"'!"&amp;G$15&amp;"65:"&amp;G$15&amp;$J$6),INDIRECT("'"&amp;$G$6&amp;"'!"&amp;"E65:E"&amp;$J$6),$B67,INDIRECT("'"&amp;$G$6&amp;"'!"&amp;"D65:D"&amp;$J$6),$C67)),INDEX(INDIRECT("'"&amp;$G$6&amp;"'!"&amp;G$15&amp;"65:"&amp;G$15&amp;$J$6),$D67))</f>
        <v>0</v>
      </c>
      <c r="H67" s="75" t="e">
        <f t="shared" ca="1" si="21"/>
        <v>#N/A</v>
      </c>
      <c r="I67" s="75" t="e">
        <f t="shared" ca="1" si="21"/>
        <v>#N/A</v>
      </c>
      <c r="J67" s="75" t="e">
        <f t="shared" ca="1" si="21"/>
        <v>#N/A</v>
      </c>
      <c r="K67" s="75" t="e">
        <f t="shared" ca="1" si="21"/>
        <v>#N/A</v>
      </c>
      <c r="L67" s="75" t="e">
        <f t="shared" ca="1" si="21"/>
        <v>#N/A</v>
      </c>
      <c r="M67" s="69"/>
      <c r="N67" s="69"/>
      <c r="O67" s="69"/>
      <c r="P67" s="69"/>
      <c r="Q67" s="69"/>
      <c r="R67" s="69"/>
    </row>
    <row r="69" spans="1:18" x14ac:dyDescent="0.25">
      <c r="A69" s="108" t="s">
        <v>273</v>
      </c>
      <c r="B69" s="108"/>
      <c r="C69" s="108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</row>
    <row r="70" spans="1:18" x14ac:dyDescent="0.25">
      <c r="A70" s="91" t="s">
        <v>13</v>
      </c>
      <c r="B70" s="99" t="s">
        <v>191</v>
      </c>
      <c r="C70" s="99" t="s">
        <v>219</v>
      </c>
      <c r="D70" s="99" t="s">
        <v>226</v>
      </c>
      <c r="E70" s="111" t="s">
        <v>258</v>
      </c>
      <c r="F70" s="91" t="s">
        <v>261</v>
      </c>
      <c r="G70" s="91" t="s">
        <v>123</v>
      </c>
      <c r="H70" s="91" t="s">
        <v>124</v>
      </c>
      <c r="I70" s="91" t="s">
        <v>125</v>
      </c>
      <c r="J70" s="91" t="s">
        <v>126</v>
      </c>
      <c r="K70" s="91" t="s">
        <v>127</v>
      </c>
      <c r="L70" s="91" t="s">
        <v>128</v>
      </c>
      <c r="M70" s="99" t="s">
        <v>220</v>
      </c>
      <c r="N70" s="99" t="s">
        <v>221</v>
      </c>
      <c r="O70" s="99" t="s">
        <v>222</v>
      </c>
      <c r="P70" s="99" t="s">
        <v>223</v>
      </c>
      <c r="Q70" s="99" t="s">
        <v>224</v>
      </c>
      <c r="R70" s="99" t="s">
        <v>225</v>
      </c>
    </row>
    <row r="71" spans="1:18" x14ac:dyDescent="0.25">
      <c r="A71" s="91"/>
      <c r="B71" s="99" t="str">
        <f>SUBSTITUTE(ADDRESS(1,COLUMN('STR1 Forces'!E119),4),"1","")</f>
        <v>E</v>
      </c>
      <c r="C71" s="99" t="str">
        <f>SUBSTITUTE(ADDRESS(1,COLUMN('STR1 Forces'!D119),4),"1","")</f>
        <v>D</v>
      </c>
      <c r="D71" s="99"/>
      <c r="E71" s="91"/>
      <c r="F71" s="99" t="str">
        <f>SUBSTITUTE(ADDRESS(1,COLUMN('STR1 Forces'!I119),4),"1","")</f>
        <v>I</v>
      </c>
      <c r="G71" s="99" t="str">
        <f>SUBSTITUTE(ADDRESS(1,COLUMN('STR1 Forces'!J119),4),"1","")</f>
        <v>J</v>
      </c>
      <c r="H71" s="99" t="str">
        <f>SUBSTITUTE(ADDRESS(1,COLUMN('STR1 Forces'!K119),4),"1","")</f>
        <v>K</v>
      </c>
      <c r="I71" s="99" t="str">
        <f>SUBSTITUTE(ADDRESS(1,COLUMN('STR1 Forces'!L119),4),"1","")</f>
        <v>L</v>
      </c>
      <c r="J71" s="99" t="str">
        <f>SUBSTITUTE(ADDRESS(1,COLUMN('STR1 Forces'!M119),4),"1","")</f>
        <v>M</v>
      </c>
      <c r="K71" s="99" t="str">
        <f>SUBSTITUTE(ADDRESS(1,COLUMN('STR1 Forces'!N119),4),"1","")</f>
        <v>N</v>
      </c>
      <c r="L71" s="99" t="str">
        <f>SUBSTITUTE(ADDRESS(1,COLUMN('STR1 Forces'!O119),4),"1","")</f>
        <v>O</v>
      </c>
      <c r="M71" s="69"/>
      <c r="N71" s="69"/>
      <c r="O71" s="69"/>
      <c r="P71" s="69"/>
      <c r="Q71" s="69"/>
      <c r="R71" s="69"/>
    </row>
    <row r="72" spans="1:18" x14ac:dyDescent="0.25">
      <c r="A72" s="91" t="str">
        <f>$G$8</f>
        <v>Max</v>
      </c>
      <c r="B72" s="75"/>
      <c r="C72" s="75"/>
      <c r="D72" s="75"/>
      <c r="E72" s="75"/>
      <c r="F72" s="75"/>
      <c r="G72" s="75">
        <f ca="1">IF($G$8="Max",MAX(G73:G81),MIN(G73:G81))</f>
        <v>0</v>
      </c>
      <c r="H72" s="75" t="e">
        <f t="shared" ref="H72:L72" ca="1" si="22">MAX(H73)</f>
        <v>#N/A</v>
      </c>
      <c r="I72" s="75" t="e">
        <f t="shared" ca="1" si="22"/>
        <v>#N/A</v>
      </c>
      <c r="J72" s="75" t="e">
        <f t="shared" ca="1" si="22"/>
        <v>#N/A</v>
      </c>
      <c r="K72" s="75" t="e">
        <f t="shared" ca="1" si="22"/>
        <v>#N/A</v>
      </c>
      <c r="L72" s="75" t="e">
        <f t="shared" ca="1" si="22"/>
        <v>#N/A</v>
      </c>
      <c r="M72" s="69"/>
      <c r="N72" s="69"/>
      <c r="O72" s="69"/>
      <c r="P72" s="69"/>
      <c r="Q72" s="69"/>
      <c r="R72" s="69"/>
    </row>
    <row r="73" spans="1:18" x14ac:dyDescent="0.25">
      <c r="A73" s="91" t="str">
        <f>A17</f>
        <v>P01R</v>
      </c>
      <c r="B73" s="99">
        <f>4</f>
        <v>4</v>
      </c>
      <c r="C73" s="99">
        <f ca="1">INDEX(INDIRECT("MemberID!G6:G"&amp;MemberID!$C$1),MATCH(Interface!A73,INDIRECT("MemberID!C6:C"&amp;MemberID!$C$1),0))</f>
        <v>0</v>
      </c>
      <c r="D73" s="99" t="e">
        <f ca="1">MATCH(INDIRECT($J$7&amp;ROW()),INDIRECT("'"&amp;$G$6&amp;"'!"&amp;$L$7&amp;"65:"&amp;$L$7&amp;$J$6),0)</f>
        <v>#N/A</v>
      </c>
      <c r="E73" s="100" t="str">
        <f>E17</f>
        <v>-</v>
      </c>
      <c r="F73" s="87" t="e">
        <f ca="1">INDEX(INDIRECT("'"&amp;$G$6&amp;"'!"&amp;F$15&amp;"65:"&amp;F$15&amp;$J$6),$D73)</f>
        <v>#N/A</v>
      </c>
      <c r="G73" s="75">
        <f t="array" aca="1" ref="G73" ca="1">IF($G$7=G$14,IF($G$8="Max",_xlfn.MAXIFS(INDIRECT("'"&amp;$G$6&amp;"'!"&amp;G$15&amp;"65:"&amp;G$15&amp;$J$6),INDIRECT("'"&amp;$G$6&amp;"'!"&amp;"E65:E"&amp;$J$6),$B73,INDIRECT("'"&amp;$G$6&amp;"'!"&amp;"D65:D"&amp;$J$6),$C73),_xlfn.MINIFS(INDIRECT("'"&amp;$G$6&amp;"'!"&amp;G$15&amp;"65:"&amp;G$15&amp;$J$6),INDIRECT("'"&amp;$G$6&amp;"'!"&amp;"E65:E"&amp;$J$6),$B73,INDIRECT("'"&amp;$G$6&amp;"'!"&amp;"D65:D"&amp;$J$6),$C73)),INDEX(INDIRECT("'"&amp;$G$6&amp;"'!"&amp;G$15&amp;"65:"&amp;G$15&amp;$J$6),$D73))</f>
        <v>0</v>
      </c>
      <c r="H73" s="75" t="e">
        <f ca="1">IF($G$7=H$14,IF($G$8="Max",_xlfn.MAXIFS(INDIRECT("'"&amp;$G$6&amp;"'!"&amp;H$15&amp;"65:"&amp;H$15&amp;$J$6),INDIRECT("'"&amp;$G$6&amp;"'!"&amp;"E65:E"&amp;$J$6),$B73,INDIRECT("'"&amp;$G$6&amp;"'!"&amp;"D65:D"&amp;$J$6),$C73),_xlfn.MINIFS(INDIRECT("'"&amp;$G$6&amp;"'!"&amp;H$15&amp;"65:"&amp;H$15&amp;$J$6),INDIRECT("'"&amp;$G$6&amp;"'!"&amp;"E65:E"&amp;$J$6),$B73,INDIRECT("'"&amp;$G$6&amp;"'!"&amp;"D65:D"&amp;$J$6),$C73)),INDEX(INDIRECT("'"&amp;$G$6&amp;"'!"&amp;H$15&amp;"65:"&amp;H$15&amp;$J$6),$D73))</f>
        <v>#N/A</v>
      </c>
      <c r="I73" s="75" t="e">
        <f ca="1">IF($G$7=I$14,IF($G$8="Max",_xlfn.MAXIFS(INDIRECT("'"&amp;$G$6&amp;"'!"&amp;I$15&amp;"65:"&amp;I$15&amp;$J$6),INDIRECT("'"&amp;$G$6&amp;"'!"&amp;"E65:E"&amp;$J$6),$B73,INDIRECT("'"&amp;$G$6&amp;"'!"&amp;"D65:D"&amp;$J$6),$C73),_xlfn.MINIFS(INDIRECT("'"&amp;$G$6&amp;"'!"&amp;I$15&amp;"65:"&amp;I$15&amp;$J$6),INDIRECT("'"&amp;$G$6&amp;"'!"&amp;"E65:E"&amp;$J$6),$B73,INDIRECT("'"&amp;$G$6&amp;"'!"&amp;"D65:D"&amp;$J$6),$C73)),INDEX(INDIRECT("'"&amp;$G$6&amp;"'!"&amp;I$15&amp;"65:"&amp;I$15&amp;$J$6),$D73))</f>
        <v>#N/A</v>
      </c>
      <c r="J73" s="75" t="e">
        <f ca="1">IF($G$7=J$14,IF($G$8="Max",_xlfn.MAXIFS(INDIRECT("'"&amp;$G$6&amp;"'!"&amp;J$15&amp;"65:"&amp;J$15&amp;$J$6),INDIRECT("'"&amp;$G$6&amp;"'!"&amp;"E65:E"&amp;$J$6),$B73,INDIRECT("'"&amp;$G$6&amp;"'!"&amp;"D65:D"&amp;$J$6),$C73),_xlfn.MINIFS(INDIRECT("'"&amp;$G$6&amp;"'!"&amp;J$15&amp;"65:"&amp;J$15&amp;$J$6),INDIRECT("'"&amp;$G$6&amp;"'!"&amp;"E65:E"&amp;$J$6),$B73,INDIRECT("'"&amp;$G$6&amp;"'!"&amp;"D65:D"&amp;$J$6),$C73)),INDEX(INDIRECT("'"&amp;$G$6&amp;"'!"&amp;J$15&amp;"65:"&amp;J$15&amp;$J$6),$D73))</f>
        <v>#N/A</v>
      </c>
      <c r="K73" s="75" t="e">
        <f ca="1">IF($G$7=K$14,IF($G$8="Max",_xlfn.MAXIFS(INDIRECT("'"&amp;$G$6&amp;"'!"&amp;K$15&amp;"65:"&amp;K$15&amp;$J$6),INDIRECT("'"&amp;$G$6&amp;"'!"&amp;"E65:E"&amp;$J$6),$B73,INDIRECT("'"&amp;$G$6&amp;"'!"&amp;"D65:D"&amp;$J$6),$C73),_xlfn.MINIFS(INDIRECT("'"&amp;$G$6&amp;"'!"&amp;K$15&amp;"65:"&amp;K$15&amp;$J$6),INDIRECT("'"&amp;$G$6&amp;"'!"&amp;"E65:E"&amp;$J$6),$B73,INDIRECT("'"&amp;$G$6&amp;"'!"&amp;"D65:D"&amp;$J$6),$C73)),INDEX(INDIRECT("'"&amp;$G$6&amp;"'!"&amp;K$15&amp;"65:"&amp;K$15&amp;$J$6),$D73))</f>
        <v>#N/A</v>
      </c>
      <c r="L73" s="75" t="e">
        <f ca="1">IF($G$7=L$14,IF($G$8="Max",_xlfn.MAXIFS(INDIRECT("'"&amp;$G$6&amp;"'!"&amp;L$15&amp;"65:"&amp;L$15&amp;$J$6),INDIRECT("'"&amp;$G$6&amp;"'!"&amp;"E65:E"&amp;$J$6),$B73,INDIRECT("'"&amp;$G$6&amp;"'!"&amp;"D65:D"&amp;$J$6),$C73),_xlfn.MINIFS(INDIRECT("'"&amp;$G$6&amp;"'!"&amp;L$15&amp;"65:"&amp;L$15&amp;$J$6),INDIRECT("'"&amp;$G$6&amp;"'!"&amp;"E65:E"&amp;$J$6),$B73,INDIRECT("'"&amp;$G$6&amp;"'!"&amp;"D65:D"&amp;$J$6),$C73)),INDEX(INDIRECT("'"&amp;$G$6&amp;"'!"&amp;L$15&amp;"65:"&amp;L$15&amp;$J$6),$D73))</f>
        <v>#N/A</v>
      </c>
      <c r="M73" s="69"/>
      <c r="N73" s="69"/>
      <c r="O73" s="69"/>
      <c r="P73" s="69"/>
      <c r="Q73" s="69"/>
      <c r="R73" s="69"/>
    </row>
    <row r="74" spans="1:18" x14ac:dyDescent="0.25">
      <c r="A74" s="91" t="str">
        <f t="shared" ref="A74:A81" si="23">A18</f>
        <v>P01C</v>
      </c>
      <c r="B74" s="99">
        <f>4</f>
        <v>4</v>
      </c>
      <c r="C74" s="99">
        <f ca="1">INDEX(INDIRECT("MemberID!G6:G"&amp;MemberID!$C$1),MATCH(Interface!A74,INDIRECT("MemberID!C6:C"&amp;MemberID!$C$1),0))</f>
        <v>0</v>
      </c>
      <c r="D74" s="99" t="e">
        <f t="shared" ref="D74:D81" ca="1" si="24">MATCH(INDIRECT($J$7&amp;ROW()),INDIRECT("'"&amp;$G$6&amp;"'!"&amp;$L$7&amp;"65:"&amp;$L$7&amp;$J$6),0)</f>
        <v>#N/A</v>
      </c>
      <c r="E74" s="100" t="str">
        <f t="shared" ref="E74:E81" si="25">E18</f>
        <v>-</v>
      </c>
      <c r="F74" s="87" t="e">
        <f t="shared" ref="F74:F81" ca="1" si="26">INDEX(INDIRECT("'"&amp;$G$6&amp;"'!"&amp;F$15&amp;"65:"&amp;F$15&amp;$J$6),$D74)</f>
        <v>#N/A</v>
      </c>
      <c r="G74" s="75">
        <f t="array" aca="1" ref="G74" ca="1">IF($G$7=G$14,IF($G$8="Max",_xlfn.MAXIFS(INDIRECT("'"&amp;$G$6&amp;"'!"&amp;G$15&amp;"65:"&amp;G$15&amp;$J$6),INDIRECT("'"&amp;$G$6&amp;"'!"&amp;"E65:E"&amp;$J$6),$B74,INDIRECT("'"&amp;$G$6&amp;"'!"&amp;"D65:D"&amp;$J$6),$C74),_xlfn.MINIFS(INDIRECT("'"&amp;$G$6&amp;"'!"&amp;G$15&amp;"65:"&amp;G$15&amp;$J$6),INDIRECT("'"&amp;$G$6&amp;"'!"&amp;"E65:E"&amp;$J$6),$B74,INDIRECT("'"&amp;$G$6&amp;"'!"&amp;"D65:D"&amp;$J$6),$C74)),INDEX(INDIRECT("'"&amp;$G$6&amp;"'!"&amp;G$15&amp;"65:"&amp;G$15&amp;$J$6),$D74))</f>
        <v>0</v>
      </c>
      <c r="H74" s="75" t="e">
        <f t="shared" ref="H74:L81" ca="1" si="27">IF($G$7=H$14,IF($G$8="Max",_xlfn.MAXIFS(INDIRECT("'"&amp;$G$6&amp;"'!"&amp;H$15&amp;"65:"&amp;H$15&amp;$J$6),INDIRECT("'"&amp;$G$6&amp;"'!"&amp;"E65:E"&amp;$J$6),$B74,INDIRECT("'"&amp;$G$6&amp;"'!"&amp;"D65:D"&amp;$J$6),$C74),_xlfn.MINIFS(INDIRECT("'"&amp;$G$6&amp;"'!"&amp;H$15&amp;"65:"&amp;H$15&amp;$J$6),INDIRECT("'"&amp;$G$6&amp;"'!"&amp;"E65:E"&amp;$J$6),$B74,INDIRECT("'"&amp;$G$6&amp;"'!"&amp;"D65:D"&amp;$J$6),$C74)),INDEX(INDIRECT("'"&amp;$G$6&amp;"'!"&amp;H$15&amp;"65:"&amp;H$15&amp;$J$6),$D74))</f>
        <v>#N/A</v>
      </c>
      <c r="I74" s="75" t="e">
        <f t="shared" ca="1" si="27"/>
        <v>#N/A</v>
      </c>
      <c r="J74" s="75" t="e">
        <f t="shared" ca="1" si="27"/>
        <v>#N/A</v>
      </c>
      <c r="K74" s="75" t="e">
        <f t="shared" ca="1" si="27"/>
        <v>#N/A</v>
      </c>
      <c r="L74" s="75" t="e">
        <f t="shared" ca="1" si="27"/>
        <v>#N/A</v>
      </c>
      <c r="M74" s="69"/>
      <c r="N74" s="69"/>
      <c r="O74" s="69"/>
      <c r="P74" s="69"/>
      <c r="Q74" s="69"/>
      <c r="R74" s="69"/>
    </row>
    <row r="75" spans="1:18" x14ac:dyDescent="0.25">
      <c r="A75" s="91" t="str">
        <f t="shared" si="23"/>
        <v>P01L</v>
      </c>
      <c r="B75" s="99">
        <f>4</f>
        <v>4</v>
      </c>
      <c r="C75" s="99">
        <f ca="1">INDEX(INDIRECT("MemberID!G6:G"&amp;MemberID!$C$1),MATCH(Interface!A75,INDIRECT("MemberID!C6:C"&amp;MemberID!$C$1),0))</f>
        <v>0</v>
      </c>
      <c r="D75" s="99" t="e">
        <f t="shared" ca="1" si="24"/>
        <v>#N/A</v>
      </c>
      <c r="E75" s="100" t="str">
        <f t="shared" si="25"/>
        <v>-</v>
      </c>
      <c r="F75" s="87" t="e">
        <f t="shared" ca="1" si="26"/>
        <v>#N/A</v>
      </c>
      <c r="G75" s="75">
        <f t="array" aca="1" ref="G75" ca="1">IF($G$7=G$14,IF($G$8="Max",_xlfn.MAXIFS(INDIRECT("'"&amp;$G$6&amp;"'!"&amp;G$15&amp;"65:"&amp;G$15&amp;$J$6),INDIRECT("'"&amp;$G$6&amp;"'!"&amp;"E65:E"&amp;$J$6),$B75,INDIRECT("'"&amp;$G$6&amp;"'!"&amp;"D65:D"&amp;$J$6),$C75),_xlfn.MINIFS(INDIRECT("'"&amp;$G$6&amp;"'!"&amp;G$15&amp;"65:"&amp;G$15&amp;$J$6),INDIRECT("'"&amp;$G$6&amp;"'!"&amp;"E65:E"&amp;$J$6),$B75,INDIRECT("'"&amp;$G$6&amp;"'!"&amp;"D65:D"&amp;$J$6),$C75)),INDEX(INDIRECT("'"&amp;$G$6&amp;"'!"&amp;G$15&amp;"65:"&amp;G$15&amp;$J$6),$D75))</f>
        <v>0</v>
      </c>
      <c r="H75" s="75" t="e">
        <f t="shared" ca="1" si="27"/>
        <v>#N/A</v>
      </c>
      <c r="I75" s="75" t="e">
        <f t="shared" ca="1" si="27"/>
        <v>#N/A</v>
      </c>
      <c r="J75" s="75" t="e">
        <f t="shared" ca="1" si="27"/>
        <v>#N/A</v>
      </c>
      <c r="K75" s="75" t="e">
        <f t="shared" ca="1" si="27"/>
        <v>#N/A</v>
      </c>
      <c r="L75" s="75" t="e">
        <f t="shared" ca="1" si="27"/>
        <v>#N/A</v>
      </c>
      <c r="M75" s="69"/>
      <c r="N75" s="69"/>
      <c r="O75" s="69"/>
      <c r="P75" s="69"/>
      <c r="Q75" s="69"/>
      <c r="R75" s="69"/>
    </row>
    <row r="76" spans="1:18" x14ac:dyDescent="0.25">
      <c r="A76" s="91" t="str">
        <f t="shared" si="23"/>
        <v>P02R</v>
      </c>
      <c r="B76" s="99">
        <f>4</f>
        <v>4</v>
      </c>
      <c r="C76" s="99">
        <f ca="1">INDEX(INDIRECT("MemberID!G6:G"&amp;MemberID!$C$1),MATCH(Interface!A76,INDIRECT("MemberID!C6:C"&amp;MemberID!$C$1),0))</f>
        <v>0</v>
      </c>
      <c r="D76" s="99" t="e">
        <f t="shared" ca="1" si="24"/>
        <v>#N/A</v>
      </c>
      <c r="E76" s="100" t="str">
        <f t="shared" si="25"/>
        <v>-</v>
      </c>
      <c r="F76" s="87" t="e">
        <f t="shared" ca="1" si="26"/>
        <v>#N/A</v>
      </c>
      <c r="G76" s="75">
        <f t="array" aca="1" ref="G76" ca="1">IF($G$7=G$14,IF($G$8="Max",_xlfn.MAXIFS(INDIRECT("'"&amp;$G$6&amp;"'!"&amp;G$15&amp;"65:"&amp;G$15&amp;$J$6),INDIRECT("'"&amp;$G$6&amp;"'!"&amp;"E65:E"&amp;$J$6),$B76,INDIRECT("'"&amp;$G$6&amp;"'!"&amp;"D65:D"&amp;$J$6),$C76),_xlfn.MINIFS(INDIRECT("'"&amp;$G$6&amp;"'!"&amp;G$15&amp;"65:"&amp;G$15&amp;$J$6),INDIRECT("'"&amp;$G$6&amp;"'!"&amp;"E65:E"&amp;$J$6),$B76,INDIRECT("'"&amp;$G$6&amp;"'!"&amp;"D65:D"&amp;$J$6),$C76)),INDEX(INDIRECT("'"&amp;$G$6&amp;"'!"&amp;G$15&amp;"65:"&amp;G$15&amp;$J$6),$D76))</f>
        <v>0</v>
      </c>
      <c r="H76" s="75" t="e">
        <f t="shared" ca="1" si="27"/>
        <v>#N/A</v>
      </c>
      <c r="I76" s="75" t="e">
        <f t="shared" ca="1" si="27"/>
        <v>#N/A</v>
      </c>
      <c r="J76" s="75" t="e">
        <f t="shared" ca="1" si="27"/>
        <v>#N/A</v>
      </c>
      <c r="K76" s="75" t="e">
        <f t="shared" ca="1" si="27"/>
        <v>#N/A</v>
      </c>
      <c r="L76" s="75" t="e">
        <f t="shared" ca="1" si="27"/>
        <v>#N/A</v>
      </c>
      <c r="M76" s="69"/>
      <c r="N76" s="69"/>
      <c r="O76" s="69"/>
      <c r="P76" s="69"/>
      <c r="Q76" s="69"/>
      <c r="R76" s="69"/>
    </row>
    <row r="77" spans="1:18" x14ac:dyDescent="0.25">
      <c r="A77" s="91" t="str">
        <f t="shared" si="23"/>
        <v>P02C</v>
      </c>
      <c r="B77" s="99">
        <f>4</f>
        <v>4</v>
      </c>
      <c r="C77" s="99">
        <f ca="1">INDEX(INDIRECT("MemberID!G6:G"&amp;MemberID!$C$1),MATCH(Interface!A77,INDIRECT("MemberID!C6:C"&amp;MemberID!$C$1),0))</f>
        <v>0</v>
      </c>
      <c r="D77" s="99" t="e">
        <f t="shared" ca="1" si="24"/>
        <v>#N/A</v>
      </c>
      <c r="E77" s="100" t="str">
        <f t="shared" si="25"/>
        <v>-</v>
      </c>
      <c r="F77" s="87" t="e">
        <f t="shared" ca="1" si="26"/>
        <v>#N/A</v>
      </c>
      <c r="G77" s="75">
        <f t="array" aca="1" ref="G77" ca="1">IF($G$7=G$14,IF($G$8="Max",_xlfn.MAXIFS(INDIRECT("'"&amp;$G$6&amp;"'!"&amp;G$15&amp;"65:"&amp;G$15&amp;$J$6),INDIRECT("'"&amp;$G$6&amp;"'!"&amp;"E65:E"&amp;$J$6),$B77,INDIRECT("'"&amp;$G$6&amp;"'!"&amp;"D65:D"&amp;$J$6),$C77),_xlfn.MINIFS(INDIRECT("'"&amp;$G$6&amp;"'!"&amp;G$15&amp;"65:"&amp;G$15&amp;$J$6),INDIRECT("'"&amp;$G$6&amp;"'!"&amp;"E65:E"&amp;$J$6),$B77,INDIRECT("'"&amp;$G$6&amp;"'!"&amp;"D65:D"&amp;$J$6),$C77)),INDEX(INDIRECT("'"&amp;$G$6&amp;"'!"&amp;G$15&amp;"65:"&amp;G$15&amp;$J$6),$D77))</f>
        <v>0</v>
      </c>
      <c r="H77" s="75" t="e">
        <f t="shared" ca="1" si="27"/>
        <v>#N/A</v>
      </c>
      <c r="I77" s="75" t="e">
        <f t="shared" ca="1" si="27"/>
        <v>#N/A</v>
      </c>
      <c r="J77" s="75" t="e">
        <f t="shared" ca="1" si="27"/>
        <v>#N/A</v>
      </c>
      <c r="K77" s="75" t="e">
        <f t="shared" ca="1" si="27"/>
        <v>#N/A</v>
      </c>
      <c r="L77" s="75" t="e">
        <f t="shared" ca="1" si="27"/>
        <v>#N/A</v>
      </c>
      <c r="M77" s="69"/>
      <c r="N77" s="69"/>
      <c r="O77" s="69"/>
      <c r="P77" s="69"/>
      <c r="Q77" s="69"/>
      <c r="R77" s="69"/>
    </row>
    <row r="78" spans="1:18" x14ac:dyDescent="0.25">
      <c r="A78" s="91" t="str">
        <f t="shared" si="23"/>
        <v>P02L</v>
      </c>
      <c r="B78" s="99">
        <f>4</f>
        <v>4</v>
      </c>
      <c r="C78" s="99">
        <f ca="1">INDEX(INDIRECT("MemberID!G6:G"&amp;MemberID!$C$1),MATCH(Interface!A78,INDIRECT("MemberID!C6:C"&amp;MemberID!$C$1),0))</f>
        <v>0</v>
      </c>
      <c r="D78" s="99" t="e">
        <f t="shared" ca="1" si="24"/>
        <v>#N/A</v>
      </c>
      <c r="E78" s="100" t="str">
        <f t="shared" si="25"/>
        <v>-</v>
      </c>
      <c r="F78" s="87" t="e">
        <f t="shared" ca="1" si="26"/>
        <v>#N/A</v>
      </c>
      <c r="G78" s="75">
        <f t="array" aca="1" ref="G78" ca="1">IF($G$7=G$14,IF($G$8="Max",_xlfn.MAXIFS(INDIRECT("'"&amp;$G$6&amp;"'!"&amp;G$15&amp;"65:"&amp;G$15&amp;$J$6),INDIRECT("'"&amp;$G$6&amp;"'!"&amp;"E65:E"&amp;$J$6),$B78,INDIRECT("'"&amp;$G$6&amp;"'!"&amp;"D65:D"&amp;$J$6),$C78),_xlfn.MINIFS(INDIRECT("'"&amp;$G$6&amp;"'!"&amp;G$15&amp;"65:"&amp;G$15&amp;$J$6),INDIRECT("'"&amp;$G$6&amp;"'!"&amp;"E65:E"&amp;$J$6),$B78,INDIRECT("'"&amp;$G$6&amp;"'!"&amp;"D65:D"&amp;$J$6),$C78)),INDEX(INDIRECT("'"&amp;$G$6&amp;"'!"&amp;G$15&amp;"65:"&amp;G$15&amp;$J$6),$D78))</f>
        <v>0</v>
      </c>
      <c r="H78" s="75" t="e">
        <f t="shared" ca="1" si="27"/>
        <v>#N/A</v>
      </c>
      <c r="I78" s="75" t="e">
        <f t="shared" ca="1" si="27"/>
        <v>#N/A</v>
      </c>
      <c r="J78" s="75" t="e">
        <f t="shared" ca="1" si="27"/>
        <v>#N/A</v>
      </c>
      <c r="K78" s="75" t="e">
        <f t="shared" ca="1" si="27"/>
        <v>#N/A</v>
      </c>
      <c r="L78" s="75" t="e">
        <f t="shared" ca="1" si="27"/>
        <v>#N/A</v>
      </c>
      <c r="M78" s="69"/>
      <c r="N78" s="69"/>
      <c r="O78" s="69"/>
      <c r="P78" s="69"/>
      <c r="Q78" s="69"/>
      <c r="R78" s="69"/>
    </row>
    <row r="79" spans="1:18" x14ac:dyDescent="0.25">
      <c r="A79" s="91" t="str">
        <f t="shared" si="23"/>
        <v>P03R</v>
      </c>
      <c r="B79" s="99">
        <f>4</f>
        <v>4</v>
      </c>
      <c r="C79" s="99">
        <f ca="1">INDEX(INDIRECT("MemberID!G6:G"&amp;MemberID!$C$1),MATCH(Interface!A79,INDIRECT("MemberID!C6:C"&amp;MemberID!$C$1),0))</f>
        <v>0</v>
      </c>
      <c r="D79" s="99" t="e">
        <f t="shared" ca="1" si="24"/>
        <v>#N/A</v>
      </c>
      <c r="E79" s="100" t="str">
        <f t="shared" si="25"/>
        <v>-</v>
      </c>
      <c r="F79" s="87" t="e">
        <f t="shared" ca="1" si="26"/>
        <v>#N/A</v>
      </c>
      <c r="G79" s="75">
        <f t="array" aca="1" ref="G79" ca="1">IF($G$7=G$14,IF($G$8="Max",_xlfn.MAXIFS(INDIRECT("'"&amp;$G$6&amp;"'!"&amp;G$15&amp;"65:"&amp;G$15&amp;$J$6),INDIRECT("'"&amp;$G$6&amp;"'!"&amp;"E65:E"&amp;$J$6),$B79,INDIRECT("'"&amp;$G$6&amp;"'!"&amp;"D65:D"&amp;$J$6),$C79),_xlfn.MINIFS(INDIRECT("'"&amp;$G$6&amp;"'!"&amp;G$15&amp;"65:"&amp;G$15&amp;$J$6),INDIRECT("'"&amp;$G$6&amp;"'!"&amp;"E65:E"&amp;$J$6),$B79,INDIRECT("'"&amp;$G$6&amp;"'!"&amp;"D65:D"&amp;$J$6),$C79)),INDEX(INDIRECT("'"&amp;$G$6&amp;"'!"&amp;G$15&amp;"65:"&amp;G$15&amp;$J$6),$D79))</f>
        <v>0</v>
      </c>
      <c r="H79" s="75" t="e">
        <f t="shared" ca="1" si="27"/>
        <v>#N/A</v>
      </c>
      <c r="I79" s="75" t="e">
        <f t="shared" ca="1" si="27"/>
        <v>#N/A</v>
      </c>
      <c r="J79" s="75" t="e">
        <f t="shared" ca="1" si="27"/>
        <v>#N/A</v>
      </c>
      <c r="K79" s="75" t="e">
        <f t="shared" ca="1" si="27"/>
        <v>#N/A</v>
      </c>
      <c r="L79" s="75" t="e">
        <f t="shared" ca="1" si="27"/>
        <v>#N/A</v>
      </c>
      <c r="M79" s="69"/>
      <c r="N79" s="69"/>
      <c r="O79" s="69"/>
      <c r="P79" s="69"/>
      <c r="Q79" s="69"/>
      <c r="R79" s="69"/>
    </row>
    <row r="80" spans="1:18" x14ac:dyDescent="0.25">
      <c r="A80" s="91" t="str">
        <f t="shared" si="23"/>
        <v>P03C</v>
      </c>
      <c r="B80" s="99">
        <f>4</f>
        <v>4</v>
      </c>
      <c r="C80" s="99">
        <f ca="1">INDEX(INDIRECT("MemberID!G6:G"&amp;MemberID!$C$1),MATCH(Interface!A80,INDIRECT("MemberID!C6:C"&amp;MemberID!$C$1),0))</f>
        <v>0</v>
      </c>
      <c r="D80" s="99" t="e">
        <f t="shared" ca="1" si="24"/>
        <v>#N/A</v>
      </c>
      <c r="E80" s="100" t="str">
        <f t="shared" si="25"/>
        <v>-</v>
      </c>
      <c r="F80" s="87" t="e">
        <f t="shared" ca="1" si="26"/>
        <v>#N/A</v>
      </c>
      <c r="G80" s="75">
        <f t="array" aca="1" ref="G80" ca="1">IF($G$7=G$14,IF($G$8="Max",_xlfn.MAXIFS(INDIRECT("'"&amp;$G$6&amp;"'!"&amp;G$15&amp;"65:"&amp;G$15&amp;$J$6),INDIRECT("'"&amp;$G$6&amp;"'!"&amp;"E65:E"&amp;$J$6),$B80,INDIRECT("'"&amp;$G$6&amp;"'!"&amp;"D65:D"&amp;$J$6),$C80),_xlfn.MINIFS(INDIRECT("'"&amp;$G$6&amp;"'!"&amp;G$15&amp;"65:"&amp;G$15&amp;$J$6),INDIRECT("'"&amp;$G$6&amp;"'!"&amp;"E65:E"&amp;$J$6),$B80,INDIRECT("'"&amp;$G$6&amp;"'!"&amp;"D65:D"&amp;$J$6),$C80)),INDEX(INDIRECT("'"&amp;$G$6&amp;"'!"&amp;G$15&amp;"65:"&amp;G$15&amp;$J$6),$D80))</f>
        <v>0</v>
      </c>
      <c r="H80" s="75" t="e">
        <f t="shared" ca="1" si="27"/>
        <v>#N/A</v>
      </c>
      <c r="I80" s="75" t="e">
        <f t="shared" ca="1" si="27"/>
        <v>#N/A</v>
      </c>
      <c r="J80" s="75" t="e">
        <f t="shared" ca="1" si="27"/>
        <v>#N/A</v>
      </c>
      <c r="K80" s="75" t="e">
        <f t="shared" ca="1" si="27"/>
        <v>#N/A</v>
      </c>
      <c r="L80" s="75" t="e">
        <f t="shared" ca="1" si="27"/>
        <v>#N/A</v>
      </c>
      <c r="M80" s="69"/>
      <c r="N80" s="69"/>
      <c r="O80" s="69"/>
      <c r="P80" s="69"/>
      <c r="Q80" s="69"/>
      <c r="R80" s="69"/>
    </row>
    <row r="81" spans="1:18" x14ac:dyDescent="0.25">
      <c r="A81" s="91" t="str">
        <f t="shared" si="23"/>
        <v>P03L</v>
      </c>
      <c r="B81" s="99">
        <f>4</f>
        <v>4</v>
      </c>
      <c r="C81" s="99">
        <f ca="1">INDEX(INDIRECT("MemberID!G6:G"&amp;MemberID!$C$1),MATCH(Interface!A81,INDIRECT("MemberID!C6:C"&amp;MemberID!$C$1),0))</f>
        <v>0</v>
      </c>
      <c r="D81" s="99" t="e">
        <f t="shared" ca="1" si="24"/>
        <v>#N/A</v>
      </c>
      <c r="E81" s="100" t="str">
        <f t="shared" si="25"/>
        <v>-</v>
      </c>
      <c r="F81" s="87" t="e">
        <f t="shared" ca="1" si="26"/>
        <v>#N/A</v>
      </c>
      <c r="G81" s="75">
        <f t="array" aca="1" ref="G81" ca="1">IF($G$7=G$14,IF($G$8="Max",_xlfn.MAXIFS(INDIRECT("'"&amp;$G$6&amp;"'!"&amp;G$15&amp;"65:"&amp;G$15&amp;$J$6),INDIRECT("'"&amp;$G$6&amp;"'!"&amp;"E65:E"&amp;$J$6),$B81,INDIRECT("'"&amp;$G$6&amp;"'!"&amp;"D65:D"&amp;$J$6),$C81),_xlfn.MINIFS(INDIRECT("'"&amp;$G$6&amp;"'!"&amp;G$15&amp;"65:"&amp;G$15&amp;$J$6),INDIRECT("'"&amp;$G$6&amp;"'!"&amp;"E65:E"&amp;$J$6),$B81,INDIRECT("'"&amp;$G$6&amp;"'!"&amp;"D65:D"&amp;$J$6),$C81)),INDEX(INDIRECT("'"&amp;$G$6&amp;"'!"&amp;G$15&amp;"65:"&amp;G$15&amp;$J$6),$D81))</f>
        <v>0</v>
      </c>
      <c r="H81" s="75" t="e">
        <f t="shared" ca="1" si="27"/>
        <v>#N/A</v>
      </c>
      <c r="I81" s="75" t="e">
        <f t="shared" ca="1" si="27"/>
        <v>#N/A</v>
      </c>
      <c r="J81" s="75" t="e">
        <f t="shared" ca="1" si="27"/>
        <v>#N/A</v>
      </c>
      <c r="K81" s="75" t="e">
        <f t="shared" ca="1" si="27"/>
        <v>#N/A</v>
      </c>
      <c r="L81" s="75" t="e">
        <f t="shared" ca="1" si="27"/>
        <v>#N/A</v>
      </c>
      <c r="M81" s="69"/>
      <c r="N81" s="69"/>
      <c r="O81" s="69"/>
      <c r="P81" s="69"/>
      <c r="Q81" s="69"/>
      <c r="R81" s="69"/>
    </row>
    <row r="83" spans="1:18" x14ac:dyDescent="0.25">
      <c r="A83" s="108" t="s">
        <v>274</v>
      </c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</row>
    <row r="84" spans="1:18" x14ac:dyDescent="0.25">
      <c r="A84" s="91" t="s">
        <v>13</v>
      </c>
      <c r="B84" s="99" t="s">
        <v>191</v>
      </c>
      <c r="C84" s="99" t="s">
        <v>219</v>
      </c>
      <c r="D84" s="99" t="s">
        <v>226</v>
      </c>
      <c r="E84" s="111" t="s">
        <v>258</v>
      </c>
      <c r="F84" s="91" t="s">
        <v>261</v>
      </c>
      <c r="G84" s="91" t="s">
        <v>123</v>
      </c>
      <c r="H84" s="91" t="s">
        <v>124</v>
      </c>
      <c r="I84" s="91" t="s">
        <v>125</v>
      </c>
      <c r="J84" s="91" t="s">
        <v>126</v>
      </c>
      <c r="K84" s="91" t="s">
        <v>127</v>
      </c>
      <c r="L84" s="91" t="s">
        <v>128</v>
      </c>
      <c r="M84" s="99" t="s">
        <v>220</v>
      </c>
      <c r="N84" s="99" t="s">
        <v>221</v>
      </c>
      <c r="O84" s="99" t="s">
        <v>222</v>
      </c>
      <c r="P84" s="99" t="s">
        <v>223</v>
      </c>
      <c r="Q84" s="99" t="s">
        <v>224</v>
      </c>
      <c r="R84" s="99" t="s">
        <v>225</v>
      </c>
    </row>
    <row r="85" spans="1:18" x14ac:dyDescent="0.25">
      <c r="A85" s="91"/>
      <c r="B85" s="99" t="str">
        <f>SUBSTITUTE(ADDRESS(1,COLUMN('STR1 Forces'!E133),4),"1","")</f>
        <v>E</v>
      </c>
      <c r="C85" s="99" t="str">
        <f>SUBSTITUTE(ADDRESS(1,COLUMN('STR1 Forces'!D133),4),"1","")</f>
        <v>D</v>
      </c>
      <c r="D85" s="99"/>
      <c r="E85" s="91"/>
      <c r="F85" s="99" t="str">
        <f>SUBSTITUTE(ADDRESS(1,COLUMN('STR1 Forces'!I133),4),"1","")</f>
        <v>I</v>
      </c>
      <c r="G85" s="99" t="str">
        <f>SUBSTITUTE(ADDRESS(1,COLUMN('STR1 Forces'!J133),4),"1","")</f>
        <v>J</v>
      </c>
      <c r="H85" s="99" t="str">
        <f>SUBSTITUTE(ADDRESS(1,COLUMN('STR1 Forces'!K133),4),"1","")</f>
        <v>K</v>
      </c>
      <c r="I85" s="99" t="str">
        <f>SUBSTITUTE(ADDRESS(1,COLUMN('STR1 Forces'!L133),4),"1","")</f>
        <v>L</v>
      </c>
      <c r="J85" s="99" t="str">
        <f>SUBSTITUTE(ADDRESS(1,COLUMN('STR1 Forces'!M133),4),"1","")</f>
        <v>M</v>
      </c>
      <c r="K85" s="99" t="str">
        <f>SUBSTITUTE(ADDRESS(1,COLUMN('STR1 Forces'!N133),4),"1","")</f>
        <v>N</v>
      </c>
      <c r="L85" s="99" t="str">
        <f>SUBSTITUTE(ADDRESS(1,COLUMN('STR1 Forces'!O133),4),"1","")</f>
        <v>O</v>
      </c>
      <c r="M85" s="69"/>
      <c r="N85" s="69"/>
      <c r="O85" s="69"/>
      <c r="P85" s="69"/>
      <c r="Q85" s="69"/>
      <c r="R85" s="69"/>
    </row>
    <row r="86" spans="1:18" x14ac:dyDescent="0.25">
      <c r="A86" s="91" t="str">
        <f>$G$8</f>
        <v>Max</v>
      </c>
      <c r="B86" s="75"/>
      <c r="C86" s="75"/>
      <c r="D86" s="75"/>
      <c r="E86" s="75"/>
      <c r="F86" s="75"/>
      <c r="G86" s="75">
        <f ca="1">IF($G$8="Max",MAX(G87:G95),MIN(G87:G95))</f>
        <v>0</v>
      </c>
      <c r="H86" s="75" t="e">
        <f t="shared" ref="H86:L86" ca="1" si="28">MAX(H87)</f>
        <v>#N/A</v>
      </c>
      <c r="I86" s="75" t="e">
        <f t="shared" ca="1" si="28"/>
        <v>#N/A</v>
      </c>
      <c r="J86" s="75" t="e">
        <f t="shared" ca="1" si="28"/>
        <v>#N/A</v>
      </c>
      <c r="K86" s="75" t="e">
        <f t="shared" ca="1" si="28"/>
        <v>#N/A</v>
      </c>
      <c r="L86" s="75" t="e">
        <f t="shared" ca="1" si="28"/>
        <v>#N/A</v>
      </c>
      <c r="M86" s="69"/>
      <c r="N86" s="69"/>
      <c r="O86" s="69"/>
      <c r="P86" s="69"/>
      <c r="Q86" s="69"/>
      <c r="R86" s="69"/>
    </row>
    <row r="87" spans="1:18" x14ac:dyDescent="0.25">
      <c r="A87" s="91" t="str">
        <f>A17</f>
        <v>P01R</v>
      </c>
      <c r="B87" s="99">
        <f>5</f>
        <v>5</v>
      </c>
      <c r="C87" s="99">
        <f ca="1">INDEX(INDIRECT("MemberID!G6:G"&amp;MemberID!$C$1),MATCH(Interface!A87,INDIRECT("MemberID!C6:C"&amp;MemberID!$C$1),0))</f>
        <v>0</v>
      </c>
      <c r="D87" s="99" t="e">
        <f ca="1">MATCH(INDIRECT($J$7&amp;ROW()),INDIRECT("'"&amp;$G$6&amp;"'!"&amp;$L$7&amp;"65:"&amp;$L$7&amp;$J$6),0)</f>
        <v>#N/A</v>
      </c>
      <c r="E87" s="100" t="str">
        <f>E17</f>
        <v>-</v>
      </c>
      <c r="F87" s="87" t="e">
        <f ca="1">INDEX(INDIRECT("'"&amp;$G$6&amp;"'!"&amp;F$15&amp;"65:"&amp;F$15&amp;$J$6),$D87)</f>
        <v>#N/A</v>
      </c>
      <c r="G87" s="75">
        <f t="array" aca="1" ref="G87" ca="1">IF($G$7=G$14,IF($G$8="Max",_xlfn.MAXIFS(INDIRECT("'"&amp;$G$6&amp;"'!"&amp;G$15&amp;"65:"&amp;G$15&amp;$J$6),INDIRECT("'"&amp;$G$6&amp;"'!"&amp;"E65:E"&amp;$J$6),$B87,INDIRECT("'"&amp;$G$6&amp;"'!"&amp;"D65:D"&amp;$J$6),$C87),_xlfn.MINIFS(INDIRECT("'"&amp;$G$6&amp;"'!"&amp;G$15&amp;"65:"&amp;G$15&amp;$J$6),INDIRECT("'"&amp;$G$6&amp;"'!"&amp;"E65:E"&amp;$J$6),$B87,INDIRECT("'"&amp;$G$6&amp;"'!"&amp;"D65:D"&amp;$J$6),$C87)),INDEX(INDIRECT("'"&amp;$G$6&amp;"'!"&amp;G$15&amp;"65:"&amp;G$15&amp;$J$6),$D87))</f>
        <v>0</v>
      </c>
      <c r="H87" s="75" t="e">
        <f ca="1">IF($G$7=H$14,IF($G$8="Max",_xlfn.MAXIFS(INDIRECT("'"&amp;$G$6&amp;"'!"&amp;H$15&amp;"65:"&amp;H$15&amp;$J$6),INDIRECT("'"&amp;$G$6&amp;"'!"&amp;"E65:E"&amp;$J$6),$B87,INDIRECT("'"&amp;$G$6&amp;"'!"&amp;"D65:D"&amp;$J$6),$C87),_xlfn.MINIFS(INDIRECT("'"&amp;$G$6&amp;"'!"&amp;H$15&amp;"65:"&amp;H$15&amp;$J$6),INDIRECT("'"&amp;$G$6&amp;"'!"&amp;"E65:E"&amp;$J$6),$B87,INDIRECT("'"&amp;$G$6&amp;"'!"&amp;"D65:D"&amp;$J$6),$C87)),INDEX(INDIRECT("'"&amp;$G$6&amp;"'!"&amp;H$15&amp;"65:"&amp;H$15&amp;$J$6),$D87))</f>
        <v>#N/A</v>
      </c>
      <c r="I87" s="75" t="e">
        <f ca="1">IF($G$7=I$14,IF($G$8="Max",_xlfn.MAXIFS(INDIRECT("'"&amp;$G$6&amp;"'!"&amp;I$15&amp;"65:"&amp;I$15&amp;$J$6),INDIRECT("'"&amp;$G$6&amp;"'!"&amp;"E65:E"&amp;$J$6),$B87,INDIRECT("'"&amp;$G$6&amp;"'!"&amp;"D65:D"&amp;$J$6),$C87),_xlfn.MINIFS(INDIRECT("'"&amp;$G$6&amp;"'!"&amp;I$15&amp;"65:"&amp;I$15&amp;$J$6),INDIRECT("'"&amp;$G$6&amp;"'!"&amp;"E65:E"&amp;$J$6),$B87,INDIRECT("'"&amp;$G$6&amp;"'!"&amp;"D65:D"&amp;$J$6),$C87)),INDEX(INDIRECT("'"&amp;$G$6&amp;"'!"&amp;I$15&amp;"65:"&amp;I$15&amp;$J$6),$D87))</f>
        <v>#N/A</v>
      </c>
      <c r="J87" s="75" t="e">
        <f ca="1">IF($G$7=J$14,IF($G$8="Max",_xlfn.MAXIFS(INDIRECT("'"&amp;$G$6&amp;"'!"&amp;J$15&amp;"65:"&amp;J$15&amp;$J$6),INDIRECT("'"&amp;$G$6&amp;"'!"&amp;"E65:E"&amp;$J$6),$B87,INDIRECT("'"&amp;$G$6&amp;"'!"&amp;"D65:D"&amp;$J$6),$C87),_xlfn.MINIFS(INDIRECT("'"&amp;$G$6&amp;"'!"&amp;J$15&amp;"65:"&amp;J$15&amp;$J$6),INDIRECT("'"&amp;$G$6&amp;"'!"&amp;"E65:E"&amp;$J$6),$B87,INDIRECT("'"&amp;$G$6&amp;"'!"&amp;"D65:D"&amp;$J$6),$C87)),INDEX(INDIRECT("'"&amp;$G$6&amp;"'!"&amp;J$15&amp;"65:"&amp;J$15&amp;$J$6),$D87))</f>
        <v>#N/A</v>
      </c>
      <c r="K87" s="75" t="e">
        <f ca="1">IF($G$7=K$14,IF($G$8="Max",_xlfn.MAXIFS(INDIRECT("'"&amp;$G$6&amp;"'!"&amp;K$15&amp;"65:"&amp;K$15&amp;$J$6),INDIRECT("'"&amp;$G$6&amp;"'!"&amp;"E65:E"&amp;$J$6),$B87,INDIRECT("'"&amp;$G$6&amp;"'!"&amp;"D65:D"&amp;$J$6),$C87),_xlfn.MINIFS(INDIRECT("'"&amp;$G$6&amp;"'!"&amp;K$15&amp;"65:"&amp;K$15&amp;$J$6),INDIRECT("'"&amp;$G$6&amp;"'!"&amp;"E65:E"&amp;$J$6),$B87,INDIRECT("'"&amp;$G$6&amp;"'!"&amp;"D65:D"&amp;$J$6),$C87)),INDEX(INDIRECT("'"&amp;$G$6&amp;"'!"&amp;K$15&amp;"65:"&amp;K$15&amp;$J$6),$D87))</f>
        <v>#N/A</v>
      </c>
      <c r="L87" s="75" t="e">
        <f ca="1">IF($G$7=L$14,IF($G$8="Max",_xlfn.MAXIFS(INDIRECT("'"&amp;$G$6&amp;"'!"&amp;L$15&amp;"65:"&amp;L$15&amp;$J$6),INDIRECT("'"&amp;$G$6&amp;"'!"&amp;"E65:E"&amp;$J$6),$B87,INDIRECT("'"&amp;$G$6&amp;"'!"&amp;"D65:D"&amp;$J$6),$C87),_xlfn.MINIFS(INDIRECT("'"&amp;$G$6&amp;"'!"&amp;L$15&amp;"65:"&amp;L$15&amp;$J$6),INDIRECT("'"&amp;$G$6&amp;"'!"&amp;"E65:E"&amp;$J$6),$B87,INDIRECT("'"&amp;$G$6&amp;"'!"&amp;"D65:D"&amp;$J$6),$C87)),INDEX(INDIRECT("'"&amp;$G$6&amp;"'!"&amp;L$15&amp;"65:"&amp;L$15&amp;$J$6),$D87))</f>
        <v>#N/A</v>
      </c>
      <c r="M87" s="69"/>
      <c r="N87" s="69"/>
      <c r="O87" s="69"/>
      <c r="P87" s="69"/>
      <c r="Q87" s="69"/>
      <c r="R87" s="69"/>
    </row>
    <row r="88" spans="1:18" x14ac:dyDescent="0.25">
      <c r="A88" s="91" t="str">
        <f t="shared" ref="A88:A95" si="29">A18</f>
        <v>P01C</v>
      </c>
      <c r="B88" s="99">
        <f>5</f>
        <v>5</v>
      </c>
      <c r="C88" s="99">
        <f ca="1">INDEX(INDIRECT("MemberID!G6:G"&amp;MemberID!$C$1),MATCH(Interface!A88,INDIRECT("MemberID!C6:C"&amp;MemberID!$C$1),0))</f>
        <v>0</v>
      </c>
      <c r="D88" s="99" t="e">
        <f t="shared" ref="D88:D95" ca="1" si="30">MATCH(INDIRECT($J$7&amp;ROW()),INDIRECT("'"&amp;$G$6&amp;"'!"&amp;$L$7&amp;"65:"&amp;$L$7&amp;$J$6),0)</f>
        <v>#N/A</v>
      </c>
      <c r="E88" s="100" t="str">
        <f t="shared" ref="E88:E95" si="31">E18</f>
        <v>-</v>
      </c>
      <c r="F88" s="87" t="e">
        <f t="shared" ref="F88:F95" ca="1" si="32">INDEX(INDIRECT("'"&amp;$G$6&amp;"'!"&amp;F$15&amp;"65:"&amp;F$15&amp;$J$6),$D88)</f>
        <v>#N/A</v>
      </c>
      <c r="G88" s="75">
        <f t="array" aca="1" ref="G88" ca="1">IF($G$7=G$14,IF($G$8="Max",_xlfn.MAXIFS(INDIRECT("'"&amp;$G$6&amp;"'!"&amp;G$15&amp;"65:"&amp;G$15&amp;$J$6),INDIRECT("'"&amp;$G$6&amp;"'!"&amp;"E65:E"&amp;$J$6),$B88,INDIRECT("'"&amp;$G$6&amp;"'!"&amp;"D65:D"&amp;$J$6),$C88),_xlfn.MINIFS(INDIRECT("'"&amp;$G$6&amp;"'!"&amp;G$15&amp;"65:"&amp;G$15&amp;$J$6),INDIRECT("'"&amp;$G$6&amp;"'!"&amp;"E65:E"&amp;$J$6),$B88,INDIRECT("'"&amp;$G$6&amp;"'!"&amp;"D65:D"&amp;$J$6),$C88)),INDEX(INDIRECT("'"&amp;$G$6&amp;"'!"&amp;G$15&amp;"65:"&amp;G$15&amp;$J$6),$D88))</f>
        <v>0</v>
      </c>
      <c r="H88" s="75" t="e">
        <f t="shared" ref="H88:L95" ca="1" si="33">IF($G$7=H$14,IF($G$8="Max",_xlfn.MAXIFS(INDIRECT("'"&amp;$G$6&amp;"'!"&amp;H$15&amp;"65:"&amp;H$15&amp;$J$6),INDIRECT("'"&amp;$G$6&amp;"'!"&amp;"E65:E"&amp;$J$6),$B88,INDIRECT("'"&amp;$G$6&amp;"'!"&amp;"D65:D"&amp;$J$6),$C88),_xlfn.MINIFS(INDIRECT("'"&amp;$G$6&amp;"'!"&amp;H$15&amp;"65:"&amp;H$15&amp;$J$6),INDIRECT("'"&amp;$G$6&amp;"'!"&amp;"E65:E"&amp;$J$6),$B88,INDIRECT("'"&amp;$G$6&amp;"'!"&amp;"D65:D"&amp;$J$6),$C88)),INDEX(INDIRECT("'"&amp;$G$6&amp;"'!"&amp;H$15&amp;"65:"&amp;H$15&amp;$J$6),$D88))</f>
        <v>#N/A</v>
      </c>
      <c r="I88" s="75" t="e">
        <f t="shared" ca="1" si="33"/>
        <v>#N/A</v>
      </c>
      <c r="J88" s="75" t="e">
        <f t="shared" ca="1" si="33"/>
        <v>#N/A</v>
      </c>
      <c r="K88" s="75" t="e">
        <f t="shared" ca="1" si="33"/>
        <v>#N/A</v>
      </c>
      <c r="L88" s="75" t="e">
        <f t="shared" ca="1" si="33"/>
        <v>#N/A</v>
      </c>
      <c r="M88" s="69"/>
      <c r="N88" s="69"/>
      <c r="O88" s="69"/>
      <c r="P88" s="69"/>
      <c r="Q88" s="69"/>
      <c r="R88" s="69"/>
    </row>
    <row r="89" spans="1:18" x14ac:dyDescent="0.25">
      <c r="A89" s="91" t="str">
        <f t="shared" si="29"/>
        <v>P01L</v>
      </c>
      <c r="B89" s="99">
        <f>5</f>
        <v>5</v>
      </c>
      <c r="C89" s="99">
        <f ca="1">INDEX(INDIRECT("MemberID!G6:G"&amp;MemberID!$C$1),MATCH(Interface!A89,INDIRECT("MemberID!C6:C"&amp;MemberID!$C$1),0))</f>
        <v>0</v>
      </c>
      <c r="D89" s="99" t="e">
        <f t="shared" ca="1" si="30"/>
        <v>#N/A</v>
      </c>
      <c r="E89" s="100" t="str">
        <f t="shared" si="31"/>
        <v>-</v>
      </c>
      <c r="F89" s="87" t="e">
        <f t="shared" ca="1" si="32"/>
        <v>#N/A</v>
      </c>
      <c r="G89" s="75">
        <f t="array" aca="1" ref="G89" ca="1">IF($G$7=G$14,IF($G$8="Max",_xlfn.MAXIFS(INDIRECT("'"&amp;$G$6&amp;"'!"&amp;G$15&amp;"65:"&amp;G$15&amp;$J$6),INDIRECT("'"&amp;$G$6&amp;"'!"&amp;"E65:E"&amp;$J$6),$B89,INDIRECT("'"&amp;$G$6&amp;"'!"&amp;"D65:D"&amp;$J$6),$C89),_xlfn.MINIFS(INDIRECT("'"&amp;$G$6&amp;"'!"&amp;G$15&amp;"65:"&amp;G$15&amp;$J$6),INDIRECT("'"&amp;$G$6&amp;"'!"&amp;"E65:E"&amp;$J$6),$B89,INDIRECT("'"&amp;$G$6&amp;"'!"&amp;"D65:D"&amp;$J$6),$C89)),INDEX(INDIRECT("'"&amp;$G$6&amp;"'!"&amp;G$15&amp;"65:"&amp;G$15&amp;$J$6),$D89))</f>
        <v>0</v>
      </c>
      <c r="H89" s="75" t="e">
        <f t="shared" ca="1" si="33"/>
        <v>#N/A</v>
      </c>
      <c r="I89" s="75" t="e">
        <f t="shared" ca="1" si="33"/>
        <v>#N/A</v>
      </c>
      <c r="J89" s="75" t="e">
        <f t="shared" ca="1" si="33"/>
        <v>#N/A</v>
      </c>
      <c r="K89" s="75" t="e">
        <f t="shared" ca="1" si="33"/>
        <v>#N/A</v>
      </c>
      <c r="L89" s="75" t="e">
        <f t="shared" ca="1" si="33"/>
        <v>#N/A</v>
      </c>
      <c r="M89" s="69"/>
      <c r="N89" s="69"/>
      <c r="O89" s="69"/>
      <c r="P89" s="69"/>
      <c r="Q89" s="69"/>
      <c r="R89" s="69"/>
    </row>
    <row r="90" spans="1:18" x14ac:dyDescent="0.25">
      <c r="A90" s="91" t="str">
        <f t="shared" si="29"/>
        <v>P02R</v>
      </c>
      <c r="B90" s="99">
        <f>5</f>
        <v>5</v>
      </c>
      <c r="C90" s="99">
        <f ca="1">INDEX(INDIRECT("MemberID!G6:G"&amp;MemberID!$C$1),MATCH(Interface!A90,INDIRECT("MemberID!C6:C"&amp;MemberID!$C$1),0))</f>
        <v>0</v>
      </c>
      <c r="D90" s="99" t="e">
        <f t="shared" ca="1" si="30"/>
        <v>#N/A</v>
      </c>
      <c r="E90" s="100" t="str">
        <f t="shared" si="31"/>
        <v>-</v>
      </c>
      <c r="F90" s="87" t="e">
        <f t="shared" ca="1" si="32"/>
        <v>#N/A</v>
      </c>
      <c r="G90" s="75">
        <f t="array" aca="1" ref="G90" ca="1">IF($G$7=G$14,IF($G$8="Max",_xlfn.MAXIFS(INDIRECT("'"&amp;$G$6&amp;"'!"&amp;G$15&amp;"65:"&amp;G$15&amp;$J$6),INDIRECT("'"&amp;$G$6&amp;"'!"&amp;"E65:E"&amp;$J$6),$B90,INDIRECT("'"&amp;$G$6&amp;"'!"&amp;"D65:D"&amp;$J$6),$C90),_xlfn.MINIFS(INDIRECT("'"&amp;$G$6&amp;"'!"&amp;G$15&amp;"65:"&amp;G$15&amp;$J$6),INDIRECT("'"&amp;$G$6&amp;"'!"&amp;"E65:E"&amp;$J$6),$B90,INDIRECT("'"&amp;$G$6&amp;"'!"&amp;"D65:D"&amp;$J$6),$C90)),INDEX(INDIRECT("'"&amp;$G$6&amp;"'!"&amp;G$15&amp;"65:"&amp;G$15&amp;$J$6),$D90))</f>
        <v>0</v>
      </c>
      <c r="H90" s="75" t="e">
        <f t="shared" ca="1" si="33"/>
        <v>#N/A</v>
      </c>
      <c r="I90" s="75" t="e">
        <f t="shared" ca="1" si="33"/>
        <v>#N/A</v>
      </c>
      <c r="J90" s="75" t="e">
        <f t="shared" ca="1" si="33"/>
        <v>#N/A</v>
      </c>
      <c r="K90" s="75" t="e">
        <f t="shared" ca="1" si="33"/>
        <v>#N/A</v>
      </c>
      <c r="L90" s="75" t="e">
        <f t="shared" ca="1" si="33"/>
        <v>#N/A</v>
      </c>
      <c r="M90" s="69"/>
      <c r="N90" s="69"/>
      <c r="O90" s="69"/>
      <c r="P90" s="69"/>
      <c r="Q90" s="69"/>
      <c r="R90" s="69"/>
    </row>
    <row r="91" spans="1:18" x14ac:dyDescent="0.25">
      <c r="A91" s="91" t="str">
        <f t="shared" si="29"/>
        <v>P02C</v>
      </c>
      <c r="B91" s="99">
        <f>5</f>
        <v>5</v>
      </c>
      <c r="C91" s="99">
        <f ca="1">INDEX(INDIRECT("MemberID!G6:G"&amp;MemberID!$C$1),MATCH(Interface!A91,INDIRECT("MemberID!C6:C"&amp;MemberID!$C$1),0))</f>
        <v>0</v>
      </c>
      <c r="D91" s="99" t="e">
        <f t="shared" ca="1" si="30"/>
        <v>#N/A</v>
      </c>
      <c r="E91" s="100" t="str">
        <f t="shared" si="31"/>
        <v>-</v>
      </c>
      <c r="F91" s="87" t="e">
        <f t="shared" ca="1" si="32"/>
        <v>#N/A</v>
      </c>
      <c r="G91" s="75">
        <f t="array" aca="1" ref="G91" ca="1">IF($G$7=G$14,IF($G$8="Max",_xlfn.MAXIFS(INDIRECT("'"&amp;$G$6&amp;"'!"&amp;G$15&amp;"65:"&amp;G$15&amp;$J$6),INDIRECT("'"&amp;$G$6&amp;"'!"&amp;"E65:E"&amp;$J$6),$B91,INDIRECT("'"&amp;$G$6&amp;"'!"&amp;"D65:D"&amp;$J$6),$C91),_xlfn.MINIFS(INDIRECT("'"&amp;$G$6&amp;"'!"&amp;G$15&amp;"65:"&amp;G$15&amp;$J$6),INDIRECT("'"&amp;$G$6&amp;"'!"&amp;"E65:E"&amp;$J$6),$B91,INDIRECT("'"&amp;$G$6&amp;"'!"&amp;"D65:D"&amp;$J$6),$C91)),INDEX(INDIRECT("'"&amp;$G$6&amp;"'!"&amp;G$15&amp;"65:"&amp;G$15&amp;$J$6),$D91))</f>
        <v>0</v>
      </c>
      <c r="H91" s="75" t="e">
        <f t="shared" ca="1" si="33"/>
        <v>#N/A</v>
      </c>
      <c r="I91" s="75" t="e">
        <f t="shared" ca="1" si="33"/>
        <v>#N/A</v>
      </c>
      <c r="J91" s="75" t="e">
        <f t="shared" ca="1" si="33"/>
        <v>#N/A</v>
      </c>
      <c r="K91" s="75" t="e">
        <f t="shared" ca="1" si="33"/>
        <v>#N/A</v>
      </c>
      <c r="L91" s="75" t="e">
        <f t="shared" ca="1" si="33"/>
        <v>#N/A</v>
      </c>
      <c r="M91" s="69"/>
      <c r="N91" s="69"/>
      <c r="O91" s="69"/>
      <c r="P91" s="69"/>
      <c r="Q91" s="69"/>
      <c r="R91" s="69"/>
    </row>
    <row r="92" spans="1:18" x14ac:dyDescent="0.25">
      <c r="A92" s="91" t="str">
        <f t="shared" si="29"/>
        <v>P02L</v>
      </c>
      <c r="B92" s="99">
        <f>5</f>
        <v>5</v>
      </c>
      <c r="C92" s="99">
        <f ca="1">INDEX(INDIRECT("MemberID!G6:G"&amp;MemberID!$C$1),MATCH(Interface!A92,INDIRECT("MemberID!C6:C"&amp;MemberID!$C$1),0))</f>
        <v>0</v>
      </c>
      <c r="D92" s="99" t="e">
        <f t="shared" ca="1" si="30"/>
        <v>#N/A</v>
      </c>
      <c r="E92" s="100" t="str">
        <f t="shared" si="31"/>
        <v>-</v>
      </c>
      <c r="F92" s="87" t="e">
        <f t="shared" ca="1" si="32"/>
        <v>#N/A</v>
      </c>
      <c r="G92" s="75">
        <f t="array" aca="1" ref="G92" ca="1">IF($G$7=G$14,IF($G$8="Max",_xlfn.MAXIFS(INDIRECT("'"&amp;$G$6&amp;"'!"&amp;G$15&amp;"65:"&amp;G$15&amp;$J$6),INDIRECT("'"&amp;$G$6&amp;"'!"&amp;"E65:E"&amp;$J$6),$B92,INDIRECT("'"&amp;$G$6&amp;"'!"&amp;"D65:D"&amp;$J$6),$C92),_xlfn.MINIFS(INDIRECT("'"&amp;$G$6&amp;"'!"&amp;G$15&amp;"65:"&amp;G$15&amp;$J$6),INDIRECT("'"&amp;$G$6&amp;"'!"&amp;"E65:E"&amp;$J$6),$B92,INDIRECT("'"&amp;$G$6&amp;"'!"&amp;"D65:D"&amp;$J$6),$C92)),INDEX(INDIRECT("'"&amp;$G$6&amp;"'!"&amp;G$15&amp;"65:"&amp;G$15&amp;$J$6),$D92))</f>
        <v>0</v>
      </c>
      <c r="H92" s="75" t="e">
        <f t="shared" ca="1" si="33"/>
        <v>#N/A</v>
      </c>
      <c r="I92" s="75" t="e">
        <f t="shared" ca="1" si="33"/>
        <v>#N/A</v>
      </c>
      <c r="J92" s="75" t="e">
        <f t="shared" ca="1" si="33"/>
        <v>#N/A</v>
      </c>
      <c r="K92" s="75" t="e">
        <f t="shared" ca="1" si="33"/>
        <v>#N/A</v>
      </c>
      <c r="L92" s="75" t="e">
        <f t="shared" ca="1" si="33"/>
        <v>#N/A</v>
      </c>
      <c r="M92" s="69"/>
      <c r="N92" s="69"/>
      <c r="O92" s="69"/>
      <c r="P92" s="69"/>
      <c r="Q92" s="69"/>
      <c r="R92" s="69"/>
    </row>
    <row r="93" spans="1:18" x14ac:dyDescent="0.25">
      <c r="A93" s="91" t="str">
        <f t="shared" si="29"/>
        <v>P03R</v>
      </c>
      <c r="B93" s="99">
        <f>5</f>
        <v>5</v>
      </c>
      <c r="C93" s="99">
        <f ca="1">INDEX(INDIRECT("MemberID!G6:G"&amp;MemberID!$C$1),MATCH(Interface!A93,INDIRECT("MemberID!C6:C"&amp;MemberID!$C$1),0))</f>
        <v>0</v>
      </c>
      <c r="D93" s="99" t="e">
        <f t="shared" ca="1" si="30"/>
        <v>#N/A</v>
      </c>
      <c r="E93" s="100" t="str">
        <f t="shared" si="31"/>
        <v>-</v>
      </c>
      <c r="F93" s="87" t="e">
        <f t="shared" ca="1" si="32"/>
        <v>#N/A</v>
      </c>
      <c r="G93" s="75">
        <f t="array" aca="1" ref="G93" ca="1">IF($G$7=G$14,IF($G$8="Max",_xlfn.MAXIFS(INDIRECT("'"&amp;$G$6&amp;"'!"&amp;G$15&amp;"65:"&amp;G$15&amp;$J$6),INDIRECT("'"&amp;$G$6&amp;"'!"&amp;"E65:E"&amp;$J$6),$B93,INDIRECT("'"&amp;$G$6&amp;"'!"&amp;"D65:D"&amp;$J$6),$C93),_xlfn.MINIFS(INDIRECT("'"&amp;$G$6&amp;"'!"&amp;G$15&amp;"65:"&amp;G$15&amp;$J$6),INDIRECT("'"&amp;$G$6&amp;"'!"&amp;"E65:E"&amp;$J$6),$B93,INDIRECT("'"&amp;$G$6&amp;"'!"&amp;"D65:D"&amp;$J$6),$C93)),INDEX(INDIRECT("'"&amp;$G$6&amp;"'!"&amp;G$15&amp;"65:"&amp;G$15&amp;$J$6),$D93))</f>
        <v>0</v>
      </c>
      <c r="H93" s="75" t="e">
        <f t="shared" ca="1" si="33"/>
        <v>#N/A</v>
      </c>
      <c r="I93" s="75" t="e">
        <f t="shared" ca="1" si="33"/>
        <v>#N/A</v>
      </c>
      <c r="J93" s="75" t="e">
        <f t="shared" ca="1" si="33"/>
        <v>#N/A</v>
      </c>
      <c r="K93" s="75" t="e">
        <f t="shared" ca="1" si="33"/>
        <v>#N/A</v>
      </c>
      <c r="L93" s="75" t="e">
        <f t="shared" ca="1" si="33"/>
        <v>#N/A</v>
      </c>
      <c r="M93" s="69"/>
      <c r="N93" s="69"/>
      <c r="O93" s="69"/>
      <c r="P93" s="69"/>
      <c r="Q93" s="69"/>
      <c r="R93" s="69"/>
    </row>
    <row r="94" spans="1:18" x14ac:dyDescent="0.25">
      <c r="A94" s="91" t="str">
        <f t="shared" si="29"/>
        <v>P03C</v>
      </c>
      <c r="B94" s="99">
        <f>5</f>
        <v>5</v>
      </c>
      <c r="C94" s="99">
        <f ca="1">INDEX(INDIRECT("MemberID!G6:G"&amp;MemberID!$C$1),MATCH(Interface!A94,INDIRECT("MemberID!C6:C"&amp;MemberID!$C$1),0))</f>
        <v>0</v>
      </c>
      <c r="D94" s="99" t="e">
        <f t="shared" ca="1" si="30"/>
        <v>#N/A</v>
      </c>
      <c r="E94" s="100" t="str">
        <f t="shared" si="31"/>
        <v>-</v>
      </c>
      <c r="F94" s="87" t="e">
        <f t="shared" ca="1" si="32"/>
        <v>#N/A</v>
      </c>
      <c r="G94" s="75">
        <f t="array" aca="1" ref="G94" ca="1">IF($G$7=G$14,IF($G$8="Max",_xlfn.MAXIFS(INDIRECT("'"&amp;$G$6&amp;"'!"&amp;G$15&amp;"65:"&amp;G$15&amp;$J$6),INDIRECT("'"&amp;$G$6&amp;"'!"&amp;"E65:E"&amp;$J$6),$B94,INDIRECT("'"&amp;$G$6&amp;"'!"&amp;"D65:D"&amp;$J$6),$C94),_xlfn.MINIFS(INDIRECT("'"&amp;$G$6&amp;"'!"&amp;G$15&amp;"65:"&amp;G$15&amp;$J$6),INDIRECT("'"&amp;$G$6&amp;"'!"&amp;"E65:E"&amp;$J$6),$B94,INDIRECT("'"&amp;$G$6&amp;"'!"&amp;"D65:D"&amp;$J$6),$C94)),INDEX(INDIRECT("'"&amp;$G$6&amp;"'!"&amp;G$15&amp;"65:"&amp;G$15&amp;$J$6),$D94))</f>
        <v>0</v>
      </c>
      <c r="H94" s="75" t="e">
        <f t="shared" ca="1" si="33"/>
        <v>#N/A</v>
      </c>
      <c r="I94" s="75" t="e">
        <f t="shared" ca="1" si="33"/>
        <v>#N/A</v>
      </c>
      <c r="J94" s="75" t="e">
        <f t="shared" ca="1" si="33"/>
        <v>#N/A</v>
      </c>
      <c r="K94" s="75" t="e">
        <f t="shared" ca="1" si="33"/>
        <v>#N/A</v>
      </c>
      <c r="L94" s="75" t="e">
        <f t="shared" ca="1" si="33"/>
        <v>#N/A</v>
      </c>
      <c r="M94" s="69"/>
      <c r="N94" s="69"/>
      <c r="O94" s="69"/>
      <c r="P94" s="69"/>
      <c r="Q94" s="69"/>
      <c r="R94" s="69"/>
    </row>
    <row r="95" spans="1:18" x14ac:dyDescent="0.25">
      <c r="A95" s="91" t="str">
        <f t="shared" si="29"/>
        <v>P03L</v>
      </c>
      <c r="B95" s="99">
        <f>5</f>
        <v>5</v>
      </c>
      <c r="C95" s="99">
        <f ca="1">INDEX(INDIRECT("MemberID!G6:G"&amp;MemberID!$C$1),MATCH(Interface!A95,INDIRECT("MemberID!C6:C"&amp;MemberID!$C$1),0))</f>
        <v>0</v>
      </c>
      <c r="D95" s="99" t="e">
        <f t="shared" ca="1" si="30"/>
        <v>#N/A</v>
      </c>
      <c r="E95" s="100" t="str">
        <f t="shared" si="31"/>
        <v>-</v>
      </c>
      <c r="F95" s="87" t="e">
        <f t="shared" ca="1" si="32"/>
        <v>#N/A</v>
      </c>
      <c r="G95" s="75">
        <f t="array" aca="1" ref="G95" ca="1">IF($G$7=G$14,IF($G$8="Max",_xlfn.MAXIFS(INDIRECT("'"&amp;$G$6&amp;"'!"&amp;G$15&amp;"65:"&amp;G$15&amp;$J$6),INDIRECT("'"&amp;$G$6&amp;"'!"&amp;"E65:E"&amp;$J$6),$B95,INDIRECT("'"&amp;$G$6&amp;"'!"&amp;"D65:D"&amp;$J$6),$C95),_xlfn.MINIFS(INDIRECT("'"&amp;$G$6&amp;"'!"&amp;G$15&amp;"65:"&amp;G$15&amp;$J$6),INDIRECT("'"&amp;$G$6&amp;"'!"&amp;"E65:E"&amp;$J$6),$B95,INDIRECT("'"&amp;$G$6&amp;"'!"&amp;"D65:D"&amp;$J$6),$C95)),INDEX(INDIRECT("'"&amp;$G$6&amp;"'!"&amp;G$15&amp;"65:"&amp;G$15&amp;$J$6),$D95))</f>
        <v>0</v>
      </c>
      <c r="H95" s="75" t="e">
        <f t="shared" ca="1" si="33"/>
        <v>#N/A</v>
      </c>
      <c r="I95" s="75" t="e">
        <f t="shared" ca="1" si="33"/>
        <v>#N/A</v>
      </c>
      <c r="J95" s="75" t="e">
        <f t="shared" ca="1" si="33"/>
        <v>#N/A</v>
      </c>
      <c r="K95" s="75" t="e">
        <f t="shared" ca="1" si="33"/>
        <v>#N/A</v>
      </c>
      <c r="L95" s="75" t="e">
        <f t="shared" ca="1" si="33"/>
        <v>#N/A</v>
      </c>
      <c r="M95" s="69"/>
      <c r="N95" s="69"/>
      <c r="O95" s="69"/>
      <c r="P95" s="69"/>
      <c r="Q95" s="69"/>
      <c r="R95" s="69"/>
    </row>
    <row r="97" spans="1:18" x14ac:dyDescent="0.25">
      <c r="A97" s="108" t="s">
        <v>275</v>
      </c>
      <c r="B97" s="108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</row>
    <row r="98" spans="1:18" x14ac:dyDescent="0.25">
      <c r="A98" s="91" t="s">
        <v>13</v>
      </c>
      <c r="B98" s="99" t="s">
        <v>191</v>
      </c>
      <c r="C98" s="99" t="s">
        <v>219</v>
      </c>
      <c r="D98" s="99" t="s">
        <v>226</v>
      </c>
      <c r="E98" s="111" t="s">
        <v>258</v>
      </c>
      <c r="F98" s="91" t="s">
        <v>261</v>
      </c>
      <c r="G98" s="91" t="s">
        <v>123</v>
      </c>
      <c r="H98" s="91" t="s">
        <v>124</v>
      </c>
      <c r="I98" s="91" t="s">
        <v>125</v>
      </c>
      <c r="J98" s="91" t="s">
        <v>126</v>
      </c>
      <c r="K98" s="91" t="s">
        <v>127</v>
      </c>
      <c r="L98" s="91" t="s">
        <v>128</v>
      </c>
      <c r="M98" s="99" t="s">
        <v>220</v>
      </c>
      <c r="N98" s="99" t="s">
        <v>221</v>
      </c>
      <c r="O98" s="99" t="s">
        <v>222</v>
      </c>
      <c r="P98" s="99" t="s">
        <v>223</v>
      </c>
      <c r="Q98" s="99" t="s">
        <v>224</v>
      </c>
      <c r="R98" s="99" t="s">
        <v>225</v>
      </c>
    </row>
    <row r="99" spans="1:18" x14ac:dyDescent="0.25">
      <c r="A99" s="91"/>
      <c r="B99" s="99" t="str">
        <f>SUBSTITUTE(ADDRESS(1,COLUMN('STR1 Forces'!E147),4),"1","")</f>
        <v>E</v>
      </c>
      <c r="C99" s="99" t="str">
        <f>SUBSTITUTE(ADDRESS(1,COLUMN('STR1 Forces'!D147),4),"1","")</f>
        <v>D</v>
      </c>
      <c r="D99" s="99"/>
      <c r="E99" s="91"/>
      <c r="F99" s="99" t="str">
        <f>SUBSTITUTE(ADDRESS(1,COLUMN('STR1 Forces'!I147),4),"1","")</f>
        <v>I</v>
      </c>
      <c r="G99" s="99" t="str">
        <f>SUBSTITUTE(ADDRESS(1,COLUMN('STR1 Forces'!J147),4),"1","")</f>
        <v>J</v>
      </c>
      <c r="H99" s="99" t="str">
        <f>SUBSTITUTE(ADDRESS(1,COLUMN('STR1 Forces'!K147),4),"1","")</f>
        <v>K</v>
      </c>
      <c r="I99" s="99" t="str">
        <f>SUBSTITUTE(ADDRESS(1,COLUMN('STR1 Forces'!L147),4),"1","")</f>
        <v>L</v>
      </c>
      <c r="J99" s="99" t="str">
        <f>SUBSTITUTE(ADDRESS(1,COLUMN('STR1 Forces'!M147),4),"1","")</f>
        <v>M</v>
      </c>
      <c r="K99" s="99" t="str">
        <f>SUBSTITUTE(ADDRESS(1,COLUMN('STR1 Forces'!N147),4),"1","")</f>
        <v>N</v>
      </c>
      <c r="L99" s="99" t="str">
        <f>SUBSTITUTE(ADDRESS(1,COLUMN('STR1 Forces'!O147),4),"1","")</f>
        <v>O</v>
      </c>
      <c r="M99" s="69"/>
      <c r="N99" s="69"/>
      <c r="O99" s="69"/>
      <c r="P99" s="69"/>
      <c r="Q99" s="69"/>
      <c r="R99" s="69"/>
    </row>
    <row r="100" spans="1:18" x14ac:dyDescent="0.25">
      <c r="A100" s="91" t="str">
        <f>$G$8</f>
        <v>Max</v>
      </c>
      <c r="B100" s="75"/>
      <c r="C100" s="75"/>
      <c r="D100" s="75"/>
      <c r="E100" s="75"/>
      <c r="F100" s="75"/>
      <c r="G100" s="75">
        <f ca="1">IF($G$8="Max",MAX(G101:G109),MIN(G101:G109))</f>
        <v>0</v>
      </c>
      <c r="H100" s="75" t="e">
        <f t="shared" ref="H100:L100" ca="1" si="34">MAX(H101)</f>
        <v>#N/A</v>
      </c>
      <c r="I100" s="75" t="e">
        <f t="shared" ca="1" si="34"/>
        <v>#N/A</v>
      </c>
      <c r="J100" s="75" t="e">
        <f t="shared" ca="1" si="34"/>
        <v>#N/A</v>
      </c>
      <c r="K100" s="75" t="e">
        <f t="shared" ca="1" si="34"/>
        <v>#N/A</v>
      </c>
      <c r="L100" s="75" t="e">
        <f t="shared" ca="1" si="34"/>
        <v>#N/A</v>
      </c>
      <c r="M100" s="69"/>
      <c r="N100" s="69"/>
      <c r="O100" s="69"/>
      <c r="P100" s="69"/>
      <c r="Q100" s="69"/>
      <c r="R100" s="69"/>
    </row>
    <row r="101" spans="1:18" x14ac:dyDescent="0.25">
      <c r="A101" s="91" t="str">
        <f>A17</f>
        <v>P01R</v>
      </c>
      <c r="B101" s="99">
        <f>6</f>
        <v>6</v>
      </c>
      <c r="C101" s="99">
        <f ca="1">INDEX(INDIRECT("MemberID!G6:G"&amp;MemberID!$C$1),MATCH(Interface!A101,INDIRECT("MemberID!C6:C"&amp;MemberID!$C$1),0))</f>
        <v>0</v>
      </c>
      <c r="D101" s="99" t="e">
        <f ca="1">MATCH(INDIRECT($J$7&amp;ROW()),INDIRECT("'"&amp;$G$6&amp;"'!"&amp;$L$7&amp;"65:"&amp;$L$7&amp;$J$6),0)</f>
        <v>#N/A</v>
      </c>
      <c r="E101" s="100" t="str">
        <f>E17</f>
        <v>-</v>
      </c>
      <c r="F101" s="87" t="e">
        <f ca="1">INDEX(INDIRECT("'"&amp;$G$6&amp;"'!"&amp;F$15&amp;"65:"&amp;F$15&amp;$J$6),$D101)</f>
        <v>#N/A</v>
      </c>
      <c r="G101" s="75">
        <f t="array" aca="1" ref="G101" ca="1">IF($G$7=G$14,IF($G$8="Max",_xlfn.MAXIFS(INDIRECT("'"&amp;$G$6&amp;"'!"&amp;G$15&amp;"65:"&amp;G$15&amp;$J$6),INDIRECT("'"&amp;$G$6&amp;"'!"&amp;"E65:E"&amp;$J$6),$B101,INDIRECT("'"&amp;$G$6&amp;"'!"&amp;"D65:D"&amp;$J$6),$C101),_xlfn.MINIFS(INDIRECT("'"&amp;$G$6&amp;"'!"&amp;G$15&amp;"65:"&amp;G$15&amp;$J$6),INDIRECT("'"&amp;$G$6&amp;"'!"&amp;"E65:E"&amp;$J$6),$B101,INDIRECT("'"&amp;$G$6&amp;"'!"&amp;"D65:D"&amp;$J$6),$C101)),INDEX(INDIRECT("'"&amp;$G$6&amp;"'!"&amp;G$15&amp;"65:"&amp;G$15&amp;$J$6),$D101))</f>
        <v>0</v>
      </c>
      <c r="H101" s="75" t="e">
        <f ca="1">IF($G$7=H$14,IF($G$8="Max",_xlfn.MAXIFS(INDIRECT("'"&amp;$G$6&amp;"'!"&amp;H$15&amp;"65:"&amp;H$15&amp;$J$6),INDIRECT("'"&amp;$G$6&amp;"'!"&amp;"E65:E"&amp;$J$6),$B101,INDIRECT("'"&amp;$G$6&amp;"'!"&amp;"D65:D"&amp;$J$6),$C101),_xlfn.MINIFS(INDIRECT("'"&amp;$G$6&amp;"'!"&amp;H$15&amp;"65:"&amp;H$15&amp;$J$6),INDIRECT("'"&amp;$G$6&amp;"'!"&amp;"E65:E"&amp;$J$6),$B101,INDIRECT("'"&amp;$G$6&amp;"'!"&amp;"D65:D"&amp;$J$6),$C101)),INDEX(INDIRECT("'"&amp;$G$6&amp;"'!"&amp;H$15&amp;"65:"&amp;H$15&amp;$J$6),$D101))</f>
        <v>#N/A</v>
      </c>
      <c r="I101" s="75" t="e">
        <f ca="1">IF($G$7=I$14,IF($G$8="Max",_xlfn.MAXIFS(INDIRECT("'"&amp;$G$6&amp;"'!"&amp;I$15&amp;"65:"&amp;I$15&amp;$J$6),INDIRECT("'"&amp;$G$6&amp;"'!"&amp;"E65:E"&amp;$J$6),$B101,INDIRECT("'"&amp;$G$6&amp;"'!"&amp;"D65:D"&amp;$J$6),$C101),_xlfn.MINIFS(INDIRECT("'"&amp;$G$6&amp;"'!"&amp;I$15&amp;"65:"&amp;I$15&amp;$J$6),INDIRECT("'"&amp;$G$6&amp;"'!"&amp;"E65:E"&amp;$J$6),$B101,INDIRECT("'"&amp;$G$6&amp;"'!"&amp;"D65:D"&amp;$J$6),$C101)),INDEX(INDIRECT("'"&amp;$G$6&amp;"'!"&amp;I$15&amp;"65:"&amp;I$15&amp;$J$6),$D101))</f>
        <v>#N/A</v>
      </c>
      <c r="J101" s="75" t="e">
        <f ca="1">IF($G$7=J$14,IF($G$8="Max",_xlfn.MAXIFS(INDIRECT("'"&amp;$G$6&amp;"'!"&amp;J$15&amp;"65:"&amp;J$15&amp;$J$6),INDIRECT("'"&amp;$G$6&amp;"'!"&amp;"E65:E"&amp;$J$6),$B101,INDIRECT("'"&amp;$G$6&amp;"'!"&amp;"D65:D"&amp;$J$6),$C101),_xlfn.MINIFS(INDIRECT("'"&amp;$G$6&amp;"'!"&amp;J$15&amp;"65:"&amp;J$15&amp;$J$6),INDIRECT("'"&amp;$G$6&amp;"'!"&amp;"E65:E"&amp;$J$6),$B101,INDIRECT("'"&amp;$G$6&amp;"'!"&amp;"D65:D"&amp;$J$6),$C101)),INDEX(INDIRECT("'"&amp;$G$6&amp;"'!"&amp;J$15&amp;"65:"&amp;J$15&amp;$J$6),$D101))</f>
        <v>#N/A</v>
      </c>
      <c r="K101" s="75" t="e">
        <f ca="1">IF($G$7=K$14,IF($G$8="Max",_xlfn.MAXIFS(INDIRECT("'"&amp;$G$6&amp;"'!"&amp;K$15&amp;"65:"&amp;K$15&amp;$J$6),INDIRECT("'"&amp;$G$6&amp;"'!"&amp;"E65:E"&amp;$J$6),$B101,INDIRECT("'"&amp;$G$6&amp;"'!"&amp;"D65:D"&amp;$J$6),$C101),_xlfn.MINIFS(INDIRECT("'"&amp;$G$6&amp;"'!"&amp;K$15&amp;"65:"&amp;K$15&amp;$J$6),INDIRECT("'"&amp;$G$6&amp;"'!"&amp;"E65:E"&amp;$J$6),$B101,INDIRECT("'"&amp;$G$6&amp;"'!"&amp;"D65:D"&amp;$J$6),$C101)),INDEX(INDIRECT("'"&amp;$G$6&amp;"'!"&amp;K$15&amp;"65:"&amp;K$15&amp;$J$6),$D101))</f>
        <v>#N/A</v>
      </c>
      <c r="L101" s="75" t="e">
        <f ca="1">IF($G$7=L$14,IF($G$8="Max",_xlfn.MAXIFS(INDIRECT("'"&amp;$G$6&amp;"'!"&amp;L$15&amp;"65:"&amp;L$15&amp;$J$6),INDIRECT("'"&amp;$G$6&amp;"'!"&amp;"E65:E"&amp;$J$6),$B101,INDIRECT("'"&amp;$G$6&amp;"'!"&amp;"D65:D"&amp;$J$6),$C101),_xlfn.MINIFS(INDIRECT("'"&amp;$G$6&amp;"'!"&amp;L$15&amp;"65:"&amp;L$15&amp;$J$6),INDIRECT("'"&amp;$G$6&amp;"'!"&amp;"E65:E"&amp;$J$6),$B101,INDIRECT("'"&amp;$G$6&amp;"'!"&amp;"D65:D"&amp;$J$6),$C101)),INDEX(INDIRECT("'"&amp;$G$6&amp;"'!"&amp;L$15&amp;"65:"&amp;L$15&amp;$J$6),$D101))</f>
        <v>#N/A</v>
      </c>
      <c r="M101" s="69"/>
      <c r="N101" s="69"/>
      <c r="O101" s="69"/>
      <c r="P101" s="69"/>
      <c r="Q101" s="69"/>
      <c r="R101" s="69"/>
    </row>
    <row r="102" spans="1:18" x14ac:dyDescent="0.25">
      <c r="A102" s="91" t="str">
        <f t="shared" ref="A102:A109" si="35">A18</f>
        <v>P01C</v>
      </c>
      <c r="B102" s="99">
        <f>6</f>
        <v>6</v>
      </c>
      <c r="C102" s="99">
        <f ca="1">INDEX(INDIRECT("MemberID!G6:G"&amp;MemberID!$C$1),MATCH(Interface!A102,INDIRECT("MemberID!C6:C"&amp;MemberID!$C$1),0))</f>
        <v>0</v>
      </c>
      <c r="D102" s="99" t="e">
        <f t="shared" ref="D102:D109" ca="1" si="36">MATCH(INDIRECT($J$7&amp;ROW()),INDIRECT("'"&amp;$G$6&amp;"'!"&amp;$L$7&amp;"65:"&amp;$L$7&amp;$J$6),0)</f>
        <v>#N/A</v>
      </c>
      <c r="E102" s="100" t="str">
        <f t="shared" ref="E102:E109" si="37">E18</f>
        <v>-</v>
      </c>
      <c r="F102" s="87" t="e">
        <f t="shared" ref="F102:F109" ca="1" si="38">INDEX(INDIRECT("'"&amp;$G$6&amp;"'!"&amp;F$15&amp;"65:"&amp;F$15&amp;$J$6),$D102)</f>
        <v>#N/A</v>
      </c>
      <c r="G102" s="75">
        <f t="array" aca="1" ref="G102" ca="1">IF($G$7=G$14,IF($G$8="Max",_xlfn.MAXIFS(INDIRECT("'"&amp;$G$6&amp;"'!"&amp;G$15&amp;"65:"&amp;G$15&amp;$J$6),INDIRECT("'"&amp;$G$6&amp;"'!"&amp;"E65:E"&amp;$J$6),$B102,INDIRECT("'"&amp;$G$6&amp;"'!"&amp;"D65:D"&amp;$J$6),$C102),_xlfn.MINIFS(INDIRECT("'"&amp;$G$6&amp;"'!"&amp;G$15&amp;"65:"&amp;G$15&amp;$J$6),INDIRECT("'"&amp;$G$6&amp;"'!"&amp;"E65:E"&amp;$J$6),$B102,INDIRECT("'"&amp;$G$6&amp;"'!"&amp;"D65:D"&amp;$J$6),$C102)),INDEX(INDIRECT("'"&amp;$G$6&amp;"'!"&amp;G$15&amp;"65:"&amp;G$15&amp;$J$6),$D102))</f>
        <v>0</v>
      </c>
      <c r="H102" s="75" t="e">
        <f t="shared" ref="H102:L109" ca="1" si="39">IF($G$7=H$14,IF($G$8="Max",_xlfn.MAXIFS(INDIRECT("'"&amp;$G$6&amp;"'!"&amp;H$15&amp;"65:"&amp;H$15&amp;$J$6),INDIRECT("'"&amp;$G$6&amp;"'!"&amp;"E65:E"&amp;$J$6),$B102,INDIRECT("'"&amp;$G$6&amp;"'!"&amp;"D65:D"&amp;$J$6),$C102),_xlfn.MINIFS(INDIRECT("'"&amp;$G$6&amp;"'!"&amp;H$15&amp;"65:"&amp;H$15&amp;$J$6),INDIRECT("'"&amp;$G$6&amp;"'!"&amp;"E65:E"&amp;$J$6),$B102,INDIRECT("'"&amp;$G$6&amp;"'!"&amp;"D65:D"&amp;$J$6),$C102)),INDEX(INDIRECT("'"&amp;$G$6&amp;"'!"&amp;H$15&amp;"65:"&amp;H$15&amp;$J$6),$D102))</f>
        <v>#N/A</v>
      </c>
      <c r="I102" s="75" t="e">
        <f t="shared" ca="1" si="39"/>
        <v>#N/A</v>
      </c>
      <c r="J102" s="75" t="e">
        <f t="shared" ca="1" si="39"/>
        <v>#N/A</v>
      </c>
      <c r="K102" s="75" t="e">
        <f t="shared" ca="1" si="39"/>
        <v>#N/A</v>
      </c>
      <c r="L102" s="75" t="e">
        <f t="shared" ca="1" si="39"/>
        <v>#N/A</v>
      </c>
      <c r="M102" s="69"/>
      <c r="N102" s="69"/>
      <c r="O102" s="69"/>
      <c r="P102" s="69"/>
      <c r="Q102" s="69"/>
      <c r="R102" s="69"/>
    </row>
    <row r="103" spans="1:18" x14ac:dyDescent="0.25">
      <c r="A103" s="91" t="str">
        <f t="shared" si="35"/>
        <v>P01L</v>
      </c>
      <c r="B103" s="99">
        <f>6</f>
        <v>6</v>
      </c>
      <c r="C103" s="99">
        <f ca="1">INDEX(INDIRECT("MemberID!G6:G"&amp;MemberID!$C$1),MATCH(Interface!A103,INDIRECT("MemberID!C6:C"&amp;MemberID!$C$1),0))</f>
        <v>0</v>
      </c>
      <c r="D103" s="99" t="e">
        <f t="shared" ca="1" si="36"/>
        <v>#N/A</v>
      </c>
      <c r="E103" s="100" t="str">
        <f t="shared" si="37"/>
        <v>-</v>
      </c>
      <c r="F103" s="87" t="e">
        <f t="shared" ca="1" si="38"/>
        <v>#N/A</v>
      </c>
      <c r="G103" s="75">
        <f t="array" aca="1" ref="G103" ca="1">IF($G$7=G$14,IF($G$8="Max",_xlfn.MAXIFS(INDIRECT("'"&amp;$G$6&amp;"'!"&amp;G$15&amp;"65:"&amp;G$15&amp;$J$6),INDIRECT("'"&amp;$G$6&amp;"'!"&amp;"E65:E"&amp;$J$6),$B103,INDIRECT("'"&amp;$G$6&amp;"'!"&amp;"D65:D"&amp;$J$6),$C103),_xlfn.MINIFS(INDIRECT("'"&amp;$G$6&amp;"'!"&amp;G$15&amp;"65:"&amp;G$15&amp;$J$6),INDIRECT("'"&amp;$G$6&amp;"'!"&amp;"E65:E"&amp;$J$6),$B103,INDIRECT("'"&amp;$G$6&amp;"'!"&amp;"D65:D"&amp;$J$6),$C103)),INDEX(INDIRECT("'"&amp;$G$6&amp;"'!"&amp;G$15&amp;"65:"&amp;G$15&amp;$J$6),$D103))</f>
        <v>0</v>
      </c>
      <c r="H103" s="75" t="e">
        <f t="shared" ca="1" si="39"/>
        <v>#N/A</v>
      </c>
      <c r="I103" s="75" t="e">
        <f t="shared" ca="1" si="39"/>
        <v>#N/A</v>
      </c>
      <c r="J103" s="75" t="e">
        <f t="shared" ca="1" si="39"/>
        <v>#N/A</v>
      </c>
      <c r="K103" s="75" t="e">
        <f t="shared" ca="1" si="39"/>
        <v>#N/A</v>
      </c>
      <c r="L103" s="75" t="e">
        <f t="shared" ca="1" si="39"/>
        <v>#N/A</v>
      </c>
      <c r="M103" s="69"/>
      <c r="N103" s="69"/>
      <c r="O103" s="69"/>
      <c r="P103" s="69"/>
      <c r="Q103" s="69"/>
      <c r="R103" s="69"/>
    </row>
    <row r="104" spans="1:18" x14ac:dyDescent="0.25">
      <c r="A104" s="91" t="str">
        <f t="shared" si="35"/>
        <v>P02R</v>
      </c>
      <c r="B104" s="99">
        <f>6</f>
        <v>6</v>
      </c>
      <c r="C104" s="99">
        <f ca="1">INDEX(INDIRECT("MemberID!G6:G"&amp;MemberID!$C$1),MATCH(Interface!A104,INDIRECT("MemberID!C6:C"&amp;MemberID!$C$1),0))</f>
        <v>0</v>
      </c>
      <c r="D104" s="99" t="e">
        <f t="shared" ca="1" si="36"/>
        <v>#N/A</v>
      </c>
      <c r="E104" s="100" t="str">
        <f t="shared" si="37"/>
        <v>-</v>
      </c>
      <c r="F104" s="87" t="e">
        <f t="shared" ca="1" si="38"/>
        <v>#N/A</v>
      </c>
      <c r="G104" s="75">
        <f t="array" aca="1" ref="G104" ca="1">IF($G$7=G$14,IF($G$8="Max",_xlfn.MAXIFS(INDIRECT("'"&amp;$G$6&amp;"'!"&amp;G$15&amp;"65:"&amp;G$15&amp;$J$6),INDIRECT("'"&amp;$G$6&amp;"'!"&amp;"E65:E"&amp;$J$6),$B104,INDIRECT("'"&amp;$G$6&amp;"'!"&amp;"D65:D"&amp;$J$6),$C104),_xlfn.MINIFS(INDIRECT("'"&amp;$G$6&amp;"'!"&amp;G$15&amp;"65:"&amp;G$15&amp;$J$6),INDIRECT("'"&amp;$G$6&amp;"'!"&amp;"E65:E"&amp;$J$6),$B104,INDIRECT("'"&amp;$G$6&amp;"'!"&amp;"D65:D"&amp;$J$6),$C104)),INDEX(INDIRECT("'"&amp;$G$6&amp;"'!"&amp;G$15&amp;"65:"&amp;G$15&amp;$J$6),$D104))</f>
        <v>0</v>
      </c>
      <c r="H104" s="75" t="e">
        <f t="shared" ca="1" si="39"/>
        <v>#N/A</v>
      </c>
      <c r="I104" s="75" t="e">
        <f t="shared" ca="1" si="39"/>
        <v>#N/A</v>
      </c>
      <c r="J104" s="75" t="e">
        <f t="shared" ca="1" si="39"/>
        <v>#N/A</v>
      </c>
      <c r="K104" s="75" t="e">
        <f t="shared" ca="1" si="39"/>
        <v>#N/A</v>
      </c>
      <c r="L104" s="75" t="e">
        <f t="shared" ca="1" si="39"/>
        <v>#N/A</v>
      </c>
      <c r="M104" s="69"/>
      <c r="N104" s="69"/>
      <c r="O104" s="69"/>
      <c r="P104" s="69"/>
      <c r="Q104" s="69"/>
      <c r="R104" s="69"/>
    </row>
    <row r="105" spans="1:18" x14ac:dyDescent="0.25">
      <c r="A105" s="91" t="str">
        <f t="shared" si="35"/>
        <v>P02C</v>
      </c>
      <c r="B105" s="99">
        <f>6</f>
        <v>6</v>
      </c>
      <c r="C105" s="99">
        <f ca="1">INDEX(INDIRECT("MemberID!G6:G"&amp;MemberID!$C$1),MATCH(Interface!A105,INDIRECT("MemberID!C6:C"&amp;MemberID!$C$1),0))</f>
        <v>0</v>
      </c>
      <c r="D105" s="99" t="e">
        <f t="shared" ca="1" si="36"/>
        <v>#N/A</v>
      </c>
      <c r="E105" s="100" t="str">
        <f t="shared" si="37"/>
        <v>-</v>
      </c>
      <c r="F105" s="87" t="e">
        <f t="shared" ca="1" si="38"/>
        <v>#N/A</v>
      </c>
      <c r="G105" s="75">
        <f t="array" aca="1" ref="G105" ca="1">IF($G$7=G$14,IF($G$8="Max",_xlfn.MAXIFS(INDIRECT("'"&amp;$G$6&amp;"'!"&amp;G$15&amp;"65:"&amp;G$15&amp;$J$6),INDIRECT("'"&amp;$G$6&amp;"'!"&amp;"E65:E"&amp;$J$6),$B105,INDIRECT("'"&amp;$G$6&amp;"'!"&amp;"D65:D"&amp;$J$6),$C105),_xlfn.MINIFS(INDIRECT("'"&amp;$G$6&amp;"'!"&amp;G$15&amp;"65:"&amp;G$15&amp;$J$6),INDIRECT("'"&amp;$G$6&amp;"'!"&amp;"E65:E"&amp;$J$6),$B105,INDIRECT("'"&amp;$G$6&amp;"'!"&amp;"D65:D"&amp;$J$6),$C105)),INDEX(INDIRECT("'"&amp;$G$6&amp;"'!"&amp;G$15&amp;"65:"&amp;G$15&amp;$J$6),$D105))</f>
        <v>0</v>
      </c>
      <c r="H105" s="75" t="e">
        <f t="shared" ca="1" si="39"/>
        <v>#N/A</v>
      </c>
      <c r="I105" s="75" t="e">
        <f t="shared" ca="1" si="39"/>
        <v>#N/A</v>
      </c>
      <c r="J105" s="75" t="e">
        <f t="shared" ca="1" si="39"/>
        <v>#N/A</v>
      </c>
      <c r="K105" s="75" t="e">
        <f t="shared" ca="1" si="39"/>
        <v>#N/A</v>
      </c>
      <c r="L105" s="75" t="e">
        <f t="shared" ca="1" si="39"/>
        <v>#N/A</v>
      </c>
      <c r="M105" s="69"/>
      <c r="N105" s="69"/>
      <c r="O105" s="69"/>
      <c r="P105" s="69"/>
      <c r="Q105" s="69"/>
      <c r="R105" s="69"/>
    </row>
    <row r="106" spans="1:18" x14ac:dyDescent="0.25">
      <c r="A106" s="91" t="str">
        <f t="shared" si="35"/>
        <v>P02L</v>
      </c>
      <c r="B106" s="99">
        <f>6</f>
        <v>6</v>
      </c>
      <c r="C106" s="99">
        <f ca="1">INDEX(INDIRECT("MemberID!G6:G"&amp;MemberID!$C$1),MATCH(Interface!A106,INDIRECT("MemberID!C6:C"&amp;MemberID!$C$1),0))</f>
        <v>0</v>
      </c>
      <c r="D106" s="99" t="e">
        <f t="shared" ca="1" si="36"/>
        <v>#N/A</v>
      </c>
      <c r="E106" s="100" t="str">
        <f t="shared" si="37"/>
        <v>-</v>
      </c>
      <c r="F106" s="87" t="e">
        <f t="shared" ca="1" si="38"/>
        <v>#N/A</v>
      </c>
      <c r="G106" s="75">
        <f t="array" aca="1" ref="G106" ca="1">IF($G$7=G$14,IF($G$8="Max",_xlfn.MAXIFS(INDIRECT("'"&amp;$G$6&amp;"'!"&amp;G$15&amp;"65:"&amp;G$15&amp;$J$6),INDIRECT("'"&amp;$G$6&amp;"'!"&amp;"E65:E"&amp;$J$6),$B106,INDIRECT("'"&amp;$G$6&amp;"'!"&amp;"D65:D"&amp;$J$6),$C106),_xlfn.MINIFS(INDIRECT("'"&amp;$G$6&amp;"'!"&amp;G$15&amp;"65:"&amp;G$15&amp;$J$6),INDIRECT("'"&amp;$G$6&amp;"'!"&amp;"E65:E"&amp;$J$6),$B106,INDIRECT("'"&amp;$G$6&amp;"'!"&amp;"D65:D"&amp;$J$6),$C106)),INDEX(INDIRECT("'"&amp;$G$6&amp;"'!"&amp;G$15&amp;"65:"&amp;G$15&amp;$J$6),$D106))</f>
        <v>0</v>
      </c>
      <c r="H106" s="75" t="e">
        <f t="shared" ca="1" si="39"/>
        <v>#N/A</v>
      </c>
      <c r="I106" s="75" t="e">
        <f t="shared" ca="1" si="39"/>
        <v>#N/A</v>
      </c>
      <c r="J106" s="75" t="e">
        <f t="shared" ca="1" si="39"/>
        <v>#N/A</v>
      </c>
      <c r="K106" s="75" t="e">
        <f t="shared" ca="1" si="39"/>
        <v>#N/A</v>
      </c>
      <c r="L106" s="75" t="e">
        <f t="shared" ca="1" si="39"/>
        <v>#N/A</v>
      </c>
      <c r="M106" s="69"/>
      <c r="N106" s="69"/>
      <c r="O106" s="69"/>
      <c r="P106" s="69"/>
      <c r="Q106" s="69"/>
      <c r="R106" s="69"/>
    </row>
    <row r="107" spans="1:18" x14ac:dyDescent="0.25">
      <c r="A107" s="91" t="str">
        <f t="shared" si="35"/>
        <v>P03R</v>
      </c>
      <c r="B107" s="99">
        <f>6</f>
        <v>6</v>
      </c>
      <c r="C107" s="99">
        <f ca="1">INDEX(INDIRECT("MemberID!G6:G"&amp;MemberID!$C$1),MATCH(Interface!A107,INDIRECT("MemberID!C6:C"&amp;MemberID!$C$1),0))</f>
        <v>0</v>
      </c>
      <c r="D107" s="99" t="e">
        <f t="shared" ca="1" si="36"/>
        <v>#N/A</v>
      </c>
      <c r="E107" s="100" t="str">
        <f t="shared" si="37"/>
        <v>-</v>
      </c>
      <c r="F107" s="87" t="e">
        <f t="shared" ca="1" si="38"/>
        <v>#N/A</v>
      </c>
      <c r="G107" s="75">
        <f t="array" aca="1" ref="G107" ca="1">IF($G$7=G$14,IF($G$8="Max",_xlfn.MAXIFS(INDIRECT("'"&amp;$G$6&amp;"'!"&amp;G$15&amp;"65:"&amp;G$15&amp;$J$6),INDIRECT("'"&amp;$G$6&amp;"'!"&amp;"E65:E"&amp;$J$6),$B107,INDIRECT("'"&amp;$G$6&amp;"'!"&amp;"D65:D"&amp;$J$6),$C107),_xlfn.MINIFS(INDIRECT("'"&amp;$G$6&amp;"'!"&amp;G$15&amp;"65:"&amp;G$15&amp;$J$6),INDIRECT("'"&amp;$G$6&amp;"'!"&amp;"E65:E"&amp;$J$6),$B107,INDIRECT("'"&amp;$G$6&amp;"'!"&amp;"D65:D"&amp;$J$6),$C107)),INDEX(INDIRECT("'"&amp;$G$6&amp;"'!"&amp;G$15&amp;"65:"&amp;G$15&amp;$J$6),$D107))</f>
        <v>0</v>
      </c>
      <c r="H107" s="75" t="e">
        <f t="shared" ca="1" si="39"/>
        <v>#N/A</v>
      </c>
      <c r="I107" s="75" t="e">
        <f t="shared" ca="1" si="39"/>
        <v>#N/A</v>
      </c>
      <c r="J107" s="75" t="e">
        <f t="shared" ca="1" si="39"/>
        <v>#N/A</v>
      </c>
      <c r="K107" s="75" t="e">
        <f t="shared" ca="1" si="39"/>
        <v>#N/A</v>
      </c>
      <c r="L107" s="75" t="e">
        <f t="shared" ca="1" si="39"/>
        <v>#N/A</v>
      </c>
      <c r="M107" s="69"/>
      <c r="N107" s="69"/>
      <c r="O107" s="69"/>
      <c r="P107" s="69"/>
      <c r="Q107" s="69"/>
      <c r="R107" s="69"/>
    </row>
    <row r="108" spans="1:18" x14ac:dyDescent="0.25">
      <c r="A108" s="91" t="str">
        <f t="shared" si="35"/>
        <v>P03C</v>
      </c>
      <c r="B108" s="99">
        <f>6</f>
        <v>6</v>
      </c>
      <c r="C108" s="99">
        <f ca="1">INDEX(INDIRECT("MemberID!G6:G"&amp;MemberID!$C$1),MATCH(Interface!A108,INDIRECT("MemberID!C6:C"&amp;MemberID!$C$1),0))</f>
        <v>0</v>
      </c>
      <c r="D108" s="99" t="e">
        <f t="shared" ca="1" si="36"/>
        <v>#N/A</v>
      </c>
      <c r="E108" s="100" t="str">
        <f t="shared" si="37"/>
        <v>-</v>
      </c>
      <c r="F108" s="87" t="e">
        <f t="shared" ca="1" si="38"/>
        <v>#N/A</v>
      </c>
      <c r="G108" s="75">
        <f t="array" aca="1" ref="G108" ca="1">IF($G$7=G$14,IF($G$8="Max",_xlfn.MAXIFS(INDIRECT("'"&amp;$G$6&amp;"'!"&amp;G$15&amp;"65:"&amp;G$15&amp;$J$6),INDIRECT("'"&amp;$G$6&amp;"'!"&amp;"E65:E"&amp;$J$6),$B108,INDIRECT("'"&amp;$G$6&amp;"'!"&amp;"D65:D"&amp;$J$6),$C108),_xlfn.MINIFS(INDIRECT("'"&amp;$G$6&amp;"'!"&amp;G$15&amp;"65:"&amp;G$15&amp;$J$6),INDIRECT("'"&amp;$G$6&amp;"'!"&amp;"E65:E"&amp;$J$6),$B108,INDIRECT("'"&amp;$G$6&amp;"'!"&amp;"D65:D"&amp;$J$6),$C108)),INDEX(INDIRECT("'"&amp;$G$6&amp;"'!"&amp;G$15&amp;"65:"&amp;G$15&amp;$J$6),$D108))</f>
        <v>0</v>
      </c>
      <c r="H108" s="75" t="e">
        <f t="shared" ca="1" si="39"/>
        <v>#N/A</v>
      </c>
      <c r="I108" s="75" t="e">
        <f t="shared" ca="1" si="39"/>
        <v>#N/A</v>
      </c>
      <c r="J108" s="75" t="e">
        <f t="shared" ca="1" si="39"/>
        <v>#N/A</v>
      </c>
      <c r="K108" s="75" t="e">
        <f t="shared" ca="1" si="39"/>
        <v>#N/A</v>
      </c>
      <c r="L108" s="75" t="e">
        <f t="shared" ca="1" si="39"/>
        <v>#N/A</v>
      </c>
      <c r="M108" s="69"/>
      <c r="N108" s="69"/>
      <c r="O108" s="69"/>
      <c r="P108" s="69"/>
      <c r="Q108" s="69"/>
      <c r="R108" s="69"/>
    </row>
    <row r="109" spans="1:18" x14ac:dyDescent="0.25">
      <c r="A109" s="91" t="str">
        <f t="shared" si="35"/>
        <v>P03L</v>
      </c>
      <c r="B109" s="99">
        <f>6</f>
        <v>6</v>
      </c>
      <c r="C109" s="99">
        <f ca="1">INDEX(INDIRECT("MemberID!G6:G"&amp;MemberID!$C$1),MATCH(Interface!A109,INDIRECT("MemberID!C6:C"&amp;MemberID!$C$1),0))</f>
        <v>0</v>
      </c>
      <c r="D109" s="99" t="e">
        <f t="shared" ca="1" si="36"/>
        <v>#N/A</v>
      </c>
      <c r="E109" s="100" t="str">
        <f t="shared" si="37"/>
        <v>-</v>
      </c>
      <c r="F109" s="87" t="e">
        <f t="shared" ca="1" si="38"/>
        <v>#N/A</v>
      </c>
      <c r="G109" s="75">
        <f t="array" aca="1" ref="G109" ca="1">IF($G$7=G$14,IF($G$8="Max",_xlfn.MAXIFS(INDIRECT("'"&amp;$G$6&amp;"'!"&amp;G$15&amp;"65:"&amp;G$15&amp;$J$6),INDIRECT("'"&amp;$G$6&amp;"'!"&amp;"E65:E"&amp;$J$6),$B109,INDIRECT("'"&amp;$G$6&amp;"'!"&amp;"D65:D"&amp;$J$6),$C109),_xlfn.MINIFS(INDIRECT("'"&amp;$G$6&amp;"'!"&amp;G$15&amp;"65:"&amp;G$15&amp;$J$6),INDIRECT("'"&amp;$G$6&amp;"'!"&amp;"E65:E"&amp;$J$6),$B109,INDIRECT("'"&amp;$G$6&amp;"'!"&amp;"D65:D"&amp;$J$6),$C109)),INDEX(INDIRECT("'"&amp;$G$6&amp;"'!"&amp;G$15&amp;"65:"&amp;G$15&amp;$J$6),$D109))</f>
        <v>0</v>
      </c>
      <c r="H109" s="75" t="e">
        <f t="shared" ca="1" si="39"/>
        <v>#N/A</v>
      </c>
      <c r="I109" s="75" t="e">
        <f t="shared" ca="1" si="39"/>
        <v>#N/A</v>
      </c>
      <c r="J109" s="75" t="e">
        <f t="shared" ca="1" si="39"/>
        <v>#N/A</v>
      </c>
      <c r="K109" s="75" t="e">
        <f t="shared" ca="1" si="39"/>
        <v>#N/A</v>
      </c>
      <c r="L109" s="75" t="e">
        <f t="shared" ca="1" si="39"/>
        <v>#N/A</v>
      </c>
      <c r="M109" s="69"/>
      <c r="N109" s="69"/>
      <c r="O109" s="69"/>
      <c r="P109" s="69"/>
      <c r="Q109" s="69"/>
      <c r="R109" s="69"/>
    </row>
    <row r="111" spans="1:18" x14ac:dyDescent="0.25">
      <c r="A111" s="108" t="s">
        <v>276</v>
      </c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</row>
    <row r="112" spans="1:18" x14ac:dyDescent="0.25">
      <c r="A112" s="91" t="s">
        <v>13</v>
      </c>
      <c r="B112" s="99" t="s">
        <v>191</v>
      </c>
      <c r="C112" s="99" t="s">
        <v>219</v>
      </c>
      <c r="D112" s="99" t="s">
        <v>226</v>
      </c>
      <c r="E112" s="111" t="s">
        <v>258</v>
      </c>
      <c r="F112" s="91" t="s">
        <v>261</v>
      </c>
      <c r="G112" s="91" t="s">
        <v>123</v>
      </c>
      <c r="H112" s="91" t="s">
        <v>124</v>
      </c>
      <c r="I112" s="91" t="s">
        <v>125</v>
      </c>
      <c r="J112" s="91" t="s">
        <v>126</v>
      </c>
      <c r="K112" s="91" t="s">
        <v>127</v>
      </c>
      <c r="L112" s="91" t="s">
        <v>128</v>
      </c>
      <c r="M112" s="99" t="s">
        <v>220</v>
      </c>
      <c r="N112" s="99" t="s">
        <v>221</v>
      </c>
      <c r="O112" s="99" t="s">
        <v>222</v>
      </c>
      <c r="P112" s="99" t="s">
        <v>223</v>
      </c>
      <c r="Q112" s="99" t="s">
        <v>224</v>
      </c>
      <c r="R112" s="99" t="s">
        <v>225</v>
      </c>
    </row>
    <row r="113" spans="1:18" x14ac:dyDescent="0.25">
      <c r="A113" s="91"/>
      <c r="B113" s="99" t="str">
        <f>SUBSTITUTE(ADDRESS(1,COLUMN('STR1 Forces'!E161),4),"1","")</f>
        <v>E</v>
      </c>
      <c r="C113" s="99" t="str">
        <f>SUBSTITUTE(ADDRESS(1,COLUMN('STR1 Forces'!D161),4),"1","")</f>
        <v>D</v>
      </c>
      <c r="D113" s="99"/>
      <c r="E113" s="91"/>
      <c r="F113" s="99" t="str">
        <f>SUBSTITUTE(ADDRESS(1,COLUMN('STR1 Forces'!I161),4),"1","")</f>
        <v>I</v>
      </c>
      <c r="G113" s="99" t="str">
        <f>SUBSTITUTE(ADDRESS(1,COLUMN('STR1 Forces'!J161),4),"1","")</f>
        <v>J</v>
      </c>
      <c r="H113" s="99" t="str">
        <f>SUBSTITUTE(ADDRESS(1,COLUMN('STR1 Forces'!K161),4),"1","")</f>
        <v>K</v>
      </c>
      <c r="I113" s="99" t="str">
        <f>SUBSTITUTE(ADDRESS(1,COLUMN('STR1 Forces'!L161),4),"1","")</f>
        <v>L</v>
      </c>
      <c r="J113" s="99" t="str">
        <f>SUBSTITUTE(ADDRESS(1,COLUMN('STR1 Forces'!M161),4),"1","")</f>
        <v>M</v>
      </c>
      <c r="K113" s="99" t="str">
        <f>SUBSTITUTE(ADDRESS(1,COLUMN('STR1 Forces'!N161),4),"1","")</f>
        <v>N</v>
      </c>
      <c r="L113" s="99" t="str">
        <f>SUBSTITUTE(ADDRESS(1,COLUMN('STR1 Forces'!O161),4),"1","")</f>
        <v>O</v>
      </c>
      <c r="M113" s="69"/>
      <c r="N113" s="69"/>
      <c r="O113" s="69"/>
      <c r="P113" s="69"/>
      <c r="Q113" s="69"/>
      <c r="R113" s="69"/>
    </row>
    <row r="114" spans="1:18" x14ac:dyDescent="0.25">
      <c r="A114" s="91" t="str">
        <f>$G$8</f>
        <v>Max</v>
      </c>
      <c r="B114" s="75"/>
      <c r="C114" s="75"/>
      <c r="D114" s="75"/>
      <c r="E114" s="75"/>
      <c r="F114" s="75"/>
      <c r="G114" s="75">
        <f ca="1">IF($G$8="Max",MAX(G115:G123),MIN(G115:G123))</f>
        <v>0</v>
      </c>
      <c r="H114" s="75" t="e">
        <f t="shared" ref="H114:L114" ca="1" si="40">MAX(H115)</f>
        <v>#N/A</v>
      </c>
      <c r="I114" s="75" t="e">
        <f t="shared" ca="1" si="40"/>
        <v>#N/A</v>
      </c>
      <c r="J114" s="75" t="e">
        <f t="shared" ca="1" si="40"/>
        <v>#N/A</v>
      </c>
      <c r="K114" s="75" t="e">
        <f t="shared" ca="1" si="40"/>
        <v>#N/A</v>
      </c>
      <c r="L114" s="75" t="e">
        <f t="shared" ca="1" si="40"/>
        <v>#N/A</v>
      </c>
      <c r="M114" s="69"/>
      <c r="N114" s="69"/>
      <c r="O114" s="69"/>
      <c r="P114" s="69"/>
      <c r="Q114" s="69"/>
      <c r="R114" s="69"/>
    </row>
    <row r="115" spans="1:18" x14ac:dyDescent="0.25">
      <c r="A115" s="91" t="str">
        <f>A17</f>
        <v>P01R</v>
      </c>
      <c r="B115" s="99">
        <f>7</f>
        <v>7</v>
      </c>
      <c r="C115" s="99">
        <f ca="1">INDEX(INDIRECT("MemberID!G6:G"&amp;MemberID!$C$1),MATCH(Interface!A115,INDIRECT("MemberID!C6:C"&amp;MemberID!$C$1),0))</f>
        <v>0</v>
      </c>
      <c r="D115" s="99" t="e">
        <f ca="1">MATCH(INDIRECT($J$7&amp;ROW()),INDIRECT("'"&amp;$G$6&amp;"'!"&amp;$L$7&amp;"65:"&amp;$L$7&amp;$J$6),0)</f>
        <v>#N/A</v>
      </c>
      <c r="E115" s="100" t="str">
        <f>E17</f>
        <v>-</v>
      </c>
      <c r="F115" s="87" t="e">
        <f ca="1">INDEX(INDIRECT("'"&amp;$G$6&amp;"'!"&amp;F$15&amp;"65:"&amp;F$15&amp;$J$6),$D115)</f>
        <v>#N/A</v>
      </c>
      <c r="G115" s="75">
        <f t="array" aca="1" ref="G115" ca="1">IF($G$7=G$14,IF($G$8="Max",_xlfn.MAXIFS(INDIRECT("'"&amp;$G$6&amp;"'!"&amp;G$15&amp;"65:"&amp;G$15&amp;$J$6),INDIRECT("'"&amp;$G$6&amp;"'!"&amp;"E65:E"&amp;$J$6),$B115,INDIRECT("'"&amp;$G$6&amp;"'!"&amp;"D65:D"&amp;$J$6),$C115),_xlfn.MINIFS(INDIRECT("'"&amp;$G$6&amp;"'!"&amp;G$15&amp;"65:"&amp;G$15&amp;$J$6),INDIRECT("'"&amp;$G$6&amp;"'!"&amp;"E65:E"&amp;$J$6),$B115,INDIRECT("'"&amp;$G$6&amp;"'!"&amp;"D65:D"&amp;$J$6),$C115)),INDEX(INDIRECT("'"&amp;$G$6&amp;"'!"&amp;G$15&amp;"65:"&amp;G$15&amp;$J$6),$D115))</f>
        <v>0</v>
      </c>
      <c r="H115" s="75" t="e">
        <f ca="1">IF($G$7=H$14,IF($G$8="Max",_xlfn.MAXIFS(INDIRECT("'"&amp;$G$6&amp;"'!"&amp;H$15&amp;"65:"&amp;H$15&amp;$J$6),INDIRECT("'"&amp;$G$6&amp;"'!"&amp;"E65:E"&amp;$J$6),$B115,INDIRECT("'"&amp;$G$6&amp;"'!"&amp;"D65:D"&amp;$J$6),$C115),_xlfn.MINIFS(INDIRECT("'"&amp;$G$6&amp;"'!"&amp;H$15&amp;"65:"&amp;H$15&amp;$J$6),INDIRECT("'"&amp;$G$6&amp;"'!"&amp;"E65:E"&amp;$J$6),$B115,INDIRECT("'"&amp;$G$6&amp;"'!"&amp;"D65:D"&amp;$J$6),$C115)),INDEX(INDIRECT("'"&amp;$G$6&amp;"'!"&amp;H$15&amp;"65:"&amp;H$15&amp;$J$6),$D115))</f>
        <v>#N/A</v>
      </c>
      <c r="I115" s="75" t="e">
        <f ca="1">IF($G$7=I$14,IF($G$8="Max",_xlfn.MAXIFS(INDIRECT("'"&amp;$G$6&amp;"'!"&amp;I$15&amp;"65:"&amp;I$15&amp;$J$6),INDIRECT("'"&amp;$G$6&amp;"'!"&amp;"E65:E"&amp;$J$6),$B115,INDIRECT("'"&amp;$G$6&amp;"'!"&amp;"D65:D"&amp;$J$6),$C115),_xlfn.MINIFS(INDIRECT("'"&amp;$G$6&amp;"'!"&amp;I$15&amp;"65:"&amp;I$15&amp;$J$6),INDIRECT("'"&amp;$G$6&amp;"'!"&amp;"E65:E"&amp;$J$6),$B115,INDIRECT("'"&amp;$G$6&amp;"'!"&amp;"D65:D"&amp;$J$6),$C115)),INDEX(INDIRECT("'"&amp;$G$6&amp;"'!"&amp;I$15&amp;"65:"&amp;I$15&amp;$J$6),$D115))</f>
        <v>#N/A</v>
      </c>
      <c r="J115" s="75" t="e">
        <f ca="1">IF($G$7=J$14,IF($G$8="Max",_xlfn.MAXIFS(INDIRECT("'"&amp;$G$6&amp;"'!"&amp;J$15&amp;"65:"&amp;J$15&amp;$J$6),INDIRECT("'"&amp;$G$6&amp;"'!"&amp;"E65:E"&amp;$J$6),$B115,INDIRECT("'"&amp;$G$6&amp;"'!"&amp;"D65:D"&amp;$J$6),$C115),_xlfn.MINIFS(INDIRECT("'"&amp;$G$6&amp;"'!"&amp;J$15&amp;"65:"&amp;J$15&amp;$J$6),INDIRECT("'"&amp;$G$6&amp;"'!"&amp;"E65:E"&amp;$J$6),$B115,INDIRECT("'"&amp;$G$6&amp;"'!"&amp;"D65:D"&amp;$J$6),$C115)),INDEX(INDIRECT("'"&amp;$G$6&amp;"'!"&amp;J$15&amp;"65:"&amp;J$15&amp;$J$6),$D115))</f>
        <v>#N/A</v>
      </c>
      <c r="K115" s="75" t="e">
        <f ca="1">IF($G$7=K$14,IF($G$8="Max",_xlfn.MAXIFS(INDIRECT("'"&amp;$G$6&amp;"'!"&amp;K$15&amp;"65:"&amp;K$15&amp;$J$6),INDIRECT("'"&amp;$G$6&amp;"'!"&amp;"E65:E"&amp;$J$6),$B115,INDIRECT("'"&amp;$G$6&amp;"'!"&amp;"D65:D"&amp;$J$6),$C115),_xlfn.MINIFS(INDIRECT("'"&amp;$G$6&amp;"'!"&amp;K$15&amp;"65:"&amp;K$15&amp;$J$6),INDIRECT("'"&amp;$G$6&amp;"'!"&amp;"E65:E"&amp;$J$6),$B115,INDIRECT("'"&amp;$G$6&amp;"'!"&amp;"D65:D"&amp;$J$6),$C115)),INDEX(INDIRECT("'"&amp;$G$6&amp;"'!"&amp;K$15&amp;"65:"&amp;K$15&amp;$J$6),$D115))</f>
        <v>#N/A</v>
      </c>
      <c r="L115" s="75" t="e">
        <f ca="1">IF($G$7=L$14,IF($G$8="Max",_xlfn.MAXIFS(INDIRECT("'"&amp;$G$6&amp;"'!"&amp;L$15&amp;"65:"&amp;L$15&amp;$J$6),INDIRECT("'"&amp;$G$6&amp;"'!"&amp;"E65:E"&amp;$J$6),$B115,INDIRECT("'"&amp;$G$6&amp;"'!"&amp;"D65:D"&amp;$J$6),$C115),_xlfn.MINIFS(INDIRECT("'"&amp;$G$6&amp;"'!"&amp;L$15&amp;"65:"&amp;L$15&amp;$J$6),INDIRECT("'"&amp;$G$6&amp;"'!"&amp;"E65:E"&amp;$J$6),$B115,INDIRECT("'"&amp;$G$6&amp;"'!"&amp;"D65:D"&amp;$J$6),$C115)),INDEX(INDIRECT("'"&amp;$G$6&amp;"'!"&amp;L$15&amp;"65:"&amp;L$15&amp;$J$6),$D115))</f>
        <v>#N/A</v>
      </c>
      <c r="M115" s="69"/>
      <c r="N115" s="69"/>
      <c r="O115" s="69"/>
      <c r="P115" s="69"/>
      <c r="Q115" s="69"/>
      <c r="R115" s="69"/>
    </row>
    <row r="116" spans="1:18" x14ac:dyDescent="0.25">
      <c r="A116" s="91" t="str">
        <f t="shared" ref="A116:A123" si="41">A18</f>
        <v>P01C</v>
      </c>
      <c r="B116" s="99">
        <f>7</f>
        <v>7</v>
      </c>
      <c r="C116" s="99">
        <f ca="1">INDEX(INDIRECT("MemberID!G6:G"&amp;MemberID!$C$1),MATCH(Interface!A116,INDIRECT("MemberID!C6:C"&amp;MemberID!$C$1),0))</f>
        <v>0</v>
      </c>
      <c r="D116" s="99" t="e">
        <f t="shared" ref="D116:D123" ca="1" si="42">MATCH(INDIRECT($J$7&amp;ROW()),INDIRECT("'"&amp;$G$6&amp;"'!"&amp;$L$7&amp;"65:"&amp;$L$7&amp;$J$6),0)</f>
        <v>#N/A</v>
      </c>
      <c r="E116" s="100" t="str">
        <f t="shared" ref="E116:E123" si="43">E18</f>
        <v>-</v>
      </c>
      <c r="F116" s="87" t="e">
        <f t="shared" ref="F116:F123" ca="1" si="44">INDEX(INDIRECT("'"&amp;$G$6&amp;"'!"&amp;F$15&amp;"65:"&amp;F$15&amp;$J$6),$D116)</f>
        <v>#N/A</v>
      </c>
      <c r="G116" s="75">
        <f t="array" aca="1" ref="G116" ca="1">IF($G$7=G$14,IF($G$8="Max",_xlfn.MAXIFS(INDIRECT("'"&amp;$G$6&amp;"'!"&amp;G$15&amp;"65:"&amp;G$15&amp;$J$6),INDIRECT("'"&amp;$G$6&amp;"'!"&amp;"E65:E"&amp;$J$6),$B116,INDIRECT("'"&amp;$G$6&amp;"'!"&amp;"D65:D"&amp;$J$6),$C116),_xlfn.MINIFS(INDIRECT("'"&amp;$G$6&amp;"'!"&amp;G$15&amp;"65:"&amp;G$15&amp;$J$6),INDIRECT("'"&amp;$G$6&amp;"'!"&amp;"E65:E"&amp;$J$6),$B116,INDIRECT("'"&amp;$G$6&amp;"'!"&amp;"D65:D"&amp;$J$6),$C116)),INDEX(INDIRECT("'"&amp;$G$6&amp;"'!"&amp;G$15&amp;"65:"&amp;G$15&amp;$J$6),$D116))</f>
        <v>0</v>
      </c>
      <c r="H116" s="75" t="e">
        <f t="shared" ref="H116:L123" ca="1" si="45">IF($G$7=H$14,IF($G$8="Max",_xlfn.MAXIFS(INDIRECT("'"&amp;$G$6&amp;"'!"&amp;H$15&amp;"65:"&amp;H$15&amp;$J$6),INDIRECT("'"&amp;$G$6&amp;"'!"&amp;"E65:E"&amp;$J$6),$B116,INDIRECT("'"&amp;$G$6&amp;"'!"&amp;"D65:D"&amp;$J$6),$C116),_xlfn.MINIFS(INDIRECT("'"&amp;$G$6&amp;"'!"&amp;H$15&amp;"65:"&amp;H$15&amp;$J$6),INDIRECT("'"&amp;$G$6&amp;"'!"&amp;"E65:E"&amp;$J$6),$B116,INDIRECT("'"&amp;$G$6&amp;"'!"&amp;"D65:D"&amp;$J$6),$C116)),INDEX(INDIRECT("'"&amp;$G$6&amp;"'!"&amp;H$15&amp;"65:"&amp;H$15&amp;$J$6),$D116))</f>
        <v>#N/A</v>
      </c>
      <c r="I116" s="75" t="e">
        <f t="shared" ca="1" si="45"/>
        <v>#N/A</v>
      </c>
      <c r="J116" s="75" t="e">
        <f t="shared" ca="1" si="45"/>
        <v>#N/A</v>
      </c>
      <c r="K116" s="75" t="e">
        <f t="shared" ca="1" si="45"/>
        <v>#N/A</v>
      </c>
      <c r="L116" s="75" t="e">
        <f t="shared" ca="1" si="45"/>
        <v>#N/A</v>
      </c>
      <c r="M116" s="69"/>
      <c r="N116" s="69"/>
      <c r="O116" s="69"/>
      <c r="P116" s="69"/>
      <c r="Q116" s="69"/>
      <c r="R116" s="69"/>
    </row>
    <row r="117" spans="1:18" x14ac:dyDescent="0.25">
      <c r="A117" s="91" t="str">
        <f t="shared" si="41"/>
        <v>P01L</v>
      </c>
      <c r="B117" s="99">
        <f>7</f>
        <v>7</v>
      </c>
      <c r="C117" s="99">
        <f ca="1">INDEX(INDIRECT("MemberID!G6:G"&amp;MemberID!$C$1),MATCH(Interface!A117,INDIRECT("MemberID!C6:C"&amp;MemberID!$C$1),0))</f>
        <v>0</v>
      </c>
      <c r="D117" s="99" t="e">
        <f t="shared" ca="1" si="42"/>
        <v>#N/A</v>
      </c>
      <c r="E117" s="100" t="str">
        <f t="shared" si="43"/>
        <v>-</v>
      </c>
      <c r="F117" s="87" t="e">
        <f t="shared" ca="1" si="44"/>
        <v>#N/A</v>
      </c>
      <c r="G117" s="75">
        <f t="array" aca="1" ref="G117" ca="1">IF($G$7=G$14,IF($G$8="Max",_xlfn.MAXIFS(INDIRECT("'"&amp;$G$6&amp;"'!"&amp;G$15&amp;"65:"&amp;G$15&amp;$J$6),INDIRECT("'"&amp;$G$6&amp;"'!"&amp;"E65:E"&amp;$J$6),$B117,INDIRECT("'"&amp;$G$6&amp;"'!"&amp;"D65:D"&amp;$J$6),$C117),_xlfn.MINIFS(INDIRECT("'"&amp;$G$6&amp;"'!"&amp;G$15&amp;"65:"&amp;G$15&amp;$J$6),INDIRECT("'"&amp;$G$6&amp;"'!"&amp;"E65:E"&amp;$J$6),$B117,INDIRECT("'"&amp;$G$6&amp;"'!"&amp;"D65:D"&amp;$J$6),$C117)),INDEX(INDIRECT("'"&amp;$G$6&amp;"'!"&amp;G$15&amp;"65:"&amp;G$15&amp;$J$6),$D117))</f>
        <v>0</v>
      </c>
      <c r="H117" s="75" t="e">
        <f t="shared" ca="1" si="45"/>
        <v>#N/A</v>
      </c>
      <c r="I117" s="75" t="e">
        <f t="shared" ca="1" si="45"/>
        <v>#N/A</v>
      </c>
      <c r="J117" s="75" t="e">
        <f t="shared" ca="1" si="45"/>
        <v>#N/A</v>
      </c>
      <c r="K117" s="75" t="e">
        <f t="shared" ca="1" si="45"/>
        <v>#N/A</v>
      </c>
      <c r="L117" s="75" t="e">
        <f t="shared" ca="1" si="45"/>
        <v>#N/A</v>
      </c>
      <c r="M117" s="69"/>
      <c r="N117" s="69"/>
      <c r="O117" s="69"/>
      <c r="P117" s="69"/>
      <c r="Q117" s="69"/>
      <c r="R117" s="69"/>
    </row>
    <row r="118" spans="1:18" x14ac:dyDescent="0.25">
      <c r="A118" s="91" t="str">
        <f t="shared" si="41"/>
        <v>P02R</v>
      </c>
      <c r="B118" s="99">
        <f>7</f>
        <v>7</v>
      </c>
      <c r="C118" s="99">
        <f ca="1">INDEX(INDIRECT("MemberID!G6:G"&amp;MemberID!$C$1),MATCH(Interface!A118,INDIRECT("MemberID!C6:C"&amp;MemberID!$C$1),0))</f>
        <v>0</v>
      </c>
      <c r="D118" s="99" t="e">
        <f t="shared" ca="1" si="42"/>
        <v>#N/A</v>
      </c>
      <c r="E118" s="100" t="str">
        <f t="shared" si="43"/>
        <v>-</v>
      </c>
      <c r="F118" s="87" t="e">
        <f t="shared" ca="1" si="44"/>
        <v>#N/A</v>
      </c>
      <c r="G118" s="75">
        <f t="array" aca="1" ref="G118" ca="1">IF($G$7=G$14,IF($G$8="Max",_xlfn.MAXIFS(INDIRECT("'"&amp;$G$6&amp;"'!"&amp;G$15&amp;"65:"&amp;G$15&amp;$J$6),INDIRECT("'"&amp;$G$6&amp;"'!"&amp;"E65:E"&amp;$J$6),$B118,INDIRECT("'"&amp;$G$6&amp;"'!"&amp;"D65:D"&amp;$J$6),$C118),_xlfn.MINIFS(INDIRECT("'"&amp;$G$6&amp;"'!"&amp;G$15&amp;"65:"&amp;G$15&amp;$J$6),INDIRECT("'"&amp;$G$6&amp;"'!"&amp;"E65:E"&amp;$J$6),$B118,INDIRECT("'"&amp;$G$6&amp;"'!"&amp;"D65:D"&amp;$J$6),$C118)),INDEX(INDIRECT("'"&amp;$G$6&amp;"'!"&amp;G$15&amp;"65:"&amp;G$15&amp;$J$6),$D118))</f>
        <v>0</v>
      </c>
      <c r="H118" s="75" t="e">
        <f t="shared" ca="1" si="45"/>
        <v>#N/A</v>
      </c>
      <c r="I118" s="75" t="e">
        <f t="shared" ca="1" si="45"/>
        <v>#N/A</v>
      </c>
      <c r="J118" s="75" t="e">
        <f t="shared" ca="1" si="45"/>
        <v>#N/A</v>
      </c>
      <c r="K118" s="75" t="e">
        <f t="shared" ca="1" si="45"/>
        <v>#N/A</v>
      </c>
      <c r="L118" s="75" t="e">
        <f t="shared" ca="1" si="45"/>
        <v>#N/A</v>
      </c>
      <c r="M118" s="69"/>
      <c r="N118" s="69"/>
      <c r="O118" s="69"/>
      <c r="P118" s="69"/>
      <c r="Q118" s="69"/>
      <c r="R118" s="69"/>
    </row>
    <row r="119" spans="1:18" x14ac:dyDescent="0.25">
      <c r="A119" s="91" t="str">
        <f t="shared" si="41"/>
        <v>P02C</v>
      </c>
      <c r="B119" s="99">
        <f>7</f>
        <v>7</v>
      </c>
      <c r="C119" s="99">
        <f ca="1">INDEX(INDIRECT("MemberID!G6:G"&amp;MemberID!$C$1),MATCH(Interface!A119,INDIRECT("MemberID!C6:C"&amp;MemberID!$C$1),0))</f>
        <v>0</v>
      </c>
      <c r="D119" s="99" t="e">
        <f t="shared" ca="1" si="42"/>
        <v>#N/A</v>
      </c>
      <c r="E119" s="100" t="str">
        <f t="shared" si="43"/>
        <v>-</v>
      </c>
      <c r="F119" s="87" t="e">
        <f t="shared" ca="1" si="44"/>
        <v>#N/A</v>
      </c>
      <c r="G119" s="75">
        <f t="array" aca="1" ref="G119" ca="1">IF($G$7=G$14,IF($G$8="Max",_xlfn.MAXIFS(INDIRECT("'"&amp;$G$6&amp;"'!"&amp;G$15&amp;"65:"&amp;G$15&amp;$J$6),INDIRECT("'"&amp;$G$6&amp;"'!"&amp;"E65:E"&amp;$J$6),$B119,INDIRECT("'"&amp;$G$6&amp;"'!"&amp;"D65:D"&amp;$J$6),$C119),_xlfn.MINIFS(INDIRECT("'"&amp;$G$6&amp;"'!"&amp;G$15&amp;"65:"&amp;G$15&amp;$J$6),INDIRECT("'"&amp;$G$6&amp;"'!"&amp;"E65:E"&amp;$J$6),$B119,INDIRECT("'"&amp;$G$6&amp;"'!"&amp;"D65:D"&amp;$J$6),$C119)),INDEX(INDIRECT("'"&amp;$G$6&amp;"'!"&amp;G$15&amp;"65:"&amp;G$15&amp;$J$6),$D119))</f>
        <v>0</v>
      </c>
      <c r="H119" s="75" t="e">
        <f t="shared" ca="1" si="45"/>
        <v>#N/A</v>
      </c>
      <c r="I119" s="75" t="e">
        <f t="shared" ca="1" si="45"/>
        <v>#N/A</v>
      </c>
      <c r="J119" s="75" t="e">
        <f t="shared" ca="1" si="45"/>
        <v>#N/A</v>
      </c>
      <c r="K119" s="75" t="e">
        <f t="shared" ca="1" si="45"/>
        <v>#N/A</v>
      </c>
      <c r="L119" s="75" t="e">
        <f t="shared" ca="1" si="45"/>
        <v>#N/A</v>
      </c>
      <c r="M119" s="69"/>
      <c r="N119" s="69"/>
      <c r="O119" s="69"/>
      <c r="P119" s="69"/>
      <c r="Q119" s="69"/>
      <c r="R119" s="69"/>
    </row>
    <row r="120" spans="1:18" x14ac:dyDescent="0.25">
      <c r="A120" s="91" t="str">
        <f t="shared" si="41"/>
        <v>P02L</v>
      </c>
      <c r="B120" s="99">
        <f>7</f>
        <v>7</v>
      </c>
      <c r="C120" s="99">
        <f ca="1">INDEX(INDIRECT("MemberID!G6:G"&amp;MemberID!$C$1),MATCH(Interface!A120,INDIRECT("MemberID!C6:C"&amp;MemberID!$C$1),0))</f>
        <v>0</v>
      </c>
      <c r="D120" s="99" t="e">
        <f t="shared" ca="1" si="42"/>
        <v>#N/A</v>
      </c>
      <c r="E120" s="100" t="str">
        <f t="shared" si="43"/>
        <v>-</v>
      </c>
      <c r="F120" s="87" t="e">
        <f t="shared" ca="1" si="44"/>
        <v>#N/A</v>
      </c>
      <c r="G120" s="75">
        <f t="array" aca="1" ref="G120" ca="1">IF($G$7=G$14,IF($G$8="Max",_xlfn.MAXIFS(INDIRECT("'"&amp;$G$6&amp;"'!"&amp;G$15&amp;"65:"&amp;G$15&amp;$J$6),INDIRECT("'"&amp;$G$6&amp;"'!"&amp;"E65:E"&amp;$J$6),$B120,INDIRECT("'"&amp;$G$6&amp;"'!"&amp;"D65:D"&amp;$J$6),$C120),_xlfn.MINIFS(INDIRECT("'"&amp;$G$6&amp;"'!"&amp;G$15&amp;"65:"&amp;G$15&amp;$J$6),INDIRECT("'"&amp;$G$6&amp;"'!"&amp;"E65:E"&amp;$J$6),$B120,INDIRECT("'"&amp;$G$6&amp;"'!"&amp;"D65:D"&amp;$J$6),$C120)),INDEX(INDIRECT("'"&amp;$G$6&amp;"'!"&amp;G$15&amp;"65:"&amp;G$15&amp;$J$6),$D120))</f>
        <v>0</v>
      </c>
      <c r="H120" s="75" t="e">
        <f t="shared" ca="1" si="45"/>
        <v>#N/A</v>
      </c>
      <c r="I120" s="75" t="e">
        <f t="shared" ca="1" si="45"/>
        <v>#N/A</v>
      </c>
      <c r="J120" s="75" t="e">
        <f t="shared" ca="1" si="45"/>
        <v>#N/A</v>
      </c>
      <c r="K120" s="75" t="e">
        <f t="shared" ca="1" si="45"/>
        <v>#N/A</v>
      </c>
      <c r="L120" s="75" t="e">
        <f t="shared" ca="1" si="45"/>
        <v>#N/A</v>
      </c>
      <c r="M120" s="69"/>
      <c r="N120" s="69"/>
      <c r="O120" s="69"/>
      <c r="P120" s="69"/>
      <c r="Q120" s="69"/>
      <c r="R120" s="69"/>
    </row>
    <row r="121" spans="1:18" x14ac:dyDescent="0.25">
      <c r="A121" s="91" t="str">
        <f t="shared" si="41"/>
        <v>P03R</v>
      </c>
      <c r="B121" s="99">
        <f>7</f>
        <v>7</v>
      </c>
      <c r="C121" s="99">
        <f ca="1">INDEX(INDIRECT("MemberID!G6:G"&amp;MemberID!$C$1),MATCH(Interface!A121,INDIRECT("MemberID!C6:C"&amp;MemberID!$C$1),0))</f>
        <v>0</v>
      </c>
      <c r="D121" s="99" t="e">
        <f t="shared" ca="1" si="42"/>
        <v>#N/A</v>
      </c>
      <c r="E121" s="100" t="str">
        <f t="shared" si="43"/>
        <v>-</v>
      </c>
      <c r="F121" s="87" t="e">
        <f t="shared" ca="1" si="44"/>
        <v>#N/A</v>
      </c>
      <c r="G121" s="75">
        <f t="array" aca="1" ref="G121" ca="1">IF($G$7=G$14,IF($G$8="Max",_xlfn.MAXIFS(INDIRECT("'"&amp;$G$6&amp;"'!"&amp;G$15&amp;"65:"&amp;G$15&amp;$J$6),INDIRECT("'"&amp;$G$6&amp;"'!"&amp;"E65:E"&amp;$J$6),$B121,INDIRECT("'"&amp;$G$6&amp;"'!"&amp;"D65:D"&amp;$J$6),$C121),_xlfn.MINIFS(INDIRECT("'"&amp;$G$6&amp;"'!"&amp;G$15&amp;"65:"&amp;G$15&amp;$J$6),INDIRECT("'"&amp;$G$6&amp;"'!"&amp;"E65:E"&amp;$J$6),$B121,INDIRECT("'"&amp;$G$6&amp;"'!"&amp;"D65:D"&amp;$J$6),$C121)),INDEX(INDIRECT("'"&amp;$G$6&amp;"'!"&amp;G$15&amp;"65:"&amp;G$15&amp;$J$6),$D121))</f>
        <v>0</v>
      </c>
      <c r="H121" s="75" t="e">
        <f t="shared" ca="1" si="45"/>
        <v>#N/A</v>
      </c>
      <c r="I121" s="75" t="e">
        <f t="shared" ca="1" si="45"/>
        <v>#N/A</v>
      </c>
      <c r="J121" s="75" t="e">
        <f t="shared" ca="1" si="45"/>
        <v>#N/A</v>
      </c>
      <c r="K121" s="75" t="e">
        <f t="shared" ca="1" si="45"/>
        <v>#N/A</v>
      </c>
      <c r="L121" s="75" t="e">
        <f t="shared" ca="1" si="45"/>
        <v>#N/A</v>
      </c>
      <c r="M121" s="69"/>
      <c r="N121" s="69"/>
      <c r="O121" s="69"/>
      <c r="P121" s="69"/>
      <c r="Q121" s="69"/>
      <c r="R121" s="69"/>
    </row>
    <row r="122" spans="1:18" x14ac:dyDescent="0.25">
      <c r="A122" s="91" t="str">
        <f t="shared" si="41"/>
        <v>P03C</v>
      </c>
      <c r="B122" s="99">
        <f>7</f>
        <v>7</v>
      </c>
      <c r="C122" s="99">
        <f ca="1">INDEX(INDIRECT("MemberID!G6:G"&amp;MemberID!$C$1),MATCH(Interface!A122,INDIRECT("MemberID!C6:C"&amp;MemberID!$C$1),0))</f>
        <v>0</v>
      </c>
      <c r="D122" s="99" t="e">
        <f t="shared" ca="1" si="42"/>
        <v>#N/A</v>
      </c>
      <c r="E122" s="100" t="str">
        <f t="shared" si="43"/>
        <v>-</v>
      </c>
      <c r="F122" s="87" t="e">
        <f t="shared" ca="1" si="44"/>
        <v>#N/A</v>
      </c>
      <c r="G122" s="75">
        <f t="array" aca="1" ref="G122" ca="1">IF($G$7=G$14,IF($G$8="Max",_xlfn.MAXIFS(INDIRECT("'"&amp;$G$6&amp;"'!"&amp;G$15&amp;"65:"&amp;G$15&amp;$J$6),INDIRECT("'"&amp;$G$6&amp;"'!"&amp;"E65:E"&amp;$J$6),$B122,INDIRECT("'"&amp;$G$6&amp;"'!"&amp;"D65:D"&amp;$J$6),$C122),_xlfn.MINIFS(INDIRECT("'"&amp;$G$6&amp;"'!"&amp;G$15&amp;"65:"&amp;G$15&amp;$J$6),INDIRECT("'"&amp;$G$6&amp;"'!"&amp;"E65:E"&amp;$J$6),$B122,INDIRECT("'"&amp;$G$6&amp;"'!"&amp;"D65:D"&amp;$J$6),$C122)),INDEX(INDIRECT("'"&amp;$G$6&amp;"'!"&amp;G$15&amp;"65:"&amp;G$15&amp;$J$6),$D122))</f>
        <v>0</v>
      </c>
      <c r="H122" s="75" t="e">
        <f t="shared" ca="1" si="45"/>
        <v>#N/A</v>
      </c>
      <c r="I122" s="75" t="e">
        <f t="shared" ca="1" si="45"/>
        <v>#N/A</v>
      </c>
      <c r="J122" s="75" t="e">
        <f t="shared" ca="1" si="45"/>
        <v>#N/A</v>
      </c>
      <c r="K122" s="75" t="e">
        <f t="shared" ca="1" si="45"/>
        <v>#N/A</v>
      </c>
      <c r="L122" s="75" t="e">
        <f t="shared" ca="1" si="45"/>
        <v>#N/A</v>
      </c>
      <c r="M122" s="69"/>
      <c r="N122" s="69"/>
      <c r="O122" s="69"/>
      <c r="P122" s="69"/>
      <c r="Q122" s="69"/>
      <c r="R122" s="69"/>
    </row>
    <row r="123" spans="1:18" x14ac:dyDescent="0.25">
      <c r="A123" s="91" t="str">
        <f t="shared" si="41"/>
        <v>P03L</v>
      </c>
      <c r="B123" s="99">
        <f>7</f>
        <v>7</v>
      </c>
      <c r="C123" s="99">
        <f ca="1">INDEX(INDIRECT("MemberID!G6:G"&amp;MemberID!$C$1),MATCH(Interface!A123,INDIRECT("MemberID!C6:C"&amp;MemberID!$C$1),0))</f>
        <v>0</v>
      </c>
      <c r="D123" s="99" t="e">
        <f t="shared" ca="1" si="42"/>
        <v>#N/A</v>
      </c>
      <c r="E123" s="100" t="str">
        <f t="shared" si="43"/>
        <v>-</v>
      </c>
      <c r="F123" s="87" t="e">
        <f t="shared" ca="1" si="44"/>
        <v>#N/A</v>
      </c>
      <c r="G123" s="75">
        <f t="array" aca="1" ref="G123" ca="1">IF($G$7=G$14,IF($G$8="Max",_xlfn.MAXIFS(INDIRECT("'"&amp;$G$6&amp;"'!"&amp;G$15&amp;"65:"&amp;G$15&amp;$J$6),INDIRECT("'"&amp;$G$6&amp;"'!"&amp;"E65:E"&amp;$J$6),$B123,INDIRECT("'"&amp;$G$6&amp;"'!"&amp;"D65:D"&amp;$J$6),$C123),_xlfn.MINIFS(INDIRECT("'"&amp;$G$6&amp;"'!"&amp;G$15&amp;"65:"&amp;G$15&amp;$J$6),INDIRECT("'"&amp;$G$6&amp;"'!"&amp;"E65:E"&amp;$J$6),$B123,INDIRECT("'"&amp;$G$6&amp;"'!"&amp;"D65:D"&amp;$J$6),$C123)),INDEX(INDIRECT("'"&amp;$G$6&amp;"'!"&amp;G$15&amp;"65:"&amp;G$15&amp;$J$6),$D123))</f>
        <v>0</v>
      </c>
      <c r="H123" s="75" t="e">
        <f t="shared" ca="1" si="45"/>
        <v>#N/A</v>
      </c>
      <c r="I123" s="75" t="e">
        <f t="shared" ca="1" si="45"/>
        <v>#N/A</v>
      </c>
      <c r="J123" s="75" t="e">
        <f t="shared" ca="1" si="45"/>
        <v>#N/A</v>
      </c>
      <c r="K123" s="75" t="e">
        <f t="shared" ca="1" si="45"/>
        <v>#N/A</v>
      </c>
      <c r="L123" s="75" t="e">
        <f t="shared" ca="1" si="45"/>
        <v>#N/A</v>
      </c>
      <c r="M123" s="69"/>
      <c r="N123" s="69"/>
      <c r="O123" s="69"/>
      <c r="P123" s="69"/>
      <c r="Q123" s="69"/>
      <c r="R123" s="69"/>
    </row>
    <row r="125" spans="1:18" x14ac:dyDescent="0.25">
      <c r="A125" s="108" t="s">
        <v>277</v>
      </c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</row>
    <row r="126" spans="1:18" x14ac:dyDescent="0.25">
      <c r="A126" s="91" t="s">
        <v>13</v>
      </c>
      <c r="B126" s="99" t="s">
        <v>191</v>
      </c>
      <c r="C126" s="99" t="s">
        <v>219</v>
      </c>
      <c r="D126" s="99" t="s">
        <v>226</v>
      </c>
      <c r="E126" s="111" t="s">
        <v>258</v>
      </c>
      <c r="F126" s="91" t="s">
        <v>261</v>
      </c>
      <c r="G126" s="91" t="s">
        <v>123</v>
      </c>
      <c r="H126" s="91" t="s">
        <v>124</v>
      </c>
      <c r="I126" s="91" t="s">
        <v>125</v>
      </c>
      <c r="J126" s="91" t="s">
        <v>126</v>
      </c>
      <c r="K126" s="91" t="s">
        <v>127</v>
      </c>
      <c r="L126" s="91" t="s">
        <v>128</v>
      </c>
      <c r="M126" s="99" t="s">
        <v>220</v>
      </c>
      <c r="N126" s="99" t="s">
        <v>221</v>
      </c>
      <c r="O126" s="99" t="s">
        <v>222</v>
      </c>
      <c r="P126" s="99" t="s">
        <v>223</v>
      </c>
      <c r="Q126" s="99" t="s">
        <v>224</v>
      </c>
      <c r="R126" s="99" t="s">
        <v>225</v>
      </c>
    </row>
    <row r="127" spans="1:18" x14ac:dyDescent="0.25">
      <c r="A127" s="91"/>
      <c r="B127" s="99" t="str">
        <f>SUBSTITUTE(ADDRESS(1,COLUMN('STR1 Forces'!E175),4),"1","")</f>
        <v>E</v>
      </c>
      <c r="C127" s="99" t="str">
        <f>SUBSTITUTE(ADDRESS(1,COLUMN('STR1 Forces'!D175),4),"1","")</f>
        <v>D</v>
      </c>
      <c r="D127" s="99"/>
      <c r="E127" s="91"/>
      <c r="F127" s="99" t="str">
        <f>SUBSTITUTE(ADDRESS(1,COLUMN('STR1 Forces'!I175),4),"1","")</f>
        <v>I</v>
      </c>
      <c r="G127" s="99" t="str">
        <f>SUBSTITUTE(ADDRESS(1,COLUMN('STR1 Forces'!J175),4),"1","")</f>
        <v>J</v>
      </c>
      <c r="H127" s="99" t="str">
        <f>SUBSTITUTE(ADDRESS(1,COLUMN('STR1 Forces'!K175),4),"1","")</f>
        <v>K</v>
      </c>
      <c r="I127" s="99" t="str">
        <f>SUBSTITUTE(ADDRESS(1,COLUMN('STR1 Forces'!L175),4),"1","")</f>
        <v>L</v>
      </c>
      <c r="J127" s="99" t="str">
        <f>SUBSTITUTE(ADDRESS(1,COLUMN('STR1 Forces'!M175),4),"1","")</f>
        <v>M</v>
      </c>
      <c r="K127" s="99" t="str">
        <f>SUBSTITUTE(ADDRESS(1,COLUMN('STR1 Forces'!N175),4),"1","")</f>
        <v>N</v>
      </c>
      <c r="L127" s="99" t="str">
        <f>SUBSTITUTE(ADDRESS(1,COLUMN('STR1 Forces'!O175),4),"1","")</f>
        <v>O</v>
      </c>
      <c r="M127" s="69"/>
      <c r="N127" s="69"/>
      <c r="O127" s="69"/>
      <c r="P127" s="69"/>
      <c r="Q127" s="69"/>
      <c r="R127" s="69"/>
    </row>
    <row r="128" spans="1:18" x14ac:dyDescent="0.25">
      <c r="A128" s="91" t="str">
        <f>$G$8</f>
        <v>Max</v>
      </c>
      <c r="B128" s="75"/>
      <c r="C128" s="75"/>
      <c r="D128" s="75"/>
      <c r="E128" s="75"/>
      <c r="F128" s="75"/>
      <c r="G128" s="75">
        <f ca="1">IF($G$8="Max",MAX(G129:G137),MIN(G129:G137))</f>
        <v>0</v>
      </c>
      <c r="H128" s="75" t="e">
        <f t="shared" ref="H128:L128" ca="1" si="46">MAX(H129)</f>
        <v>#N/A</v>
      </c>
      <c r="I128" s="75" t="e">
        <f t="shared" ca="1" si="46"/>
        <v>#N/A</v>
      </c>
      <c r="J128" s="75" t="e">
        <f t="shared" ca="1" si="46"/>
        <v>#N/A</v>
      </c>
      <c r="K128" s="75" t="e">
        <f t="shared" ca="1" si="46"/>
        <v>#N/A</v>
      </c>
      <c r="L128" s="75" t="e">
        <f t="shared" ca="1" si="46"/>
        <v>#N/A</v>
      </c>
      <c r="M128" s="69"/>
      <c r="N128" s="69"/>
      <c r="O128" s="69"/>
      <c r="P128" s="69"/>
      <c r="Q128" s="69"/>
      <c r="R128" s="69"/>
    </row>
    <row r="129" spans="1:18" x14ac:dyDescent="0.25">
      <c r="A129" s="91" t="str">
        <f>A17</f>
        <v>P01R</v>
      </c>
      <c r="B129" s="99">
        <f>8</f>
        <v>8</v>
      </c>
      <c r="C129" s="99">
        <f ca="1">INDEX(INDIRECT("MemberID!G6:G"&amp;MemberID!$C$1),MATCH(Interface!A129,INDIRECT("MemberID!C6:C"&amp;MemberID!$C$1),0))</f>
        <v>0</v>
      </c>
      <c r="D129" s="99" t="e">
        <f ca="1">MATCH(INDIRECT($J$7&amp;ROW()),INDIRECT("'"&amp;$G$6&amp;"'!"&amp;$L$7&amp;"65:"&amp;$L$7&amp;$J$6),0)</f>
        <v>#N/A</v>
      </c>
      <c r="E129" s="100" t="str">
        <f>E17</f>
        <v>-</v>
      </c>
      <c r="F129" s="87" t="e">
        <f ca="1">INDEX(INDIRECT("'"&amp;$G$6&amp;"'!"&amp;F$15&amp;"65:"&amp;F$15&amp;$J$6),$D129)</f>
        <v>#N/A</v>
      </c>
      <c r="G129" s="75">
        <f t="array" aca="1" ref="G129" ca="1">IF($G$7=G$14,IF($G$8="Max",_xlfn.MAXIFS(INDIRECT("'"&amp;$G$6&amp;"'!"&amp;G$15&amp;"65:"&amp;G$15&amp;$J$6),INDIRECT("'"&amp;$G$6&amp;"'!"&amp;"E65:E"&amp;$J$6),$B129,INDIRECT("'"&amp;$G$6&amp;"'!"&amp;"D65:D"&amp;$J$6),$C129),_xlfn.MINIFS(INDIRECT("'"&amp;$G$6&amp;"'!"&amp;G$15&amp;"65:"&amp;G$15&amp;$J$6),INDIRECT("'"&amp;$G$6&amp;"'!"&amp;"E65:E"&amp;$J$6),$B129,INDIRECT("'"&amp;$G$6&amp;"'!"&amp;"D65:D"&amp;$J$6),$C129)),INDEX(INDIRECT("'"&amp;$G$6&amp;"'!"&amp;G$15&amp;"65:"&amp;G$15&amp;$J$6),$D129))</f>
        <v>0</v>
      </c>
      <c r="H129" s="75" t="e">
        <f ca="1">IF($G$7=H$14,IF($G$8="Max",_xlfn.MAXIFS(INDIRECT("'"&amp;$G$6&amp;"'!"&amp;H$15&amp;"65:"&amp;H$15&amp;$J$6),INDIRECT("'"&amp;$G$6&amp;"'!"&amp;"E65:E"&amp;$J$6),$B129,INDIRECT("'"&amp;$G$6&amp;"'!"&amp;"D65:D"&amp;$J$6),$C129),_xlfn.MINIFS(INDIRECT("'"&amp;$G$6&amp;"'!"&amp;H$15&amp;"65:"&amp;H$15&amp;$J$6),INDIRECT("'"&amp;$G$6&amp;"'!"&amp;"E65:E"&amp;$J$6),$B129,INDIRECT("'"&amp;$G$6&amp;"'!"&amp;"D65:D"&amp;$J$6),$C129)),INDEX(INDIRECT("'"&amp;$G$6&amp;"'!"&amp;H$15&amp;"65:"&amp;H$15&amp;$J$6),$D129))</f>
        <v>#N/A</v>
      </c>
      <c r="I129" s="75" t="e">
        <f ca="1">IF($G$7=I$14,IF($G$8="Max",_xlfn.MAXIFS(INDIRECT("'"&amp;$G$6&amp;"'!"&amp;I$15&amp;"65:"&amp;I$15&amp;$J$6),INDIRECT("'"&amp;$G$6&amp;"'!"&amp;"E65:E"&amp;$J$6),$B129,INDIRECT("'"&amp;$G$6&amp;"'!"&amp;"D65:D"&amp;$J$6),$C129),_xlfn.MINIFS(INDIRECT("'"&amp;$G$6&amp;"'!"&amp;I$15&amp;"65:"&amp;I$15&amp;$J$6),INDIRECT("'"&amp;$G$6&amp;"'!"&amp;"E65:E"&amp;$J$6),$B129,INDIRECT("'"&amp;$G$6&amp;"'!"&amp;"D65:D"&amp;$J$6),$C129)),INDEX(INDIRECT("'"&amp;$G$6&amp;"'!"&amp;I$15&amp;"65:"&amp;I$15&amp;$J$6),$D129))</f>
        <v>#N/A</v>
      </c>
      <c r="J129" s="75" t="e">
        <f ca="1">IF($G$7=J$14,IF($G$8="Max",_xlfn.MAXIFS(INDIRECT("'"&amp;$G$6&amp;"'!"&amp;J$15&amp;"65:"&amp;J$15&amp;$J$6),INDIRECT("'"&amp;$G$6&amp;"'!"&amp;"E65:E"&amp;$J$6),$B129,INDIRECT("'"&amp;$G$6&amp;"'!"&amp;"D65:D"&amp;$J$6),$C129),_xlfn.MINIFS(INDIRECT("'"&amp;$G$6&amp;"'!"&amp;J$15&amp;"65:"&amp;J$15&amp;$J$6),INDIRECT("'"&amp;$G$6&amp;"'!"&amp;"E65:E"&amp;$J$6),$B129,INDIRECT("'"&amp;$G$6&amp;"'!"&amp;"D65:D"&amp;$J$6),$C129)),INDEX(INDIRECT("'"&amp;$G$6&amp;"'!"&amp;J$15&amp;"65:"&amp;J$15&amp;$J$6),$D129))</f>
        <v>#N/A</v>
      </c>
      <c r="K129" s="75" t="e">
        <f ca="1">IF($G$7=K$14,IF($G$8="Max",_xlfn.MAXIFS(INDIRECT("'"&amp;$G$6&amp;"'!"&amp;K$15&amp;"65:"&amp;K$15&amp;$J$6),INDIRECT("'"&amp;$G$6&amp;"'!"&amp;"E65:E"&amp;$J$6),$B129,INDIRECT("'"&amp;$G$6&amp;"'!"&amp;"D65:D"&amp;$J$6),$C129),_xlfn.MINIFS(INDIRECT("'"&amp;$G$6&amp;"'!"&amp;K$15&amp;"65:"&amp;K$15&amp;$J$6),INDIRECT("'"&amp;$G$6&amp;"'!"&amp;"E65:E"&amp;$J$6),$B129,INDIRECT("'"&amp;$G$6&amp;"'!"&amp;"D65:D"&amp;$J$6),$C129)),INDEX(INDIRECT("'"&amp;$G$6&amp;"'!"&amp;K$15&amp;"65:"&amp;K$15&amp;$J$6),$D129))</f>
        <v>#N/A</v>
      </c>
      <c r="L129" s="75" t="e">
        <f ca="1">IF($G$7=L$14,IF($G$8="Max",_xlfn.MAXIFS(INDIRECT("'"&amp;$G$6&amp;"'!"&amp;L$15&amp;"65:"&amp;L$15&amp;$J$6),INDIRECT("'"&amp;$G$6&amp;"'!"&amp;"E65:E"&amp;$J$6),$B129,INDIRECT("'"&amp;$G$6&amp;"'!"&amp;"D65:D"&amp;$J$6),$C129),_xlfn.MINIFS(INDIRECT("'"&amp;$G$6&amp;"'!"&amp;L$15&amp;"65:"&amp;L$15&amp;$J$6),INDIRECT("'"&amp;$G$6&amp;"'!"&amp;"E65:E"&amp;$J$6),$B129,INDIRECT("'"&amp;$G$6&amp;"'!"&amp;"D65:D"&amp;$J$6),$C129)),INDEX(INDIRECT("'"&amp;$G$6&amp;"'!"&amp;L$15&amp;"65:"&amp;L$15&amp;$J$6),$D129))</f>
        <v>#N/A</v>
      </c>
      <c r="M129" s="69"/>
      <c r="N129" s="69"/>
      <c r="O129" s="69"/>
      <c r="P129" s="69"/>
      <c r="Q129" s="69"/>
      <c r="R129" s="69"/>
    </row>
    <row r="130" spans="1:18" x14ac:dyDescent="0.25">
      <c r="A130" s="91" t="str">
        <f t="shared" ref="A130:A137" si="47">A18</f>
        <v>P01C</v>
      </c>
      <c r="B130" s="99">
        <f>8</f>
        <v>8</v>
      </c>
      <c r="C130" s="99">
        <f ca="1">INDEX(INDIRECT("MemberID!G6:G"&amp;MemberID!$C$1),MATCH(Interface!A130,INDIRECT("MemberID!C6:C"&amp;MemberID!$C$1),0))</f>
        <v>0</v>
      </c>
      <c r="D130" s="99" t="e">
        <f t="shared" ref="D130:D137" ca="1" si="48">MATCH(INDIRECT($J$7&amp;ROW()),INDIRECT("'"&amp;$G$6&amp;"'!"&amp;$L$7&amp;"65:"&amp;$L$7&amp;$J$6),0)</f>
        <v>#N/A</v>
      </c>
      <c r="E130" s="100" t="str">
        <f t="shared" ref="E130:E137" si="49">E18</f>
        <v>-</v>
      </c>
      <c r="F130" s="87" t="e">
        <f t="shared" ref="F130:F137" ca="1" si="50">INDEX(INDIRECT("'"&amp;$G$6&amp;"'!"&amp;F$15&amp;"65:"&amp;F$15&amp;$J$6),$D130)</f>
        <v>#N/A</v>
      </c>
      <c r="G130" s="75">
        <f t="array" aca="1" ref="G130" ca="1">IF($G$7=G$14,IF($G$8="Max",_xlfn.MAXIFS(INDIRECT("'"&amp;$G$6&amp;"'!"&amp;G$15&amp;"65:"&amp;G$15&amp;$J$6),INDIRECT("'"&amp;$G$6&amp;"'!"&amp;"E65:E"&amp;$J$6),$B130,INDIRECT("'"&amp;$G$6&amp;"'!"&amp;"D65:D"&amp;$J$6),$C130),_xlfn.MINIFS(INDIRECT("'"&amp;$G$6&amp;"'!"&amp;G$15&amp;"65:"&amp;G$15&amp;$J$6),INDIRECT("'"&amp;$G$6&amp;"'!"&amp;"E65:E"&amp;$J$6),$B130,INDIRECT("'"&amp;$G$6&amp;"'!"&amp;"D65:D"&amp;$J$6),$C130)),INDEX(INDIRECT("'"&amp;$G$6&amp;"'!"&amp;G$15&amp;"65:"&amp;G$15&amp;$J$6),$D130))</f>
        <v>0</v>
      </c>
      <c r="H130" s="75" t="e">
        <f t="shared" ref="H130:L137" ca="1" si="51">IF($G$7=H$14,IF($G$8="Max",_xlfn.MAXIFS(INDIRECT("'"&amp;$G$6&amp;"'!"&amp;H$15&amp;"65:"&amp;H$15&amp;$J$6),INDIRECT("'"&amp;$G$6&amp;"'!"&amp;"E65:E"&amp;$J$6),$B130,INDIRECT("'"&amp;$G$6&amp;"'!"&amp;"D65:D"&amp;$J$6),$C130),_xlfn.MINIFS(INDIRECT("'"&amp;$G$6&amp;"'!"&amp;H$15&amp;"65:"&amp;H$15&amp;$J$6),INDIRECT("'"&amp;$G$6&amp;"'!"&amp;"E65:E"&amp;$J$6),$B130,INDIRECT("'"&amp;$G$6&amp;"'!"&amp;"D65:D"&amp;$J$6),$C130)),INDEX(INDIRECT("'"&amp;$G$6&amp;"'!"&amp;H$15&amp;"65:"&amp;H$15&amp;$J$6),$D130))</f>
        <v>#N/A</v>
      </c>
      <c r="I130" s="75" t="e">
        <f t="shared" ca="1" si="51"/>
        <v>#N/A</v>
      </c>
      <c r="J130" s="75" t="e">
        <f t="shared" ca="1" si="51"/>
        <v>#N/A</v>
      </c>
      <c r="K130" s="75" t="e">
        <f t="shared" ca="1" si="51"/>
        <v>#N/A</v>
      </c>
      <c r="L130" s="75" t="e">
        <f t="shared" ca="1" si="51"/>
        <v>#N/A</v>
      </c>
      <c r="M130" s="69"/>
      <c r="N130" s="69"/>
      <c r="O130" s="69"/>
      <c r="P130" s="69"/>
      <c r="Q130" s="69"/>
      <c r="R130" s="69"/>
    </row>
    <row r="131" spans="1:18" x14ac:dyDescent="0.25">
      <c r="A131" s="91" t="str">
        <f t="shared" si="47"/>
        <v>P01L</v>
      </c>
      <c r="B131" s="99">
        <f>8</f>
        <v>8</v>
      </c>
      <c r="C131" s="99">
        <f ca="1">INDEX(INDIRECT("MemberID!G6:G"&amp;MemberID!$C$1),MATCH(Interface!A131,INDIRECT("MemberID!C6:C"&amp;MemberID!$C$1),0))</f>
        <v>0</v>
      </c>
      <c r="D131" s="99" t="e">
        <f t="shared" ca="1" si="48"/>
        <v>#N/A</v>
      </c>
      <c r="E131" s="100" t="str">
        <f t="shared" si="49"/>
        <v>-</v>
      </c>
      <c r="F131" s="87" t="e">
        <f t="shared" ca="1" si="50"/>
        <v>#N/A</v>
      </c>
      <c r="G131" s="75">
        <f t="array" aca="1" ref="G131" ca="1">IF($G$7=G$14,IF($G$8="Max",_xlfn.MAXIFS(INDIRECT("'"&amp;$G$6&amp;"'!"&amp;G$15&amp;"65:"&amp;G$15&amp;$J$6),INDIRECT("'"&amp;$G$6&amp;"'!"&amp;"E65:E"&amp;$J$6),$B131,INDIRECT("'"&amp;$G$6&amp;"'!"&amp;"D65:D"&amp;$J$6),$C131),_xlfn.MINIFS(INDIRECT("'"&amp;$G$6&amp;"'!"&amp;G$15&amp;"65:"&amp;G$15&amp;$J$6),INDIRECT("'"&amp;$G$6&amp;"'!"&amp;"E65:E"&amp;$J$6),$B131,INDIRECT("'"&amp;$G$6&amp;"'!"&amp;"D65:D"&amp;$J$6),$C131)),INDEX(INDIRECT("'"&amp;$G$6&amp;"'!"&amp;G$15&amp;"65:"&amp;G$15&amp;$J$6),$D131))</f>
        <v>0</v>
      </c>
      <c r="H131" s="75" t="e">
        <f t="shared" ca="1" si="51"/>
        <v>#N/A</v>
      </c>
      <c r="I131" s="75" t="e">
        <f t="shared" ca="1" si="51"/>
        <v>#N/A</v>
      </c>
      <c r="J131" s="75" t="e">
        <f t="shared" ca="1" si="51"/>
        <v>#N/A</v>
      </c>
      <c r="K131" s="75" t="e">
        <f t="shared" ca="1" si="51"/>
        <v>#N/A</v>
      </c>
      <c r="L131" s="75" t="e">
        <f t="shared" ca="1" si="51"/>
        <v>#N/A</v>
      </c>
      <c r="M131" s="69"/>
      <c r="N131" s="69"/>
      <c r="O131" s="69"/>
      <c r="P131" s="69"/>
      <c r="Q131" s="69"/>
      <c r="R131" s="69"/>
    </row>
    <row r="132" spans="1:18" x14ac:dyDescent="0.25">
      <c r="A132" s="91" t="str">
        <f t="shared" si="47"/>
        <v>P02R</v>
      </c>
      <c r="B132" s="99">
        <f>8</f>
        <v>8</v>
      </c>
      <c r="C132" s="99">
        <f ca="1">INDEX(INDIRECT("MemberID!G6:G"&amp;MemberID!$C$1),MATCH(Interface!A132,INDIRECT("MemberID!C6:C"&amp;MemberID!$C$1),0))</f>
        <v>0</v>
      </c>
      <c r="D132" s="99" t="e">
        <f t="shared" ca="1" si="48"/>
        <v>#N/A</v>
      </c>
      <c r="E132" s="100" t="str">
        <f t="shared" si="49"/>
        <v>-</v>
      </c>
      <c r="F132" s="87" t="e">
        <f t="shared" ca="1" si="50"/>
        <v>#N/A</v>
      </c>
      <c r="G132" s="75">
        <f t="array" aca="1" ref="G132" ca="1">IF($G$7=G$14,IF($G$8="Max",_xlfn.MAXIFS(INDIRECT("'"&amp;$G$6&amp;"'!"&amp;G$15&amp;"65:"&amp;G$15&amp;$J$6),INDIRECT("'"&amp;$G$6&amp;"'!"&amp;"E65:E"&amp;$J$6),$B132,INDIRECT("'"&amp;$G$6&amp;"'!"&amp;"D65:D"&amp;$J$6),$C132),_xlfn.MINIFS(INDIRECT("'"&amp;$G$6&amp;"'!"&amp;G$15&amp;"65:"&amp;G$15&amp;$J$6),INDIRECT("'"&amp;$G$6&amp;"'!"&amp;"E65:E"&amp;$J$6),$B132,INDIRECT("'"&amp;$G$6&amp;"'!"&amp;"D65:D"&amp;$J$6),$C132)),INDEX(INDIRECT("'"&amp;$G$6&amp;"'!"&amp;G$15&amp;"65:"&amp;G$15&amp;$J$6),$D132))</f>
        <v>0</v>
      </c>
      <c r="H132" s="75" t="e">
        <f t="shared" ca="1" si="51"/>
        <v>#N/A</v>
      </c>
      <c r="I132" s="75" t="e">
        <f t="shared" ca="1" si="51"/>
        <v>#N/A</v>
      </c>
      <c r="J132" s="75" t="e">
        <f t="shared" ca="1" si="51"/>
        <v>#N/A</v>
      </c>
      <c r="K132" s="75" t="e">
        <f t="shared" ca="1" si="51"/>
        <v>#N/A</v>
      </c>
      <c r="L132" s="75" t="e">
        <f t="shared" ca="1" si="51"/>
        <v>#N/A</v>
      </c>
      <c r="M132" s="69"/>
      <c r="N132" s="69"/>
      <c r="O132" s="69"/>
      <c r="P132" s="69"/>
      <c r="Q132" s="69"/>
      <c r="R132" s="69"/>
    </row>
    <row r="133" spans="1:18" x14ac:dyDescent="0.25">
      <c r="A133" s="91" t="str">
        <f t="shared" si="47"/>
        <v>P02C</v>
      </c>
      <c r="B133" s="99">
        <f>8</f>
        <v>8</v>
      </c>
      <c r="C133" s="99">
        <f ca="1">INDEX(INDIRECT("MemberID!G6:G"&amp;MemberID!$C$1),MATCH(Interface!A133,INDIRECT("MemberID!C6:C"&amp;MemberID!$C$1),0))</f>
        <v>0</v>
      </c>
      <c r="D133" s="99" t="e">
        <f t="shared" ca="1" si="48"/>
        <v>#N/A</v>
      </c>
      <c r="E133" s="100" t="str">
        <f t="shared" si="49"/>
        <v>-</v>
      </c>
      <c r="F133" s="87" t="e">
        <f t="shared" ca="1" si="50"/>
        <v>#N/A</v>
      </c>
      <c r="G133" s="75">
        <f t="array" aca="1" ref="G133" ca="1">IF($G$7=G$14,IF($G$8="Max",_xlfn.MAXIFS(INDIRECT("'"&amp;$G$6&amp;"'!"&amp;G$15&amp;"65:"&amp;G$15&amp;$J$6),INDIRECT("'"&amp;$G$6&amp;"'!"&amp;"E65:E"&amp;$J$6),$B133,INDIRECT("'"&amp;$G$6&amp;"'!"&amp;"D65:D"&amp;$J$6),$C133),_xlfn.MINIFS(INDIRECT("'"&amp;$G$6&amp;"'!"&amp;G$15&amp;"65:"&amp;G$15&amp;$J$6),INDIRECT("'"&amp;$G$6&amp;"'!"&amp;"E65:E"&amp;$J$6),$B133,INDIRECT("'"&amp;$G$6&amp;"'!"&amp;"D65:D"&amp;$J$6),$C133)),INDEX(INDIRECT("'"&amp;$G$6&amp;"'!"&amp;G$15&amp;"65:"&amp;G$15&amp;$J$6),$D133))</f>
        <v>0</v>
      </c>
      <c r="H133" s="75" t="e">
        <f t="shared" ca="1" si="51"/>
        <v>#N/A</v>
      </c>
      <c r="I133" s="75" t="e">
        <f t="shared" ca="1" si="51"/>
        <v>#N/A</v>
      </c>
      <c r="J133" s="75" t="e">
        <f t="shared" ca="1" si="51"/>
        <v>#N/A</v>
      </c>
      <c r="K133" s="75" t="e">
        <f t="shared" ca="1" si="51"/>
        <v>#N/A</v>
      </c>
      <c r="L133" s="75" t="e">
        <f t="shared" ca="1" si="51"/>
        <v>#N/A</v>
      </c>
      <c r="M133" s="69"/>
      <c r="N133" s="69"/>
      <c r="O133" s="69"/>
      <c r="P133" s="69"/>
      <c r="Q133" s="69"/>
      <c r="R133" s="69"/>
    </row>
    <row r="134" spans="1:18" x14ac:dyDescent="0.25">
      <c r="A134" s="91" t="str">
        <f t="shared" si="47"/>
        <v>P02L</v>
      </c>
      <c r="B134" s="99">
        <f>8</f>
        <v>8</v>
      </c>
      <c r="C134" s="99">
        <f ca="1">INDEX(INDIRECT("MemberID!G6:G"&amp;MemberID!$C$1),MATCH(Interface!A134,INDIRECT("MemberID!C6:C"&amp;MemberID!$C$1),0))</f>
        <v>0</v>
      </c>
      <c r="D134" s="99" t="e">
        <f t="shared" ca="1" si="48"/>
        <v>#N/A</v>
      </c>
      <c r="E134" s="100" t="str">
        <f t="shared" si="49"/>
        <v>-</v>
      </c>
      <c r="F134" s="87" t="e">
        <f t="shared" ca="1" si="50"/>
        <v>#N/A</v>
      </c>
      <c r="G134" s="75">
        <f t="array" aca="1" ref="G134" ca="1">IF($G$7=G$14,IF($G$8="Max",_xlfn.MAXIFS(INDIRECT("'"&amp;$G$6&amp;"'!"&amp;G$15&amp;"65:"&amp;G$15&amp;$J$6),INDIRECT("'"&amp;$G$6&amp;"'!"&amp;"E65:E"&amp;$J$6),$B134,INDIRECT("'"&amp;$G$6&amp;"'!"&amp;"D65:D"&amp;$J$6),$C134),_xlfn.MINIFS(INDIRECT("'"&amp;$G$6&amp;"'!"&amp;G$15&amp;"65:"&amp;G$15&amp;$J$6),INDIRECT("'"&amp;$G$6&amp;"'!"&amp;"E65:E"&amp;$J$6),$B134,INDIRECT("'"&amp;$G$6&amp;"'!"&amp;"D65:D"&amp;$J$6),$C134)),INDEX(INDIRECT("'"&amp;$G$6&amp;"'!"&amp;G$15&amp;"65:"&amp;G$15&amp;$J$6),$D134))</f>
        <v>0</v>
      </c>
      <c r="H134" s="75" t="e">
        <f t="shared" ca="1" si="51"/>
        <v>#N/A</v>
      </c>
      <c r="I134" s="75" t="e">
        <f t="shared" ca="1" si="51"/>
        <v>#N/A</v>
      </c>
      <c r="J134" s="75" t="e">
        <f t="shared" ca="1" si="51"/>
        <v>#N/A</v>
      </c>
      <c r="K134" s="75" t="e">
        <f t="shared" ca="1" si="51"/>
        <v>#N/A</v>
      </c>
      <c r="L134" s="75" t="e">
        <f t="shared" ca="1" si="51"/>
        <v>#N/A</v>
      </c>
      <c r="M134" s="69"/>
      <c r="N134" s="69"/>
      <c r="O134" s="69"/>
      <c r="P134" s="69"/>
      <c r="Q134" s="69"/>
      <c r="R134" s="69"/>
    </row>
    <row r="135" spans="1:18" x14ac:dyDescent="0.25">
      <c r="A135" s="91" t="str">
        <f t="shared" si="47"/>
        <v>P03R</v>
      </c>
      <c r="B135" s="99">
        <f>8</f>
        <v>8</v>
      </c>
      <c r="C135" s="99">
        <f ca="1">INDEX(INDIRECT("MemberID!G6:G"&amp;MemberID!$C$1),MATCH(Interface!A135,INDIRECT("MemberID!C6:C"&amp;MemberID!$C$1),0))</f>
        <v>0</v>
      </c>
      <c r="D135" s="99" t="e">
        <f t="shared" ca="1" si="48"/>
        <v>#N/A</v>
      </c>
      <c r="E135" s="100" t="str">
        <f t="shared" si="49"/>
        <v>-</v>
      </c>
      <c r="F135" s="87" t="e">
        <f t="shared" ca="1" si="50"/>
        <v>#N/A</v>
      </c>
      <c r="G135" s="75">
        <f t="array" aca="1" ref="G135" ca="1">IF($G$7=G$14,IF($G$8="Max",_xlfn.MAXIFS(INDIRECT("'"&amp;$G$6&amp;"'!"&amp;G$15&amp;"65:"&amp;G$15&amp;$J$6),INDIRECT("'"&amp;$G$6&amp;"'!"&amp;"E65:E"&amp;$J$6),$B135,INDIRECT("'"&amp;$G$6&amp;"'!"&amp;"D65:D"&amp;$J$6),$C135),_xlfn.MINIFS(INDIRECT("'"&amp;$G$6&amp;"'!"&amp;G$15&amp;"65:"&amp;G$15&amp;$J$6),INDIRECT("'"&amp;$G$6&amp;"'!"&amp;"E65:E"&amp;$J$6),$B135,INDIRECT("'"&amp;$G$6&amp;"'!"&amp;"D65:D"&amp;$J$6),$C135)),INDEX(INDIRECT("'"&amp;$G$6&amp;"'!"&amp;G$15&amp;"65:"&amp;G$15&amp;$J$6),$D135))</f>
        <v>0</v>
      </c>
      <c r="H135" s="75" t="e">
        <f t="shared" ca="1" si="51"/>
        <v>#N/A</v>
      </c>
      <c r="I135" s="75" t="e">
        <f t="shared" ca="1" si="51"/>
        <v>#N/A</v>
      </c>
      <c r="J135" s="75" t="e">
        <f t="shared" ca="1" si="51"/>
        <v>#N/A</v>
      </c>
      <c r="K135" s="75" t="e">
        <f t="shared" ca="1" si="51"/>
        <v>#N/A</v>
      </c>
      <c r="L135" s="75" t="e">
        <f t="shared" ca="1" si="51"/>
        <v>#N/A</v>
      </c>
      <c r="M135" s="69"/>
      <c r="N135" s="69"/>
      <c r="O135" s="69"/>
      <c r="P135" s="69"/>
      <c r="Q135" s="69"/>
      <c r="R135" s="69"/>
    </row>
    <row r="136" spans="1:18" x14ac:dyDescent="0.25">
      <c r="A136" s="91" t="str">
        <f t="shared" si="47"/>
        <v>P03C</v>
      </c>
      <c r="B136" s="99">
        <f>8</f>
        <v>8</v>
      </c>
      <c r="C136" s="99">
        <f ca="1">INDEX(INDIRECT("MemberID!G6:G"&amp;MemberID!$C$1),MATCH(Interface!A136,INDIRECT("MemberID!C6:C"&amp;MemberID!$C$1),0))</f>
        <v>0</v>
      </c>
      <c r="D136" s="99" t="e">
        <f t="shared" ca="1" si="48"/>
        <v>#N/A</v>
      </c>
      <c r="E136" s="100" t="str">
        <f t="shared" si="49"/>
        <v>-</v>
      </c>
      <c r="F136" s="87" t="e">
        <f t="shared" ca="1" si="50"/>
        <v>#N/A</v>
      </c>
      <c r="G136" s="75">
        <f t="array" aca="1" ref="G136" ca="1">IF($G$7=G$14,IF($G$8="Max",_xlfn.MAXIFS(INDIRECT("'"&amp;$G$6&amp;"'!"&amp;G$15&amp;"65:"&amp;G$15&amp;$J$6),INDIRECT("'"&amp;$G$6&amp;"'!"&amp;"E65:E"&amp;$J$6),$B136,INDIRECT("'"&amp;$G$6&amp;"'!"&amp;"D65:D"&amp;$J$6),$C136),_xlfn.MINIFS(INDIRECT("'"&amp;$G$6&amp;"'!"&amp;G$15&amp;"65:"&amp;G$15&amp;$J$6),INDIRECT("'"&amp;$G$6&amp;"'!"&amp;"E65:E"&amp;$J$6),$B136,INDIRECT("'"&amp;$G$6&amp;"'!"&amp;"D65:D"&amp;$J$6),$C136)),INDEX(INDIRECT("'"&amp;$G$6&amp;"'!"&amp;G$15&amp;"65:"&amp;G$15&amp;$J$6),$D136))</f>
        <v>0</v>
      </c>
      <c r="H136" s="75" t="e">
        <f t="shared" ca="1" si="51"/>
        <v>#N/A</v>
      </c>
      <c r="I136" s="75" t="e">
        <f t="shared" ca="1" si="51"/>
        <v>#N/A</v>
      </c>
      <c r="J136" s="75" t="e">
        <f t="shared" ca="1" si="51"/>
        <v>#N/A</v>
      </c>
      <c r="K136" s="75" t="e">
        <f t="shared" ca="1" si="51"/>
        <v>#N/A</v>
      </c>
      <c r="L136" s="75" t="e">
        <f t="shared" ca="1" si="51"/>
        <v>#N/A</v>
      </c>
      <c r="M136" s="69"/>
      <c r="N136" s="69"/>
      <c r="O136" s="69"/>
      <c r="P136" s="69"/>
      <c r="Q136" s="69"/>
      <c r="R136" s="69"/>
    </row>
    <row r="137" spans="1:18" x14ac:dyDescent="0.25">
      <c r="A137" s="91" t="str">
        <f t="shared" si="47"/>
        <v>P03L</v>
      </c>
      <c r="B137" s="99">
        <f>8</f>
        <v>8</v>
      </c>
      <c r="C137" s="99">
        <f ca="1">INDEX(INDIRECT("MemberID!G6:G"&amp;MemberID!$C$1),MATCH(Interface!A137,INDIRECT("MemberID!C6:C"&amp;MemberID!$C$1),0))</f>
        <v>0</v>
      </c>
      <c r="D137" s="99" t="e">
        <f t="shared" ca="1" si="48"/>
        <v>#N/A</v>
      </c>
      <c r="E137" s="100" t="str">
        <f t="shared" si="49"/>
        <v>-</v>
      </c>
      <c r="F137" s="87" t="e">
        <f t="shared" ca="1" si="50"/>
        <v>#N/A</v>
      </c>
      <c r="G137" s="75">
        <f t="array" aca="1" ref="G137" ca="1">IF($G$7=G$14,IF($G$8="Max",_xlfn.MAXIFS(INDIRECT("'"&amp;$G$6&amp;"'!"&amp;G$15&amp;"65:"&amp;G$15&amp;$J$6),INDIRECT("'"&amp;$G$6&amp;"'!"&amp;"E65:E"&amp;$J$6),$B137,INDIRECT("'"&amp;$G$6&amp;"'!"&amp;"D65:D"&amp;$J$6),$C137),_xlfn.MINIFS(INDIRECT("'"&amp;$G$6&amp;"'!"&amp;G$15&amp;"65:"&amp;G$15&amp;$J$6),INDIRECT("'"&amp;$G$6&amp;"'!"&amp;"E65:E"&amp;$J$6),$B137,INDIRECT("'"&amp;$G$6&amp;"'!"&amp;"D65:D"&amp;$J$6),$C137)),INDEX(INDIRECT("'"&amp;$G$6&amp;"'!"&amp;G$15&amp;"65:"&amp;G$15&amp;$J$6),$D137))</f>
        <v>0</v>
      </c>
      <c r="H137" s="75" t="e">
        <f t="shared" ca="1" si="51"/>
        <v>#N/A</v>
      </c>
      <c r="I137" s="75" t="e">
        <f t="shared" ca="1" si="51"/>
        <v>#N/A</v>
      </c>
      <c r="J137" s="75" t="e">
        <f t="shared" ca="1" si="51"/>
        <v>#N/A</v>
      </c>
      <c r="K137" s="75" t="e">
        <f t="shared" ca="1" si="51"/>
        <v>#N/A</v>
      </c>
      <c r="L137" s="75" t="e">
        <f t="shared" ca="1" si="51"/>
        <v>#N/A</v>
      </c>
      <c r="M137" s="69"/>
      <c r="N137" s="69"/>
      <c r="O137" s="69"/>
      <c r="P137" s="69"/>
      <c r="Q137" s="69"/>
      <c r="R137" s="69"/>
    </row>
    <row r="139" spans="1:18" x14ac:dyDescent="0.25">
      <c r="A139" s="108" t="s">
        <v>278</v>
      </c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</row>
    <row r="140" spans="1:18" x14ac:dyDescent="0.25">
      <c r="A140" s="91" t="s">
        <v>13</v>
      </c>
      <c r="B140" s="99" t="s">
        <v>191</v>
      </c>
      <c r="C140" s="99" t="s">
        <v>219</v>
      </c>
      <c r="D140" s="99" t="s">
        <v>226</v>
      </c>
      <c r="E140" s="111" t="s">
        <v>258</v>
      </c>
      <c r="F140" s="91" t="s">
        <v>261</v>
      </c>
      <c r="G140" s="91" t="s">
        <v>123</v>
      </c>
      <c r="H140" s="91" t="s">
        <v>124</v>
      </c>
      <c r="I140" s="91" t="s">
        <v>125</v>
      </c>
      <c r="J140" s="91" t="s">
        <v>126</v>
      </c>
      <c r="K140" s="91" t="s">
        <v>127</v>
      </c>
      <c r="L140" s="91" t="s">
        <v>128</v>
      </c>
      <c r="M140" s="99" t="s">
        <v>220</v>
      </c>
      <c r="N140" s="99" t="s">
        <v>221</v>
      </c>
      <c r="O140" s="99" t="s">
        <v>222</v>
      </c>
      <c r="P140" s="99" t="s">
        <v>223</v>
      </c>
      <c r="Q140" s="99" t="s">
        <v>224</v>
      </c>
      <c r="R140" s="99" t="s">
        <v>225</v>
      </c>
    </row>
    <row r="141" spans="1:18" x14ac:dyDescent="0.25">
      <c r="A141" s="91"/>
      <c r="B141" s="99" t="str">
        <f>SUBSTITUTE(ADDRESS(1,COLUMN('STR1 Forces'!E189),4),"1","")</f>
        <v>E</v>
      </c>
      <c r="C141" s="99" t="str">
        <f>SUBSTITUTE(ADDRESS(1,COLUMN('STR1 Forces'!D189),4),"1","")</f>
        <v>D</v>
      </c>
      <c r="D141" s="99"/>
      <c r="E141" s="91"/>
      <c r="F141" s="99" t="str">
        <f>SUBSTITUTE(ADDRESS(1,COLUMN('STR1 Forces'!I189),4),"1","")</f>
        <v>I</v>
      </c>
      <c r="G141" s="99" t="str">
        <f>SUBSTITUTE(ADDRESS(1,COLUMN('STR1 Forces'!J189),4),"1","")</f>
        <v>J</v>
      </c>
      <c r="H141" s="99" t="str">
        <f>SUBSTITUTE(ADDRESS(1,COLUMN('STR1 Forces'!K189),4),"1","")</f>
        <v>K</v>
      </c>
      <c r="I141" s="99" t="str">
        <f>SUBSTITUTE(ADDRESS(1,COLUMN('STR1 Forces'!L189),4),"1","")</f>
        <v>L</v>
      </c>
      <c r="J141" s="99" t="str">
        <f>SUBSTITUTE(ADDRESS(1,COLUMN('STR1 Forces'!M189),4),"1","")</f>
        <v>M</v>
      </c>
      <c r="K141" s="99" t="str">
        <f>SUBSTITUTE(ADDRESS(1,COLUMN('STR1 Forces'!N189),4),"1","")</f>
        <v>N</v>
      </c>
      <c r="L141" s="99" t="str">
        <f>SUBSTITUTE(ADDRESS(1,COLUMN('STR1 Forces'!O189),4),"1","")</f>
        <v>O</v>
      </c>
      <c r="M141" s="69"/>
      <c r="N141" s="69"/>
      <c r="O141" s="69"/>
      <c r="P141" s="69"/>
      <c r="Q141" s="69"/>
      <c r="R141" s="69"/>
    </row>
    <row r="142" spans="1:18" x14ac:dyDescent="0.25">
      <c r="A142" s="91" t="str">
        <f>$G$8</f>
        <v>Max</v>
      </c>
      <c r="B142" s="75"/>
      <c r="C142" s="75"/>
      <c r="D142" s="75"/>
      <c r="E142" s="75"/>
      <c r="F142" s="75"/>
      <c r="G142" s="75">
        <f ca="1">IF($G$8="Max",MAX(G143:G151),MIN(G143:G151))</f>
        <v>0</v>
      </c>
      <c r="H142" s="75" t="e">
        <f t="shared" ref="H142:L142" ca="1" si="52">MAX(H143)</f>
        <v>#N/A</v>
      </c>
      <c r="I142" s="75" t="e">
        <f t="shared" ca="1" si="52"/>
        <v>#N/A</v>
      </c>
      <c r="J142" s="75" t="e">
        <f t="shared" ca="1" si="52"/>
        <v>#N/A</v>
      </c>
      <c r="K142" s="75" t="e">
        <f t="shared" ca="1" si="52"/>
        <v>#N/A</v>
      </c>
      <c r="L142" s="75" t="e">
        <f t="shared" ca="1" si="52"/>
        <v>#N/A</v>
      </c>
      <c r="M142" s="69"/>
      <c r="N142" s="69"/>
      <c r="O142" s="69"/>
      <c r="P142" s="69"/>
      <c r="Q142" s="69"/>
      <c r="R142" s="69"/>
    </row>
    <row r="143" spans="1:18" x14ac:dyDescent="0.25">
      <c r="A143" s="91" t="str">
        <f>A17</f>
        <v>P01R</v>
      </c>
      <c r="B143" s="99">
        <f>9</f>
        <v>9</v>
      </c>
      <c r="C143" s="99">
        <f ca="1">INDEX(INDIRECT("MemberID!G6:G"&amp;MemberID!$C$1),MATCH(Interface!A143,INDIRECT("MemberID!C6:C"&amp;MemberID!$C$1),0))</f>
        <v>0</v>
      </c>
      <c r="D143" s="99" t="e">
        <f ca="1">MATCH(INDIRECT($J$7&amp;ROW()),INDIRECT("'"&amp;$G$6&amp;"'!"&amp;$L$7&amp;"65:"&amp;$L$7&amp;$J$6),0)</f>
        <v>#N/A</v>
      </c>
      <c r="E143" s="100" t="str">
        <f>E17</f>
        <v>-</v>
      </c>
      <c r="F143" s="87" t="e">
        <f ca="1">INDEX(INDIRECT("'"&amp;$G$6&amp;"'!"&amp;F$15&amp;"65:"&amp;F$15&amp;$J$6),$D143)</f>
        <v>#N/A</v>
      </c>
      <c r="G143" s="75">
        <f t="array" aca="1" ref="G143" ca="1">IF($G$7=G$14,IF($G$8="Max",_xlfn.MAXIFS(INDIRECT("'"&amp;$G$6&amp;"'!"&amp;G$15&amp;"65:"&amp;G$15&amp;$J$6),INDIRECT("'"&amp;$G$6&amp;"'!"&amp;"E65:E"&amp;$J$6),$B143,INDIRECT("'"&amp;$G$6&amp;"'!"&amp;"D65:D"&amp;$J$6),$C143),_xlfn.MINIFS(INDIRECT("'"&amp;$G$6&amp;"'!"&amp;G$15&amp;"65:"&amp;G$15&amp;$J$6),INDIRECT("'"&amp;$G$6&amp;"'!"&amp;"E65:E"&amp;$J$6),$B143,INDIRECT("'"&amp;$G$6&amp;"'!"&amp;"D65:D"&amp;$J$6),$C143)),INDEX(INDIRECT("'"&amp;$G$6&amp;"'!"&amp;G$15&amp;"65:"&amp;G$15&amp;$J$6),$D143))</f>
        <v>0</v>
      </c>
      <c r="H143" s="75" t="e">
        <f ca="1">IF($G$7=H$14,IF($G$8="Max",_xlfn.MAXIFS(INDIRECT("'"&amp;$G$6&amp;"'!"&amp;H$15&amp;"65:"&amp;H$15&amp;$J$6),INDIRECT("'"&amp;$G$6&amp;"'!"&amp;"E65:E"&amp;$J$6),$B143,INDIRECT("'"&amp;$G$6&amp;"'!"&amp;"D65:D"&amp;$J$6),$C143),_xlfn.MINIFS(INDIRECT("'"&amp;$G$6&amp;"'!"&amp;H$15&amp;"65:"&amp;H$15&amp;$J$6),INDIRECT("'"&amp;$G$6&amp;"'!"&amp;"E65:E"&amp;$J$6),$B143,INDIRECT("'"&amp;$G$6&amp;"'!"&amp;"D65:D"&amp;$J$6),$C143)),INDEX(INDIRECT("'"&amp;$G$6&amp;"'!"&amp;H$15&amp;"65:"&amp;H$15&amp;$J$6),$D143))</f>
        <v>#N/A</v>
      </c>
      <c r="I143" s="75" t="e">
        <f ca="1">IF($G$7=I$14,IF($G$8="Max",_xlfn.MAXIFS(INDIRECT("'"&amp;$G$6&amp;"'!"&amp;I$15&amp;"65:"&amp;I$15&amp;$J$6),INDIRECT("'"&amp;$G$6&amp;"'!"&amp;"E65:E"&amp;$J$6),$B143,INDIRECT("'"&amp;$G$6&amp;"'!"&amp;"D65:D"&amp;$J$6),$C143),_xlfn.MINIFS(INDIRECT("'"&amp;$G$6&amp;"'!"&amp;I$15&amp;"65:"&amp;I$15&amp;$J$6),INDIRECT("'"&amp;$G$6&amp;"'!"&amp;"E65:E"&amp;$J$6),$B143,INDIRECT("'"&amp;$G$6&amp;"'!"&amp;"D65:D"&amp;$J$6),$C143)),INDEX(INDIRECT("'"&amp;$G$6&amp;"'!"&amp;I$15&amp;"65:"&amp;I$15&amp;$J$6),$D143))</f>
        <v>#N/A</v>
      </c>
      <c r="J143" s="75" t="e">
        <f ca="1">IF($G$7=J$14,IF($G$8="Max",_xlfn.MAXIFS(INDIRECT("'"&amp;$G$6&amp;"'!"&amp;J$15&amp;"65:"&amp;J$15&amp;$J$6),INDIRECT("'"&amp;$G$6&amp;"'!"&amp;"E65:E"&amp;$J$6),$B143,INDIRECT("'"&amp;$G$6&amp;"'!"&amp;"D65:D"&amp;$J$6),$C143),_xlfn.MINIFS(INDIRECT("'"&amp;$G$6&amp;"'!"&amp;J$15&amp;"65:"&amp;J$15&amp;$J$6),INDIRECT("'"&amp;$G$6&amp;"'!"&amp;"E65:E"&amp;$J$6),$B143,INDIRECT("'"&amp;$G$6&amp;"'!"&amp;"D65:D"&amp;$J$6),$C143)),INDEX(INDIRECT("'"&amp;$G$6&amp;"'!"&amp;J$15&amp;"65:"&amp;J$15&amp;$J$6),$D143))</f>
        <v>#N/A</v>
      </c>
      <c r="K143" s="75" t="e">
        <f ca="1">IF($G$7=K$14,IF($G$8="Max",_xlfn.MAXIFS(INDIRECT("'"&amp;$G$6&amp;"'!"&amp;K$15&amp;"65:"&amp;K$15&amp;$J$6),INDIRECT("'"&amp;$G$6&amp;"'!"&amp;"E65:E"&amp;$J$6),$B143,INDIRECT("'"&amp;$G$6&amp;"'!"&amp;"D65:D"&amp;$J$6),$C143),_xlfn.MINIFS(INDIRECT("'"&amp;$G$6&amp;"'!"&amp;K$15&amp;"65:"&amp;K$15&amp;$J$6),INDIRECT("'"&amp;$G$6&amp;"'!"&amp;"E65:E"&amp;$J$6),$B143,INDIRECT("'"&amp;$G$6&amp;"'!"&amp;"D65:D"&amp;$J$6),$C143)),INDEX(INDIRECT("'"&amp;$G$6&amp;"'!"&amp;K$15&amp;"65:"&amp;K$15&amp;$J$6),$D143))</f>
        <v>#N/A</v>
      </c>
      <c r="L143" s="75" t="e">
        <f ca="1">IF($G$7=L$14,IF($G$8="Max",_xlfn.MAXIFS(INDIRECT("'"&amp;$G$6&amp;"'!"&amp;L$15&amp;"65:"&amp;L$15&amp;$J$6),INDIRECT("'"&amp;$G$6&amp;"'!"&amp;"E65:E"&amp;$J$6),$B143,INDIRECT("'"&amp;$G$6&amp;"'!"&amp;"D65:D"&amp;$J$6),$C143),_xlfn.MINIFS(INDIRECT("'"&amp;$G$6&amp;"'!"&amp;L$15&amp;"65:"&amp;L$15&amp;$J$6),INDIRECT("'"&amp;$G$6&amp;"'!"&amp;"E65:E"&amp;$J$6),$B143,INDIRECT("'"&amp;$G$6&amp;"'!"&amp;"D65:D"&amp;$J$6),$C143)),INDEX(INDIRECT("'"&amp;$G$6&amp;"'!"&amp;L$15&amp;"65:"&amp;L$15&amp;$J$6),$D143))</f>
        <v>#N/A</v>
      </c>
      <c r="M143" s="69"/>
      <c r="N143" s="69"/>
      <c r="O143" s="69"/>
      <c r="P143" s="69"/>
      <c r="Q143" s="69"/>
      <c r="R143" s="69"/>
    </row>
    <row r="144" spans="1:18" x14ac:dyDescent="0.25">
      <c r="A144" s="91" t="str">
        <f t="shared" ref="A144:A151" si="53">A18</f>
        <v>P01C</v>
      </c>
      <c r="B144" s="99">
        <f>9</f>
        <v>9</v>
      </c>
      <c r="C144" s="99">
        <f ca="1">INDEX(INDIRECT("MemberID!G6:G"&amp;MemberID!$C$1),MATCH(Interface!A144,INDIRECT("MemberID!C6:C"&amp;MemberID!$C$1),0))</f>
        <v>0</v>
      </c>
      <c r="D144" s="99" t="e">
        <f t="shared" ref="D144:D151" ca="1" si="54">MATCH(INDIRECT($J$7&amp;ROW()),INDIRECT("'"&amp;$G$6&amp;"'!"&amp;$L$7&amp;"65:"&amp;$L$7&amp;$J$6),0)</f>
        <v>#N/A</v>
      </c>
      <c r="E144" s="100" t="str">
        <f t="shared" ref="E144:E151" si="55">E18</f>
        <v>-</v>
      </c>
      <c r="F144" s="87" t="e">
        <f t="shared" ref="F144:F151" ca="1" si="56">INDEX(INDIRECT("'"&amp;$G$6&amp;"'!"&amp;F$15&amp;"65:"&amp;F$15&amp;$J$6),$D144)</f>
        <v>#N/A</v>
      </c>
      <c r="G144" s="75">
        <f t="array" aca="1" ref="G144" ca="1">IF($G$7=G$14,IF($G$8="Max",_xlfn.MAXIFS(INDIRECT("'"&amp;$G$6&amp;"'!"&amp;G$15&amp;"65:"&amp;G$15&amp;$J$6),INDIRECT("'"&amp;$G$6&amp;"'!"&amp;"E65:E"&amp;$J$6),$B144,INDIRECT("'"&amp;$G$6&amp;"'!"&amp;"D65:D"&amp;$J$6),$C144),_xlfn.MINIFS(INDIRECT("'"&amp;$G$6&amp;"'!"&amp;G$15&amp;"65:"&amp;G$15&amp;$J$6),INDIRECT("'"&amp;$G$6&amp;"'!"&amp;"E65:E"&amp;$J$6),$B144,INDIRECT("'"&amp;$G$6&amp;"'!"&amp;"D65:D"&amp;$J$6),$C144)),INDEX(INDIRECT("'"&amp;$G$6&amp;"'!"&amp;G$15&amp;"65:"&amp;G$15&amp;$J$6),$D144))</f>
        <v>0</v>
      </c>
      <c r="H144" s="75" t="e">
        <f t="shared" ref="H144:L151" ca="1" si="57">IF($G$7=H$14,IF($G$8="Max",_xlfn.MAXIFS(INDIRECT("'"&amp;$G$6&amp;"'!"&amp;H$15&amp;"65:"&amp;H$15&amp;$J$6),INDIRECT("'"&amp;$G$6&amp;"'!"&amp;"E65:E"&amp;$J$6),$B144,INDIRECT("'"&amp;$G$6&amp;"'!"&amp;"D65:D"&amp;$J$6),$C144),_xlfn.MINIFS(INDIRECT("'"&amp;$G$6&amp;"'!"&amp;H$15&amp;"65:"&amp;H$15&amp;$J$6),INDIRECT("'"&amp;$G$6&amp;"'!"&amp;"E65:E"&amp;$J$6),$B144,INDIRECT("'"&amp;$G$6&amp;"'!"&amp;"D65:D"&amp;$J$6),$C144)),INDEX(INDIRECT("'"&amp;$G$6&amp;"'!"&amp;H$15&amp;"65:"&amp;H$15&amp;$J$6),$D144))</f>
        <v>#N/A</v>
      </c>
      <c r="I144" s="75" t="e">
        <f t="shared" ca="1" si="57"/>
        <v>#N/A</v>
      </c>
      <c r="J144" s="75" t="e">
        <f t="shared" ca="1" si="57"/>
        <v>#N/A</v>
      </c>
      <c r="K144" s="75" t="e">
        <f t="shared" ca="1" si="57"/>
        <v>#N/A</v>
      </c>
      <c r="L144" s="75" t="e">
        <f t="shared" ca="1" si="57"/>
        <v>#N/A</v>
      </c>
      <c r="M144" s="69"/>
      <c r="N144" s="69"/>
      <c r="O144" s="69"/>
      <c r="P144" s="69"/>
      <c r="Q144" s="69"/>
      <c r="R144" s="69"/>
    </row>
    <row r="145" spans="1:18" x14ac:dyDescent="0.25">
      <c r="A145" s="91" t="str">
        <f t="shared" si="53"/>
        <v>P01L</v>
      </c>
      <c r="B145" s="99">
        <f>9</f>
        <v>9</v>
      </c>
      <c r="C145" s="99">
        <f ca="1">INDEX(INDIRECT("MemberID!G6:G"&amp;MemberID!$C$1),MATCH(Interface!A145,INDIRECT("MemberID!C6:C"&amp;MemberID!$C$1),0))</f>
        <v>0</v>
      </c>
      <c r="D145" s="99" t="e">
        <f t="shared" ca="1" si="54"/>
        <v>#N/A</v>
      </c>
      <c r="E145" s="100" t="str">
        <f t="shared" si="55"/>
        <v>-</v>
      </c>
      <c r="F145" s="87" t="e">
        <f t="shared" ca="1" si="56"/>
        <v>#N/A</v>
      </c>
      <c r="G145" s="75">
        <f t="array" aca="1" ref="G145" ca="1">IF($G$7=G$14,IF($G$8="Max",_xlfn.MAXIFS(INDIRECT("'"&amp;$G$6&amp;"'!"&amp;G$15&amp;"65:"&amp;G$15&amp;$J$6),INDIRECT("'"&amp;$G$6&amp;"'!"&amp;"E65:E"&amp;$J$6),$B145,INDIRECT("'"&amp;$G$6&amp;"'!"&amp;"D65:D"&amp;$J$6),$C145),_xlfn.MINIFS(INDIRECT("'"&amp;$G$6&amp;"'!"&amp;G$15&amp;"65:"&amp;G$15&amp;$J$6),INDIRECT("'"&amp;$G$6&amp;"'!"&amp;"E65:E"&amp;$J$6),$B145,INDIRECT("'"&amp;$G$6&amp;"'!"&amp;"D65:D"&amp;$J$6),$C145)),INDEX(INDIRECT("'"&amp;$G$6&amp;"'!"&amp;G$15&amp;"65:"&amp;G$15&amp;$J$6),$D145))</f>
        <v>0</v>
      </c>
      <c r="H145" s="75" t="e">
        <f t="shared" ca="1" si="57"/>
        <v>#N/A</v>
      </c>
      <c r="I145" s="75" t="e">
        <f t="shared" ca="1" si="57"/>
        <v>#N/A</v>
      </c>
      <c r="J145" s="75" t="e">
        <f t="shared" ca="1" si="57"/>
        <v>#N/A</v>
      </c>
      <c r="K145" s="75" t="e">
        <f t="shared" ca="1" si="57"/>
        <v>#N/A</v>
      </c>
      <c r="L145" s="75" t="e">
        <f t="shared" ca="1" si="57"/>
        <v>#N/A</v>
      </c>
      <c r="M145" s="69"/>
      <c r="N145" s="69"/>
      <c r="O145" s="69"/>
      <c r="P145" s="69"/>
      <c r="Q145" s="69"/>
      <c r="R145" s="69"/>
    </row>
    <row r="146" spans="1:18" x14ac:dyDescent="0.25">
      <c r="A146" s="91" t="str">
        <f t="shared" si="53"/>
        <v>P02R</v>
      </c>
      <c r="B146" s="99">
        <f>9</f>
        <v>9</v>
      </c>
      <c r="C146" s="99">
        <f ca="1">INDEX(INDIRECT("MemberID!G6:G"&amp;MemberID!$C$1),MATCH(Interface!A146,INDIRECT("MemberID!C6:C"&amp;MemberID!$C$1),0))</f>
        <v>0</v>
      </c>
      <c r="D146" s="99" t="e">
        <f t="shared" ca="1" si="54"/>
        <v>#N/A</v>
      </c>
      <c r="E146" s="100" t="str">
        <f t="shared" si="55"/>
        <v>-</v>
      </c>
      <c r="F146" s="87" t="e">
        <f t="shared" ca="1" si="56"/>
        <v>#N/A</v>
      </c>
      <c r="G146" s="75">
        <f t="array" aca="1" ref="G146" ca="1">IF($G$7=G$14,IF($G$8="Max",_xlfn.MAXIFS(INDIRECT("'"&amp;$G$6&amp;"'!"&amp;G$15&amp;"65:"&amp;G$15&amp;$J$6),INDIRECT("'"&amp;$G$6&amp;"'!"&amp;"E65:E"&amp;$J$6),$B146,INDIRECT("'"&amp;$G$6&amp;"'!"&amp;"D65:D"&amp;$J$6),$C146),_xlfn.MINIFS(INDIRECT("'"&amp;$G$6&amp;"'!"&amp;G$15&amp;"65:"&amp;G$15&amp;$J$6),INDIRECT("'"&amp;$G$6&amp;"'!"&amp;"E65:E"&amp;$J$6),$B146,INDIRECT("'"&amp;$G$6&amp;"'!"&amp;"D65:D"&amp;$J$6),$C146)),INDEX(INDIRECT("'"&amp;$G$6&amp;"'!"&amp;G$15&amp;"65:"&amp;G$15&amp;$J$6),$D146))</f>
        <v>0</v>
      </c>
      <c r="H146" s="75" t="e">
        <f t="shared" ca="1" si="57"/>
        <v>#N/A</v>
      </c>
      <c r="I146" s="75" t="e">
        <f t="shared" ca="1" si="57"/>
        <v>#N/A</v>
      </c>
      <c r="J146" s="75" t="e">
        <f t="shared" ca="1" si="57"/>
        <v>#N/A</v>
      </c>
      <c r="K146" s="75" t="e">
        <f t="shared" ca="1" si="57"/>
        <v>#N/A</v>
      </c>
      <c r="L146" s="75" t="e">
        <f t="shared" ca="1" si="57"/>
        <v>#N/A</v>
      </c>
      <c r="M146" s="69"/>
      <c r="N146" s="69"/>
      <c r="O146" s="69"/>
      <c r="P146" s="69"/>
      <c r="Q146" s="69"/>
      <c r="R146" s="69"/>
    </row>
    <row r="147" spans="1:18" x14ac:dyDescent="0.25">
      <c r="A147" s="91" t="str">
        <f t="shared" si="53"/>
        <v>P02C</v>
      </c>
      <c r="B147" s="99">
        <f>9</f>
        <v>9</v>
      </c>
      <c r="C147" s="99">
        <f ca="1">INDEX(INDIRECT("MemberID!G6:G"&amp;MemberID!$C$1),MATCH(Interface!A147,INDIRECT("MemberID!C6:C"&amp;MemberID!$C$1),0))</f>
        <v>0</v>
      </c>
      <c r="D147" s="99" t="e">
        <f t="shared" ca="1" si="54"/>
        <v>#N/A</v>
      </c>
      <c r="E147" s="100" t="str">
        <f t="shared" si="55"/>
        <v>-</v>
      </c>
      <c r="F147" s="87" t="e">
        <f t="shared" ca="1" si="56"/>
        <v>#N/A</v>
      </c>
      <c r="G147" s="75">
        <f t="array" aca="1" ref="G147" ca="1">IF($G$7=G$14,IF($G$8="Max",_xlfn.MAXIFS(INDIRECT("'"&amp;$G$6&amp;"'!"&amp;G$15&amp;"65:"&amp;G$15&amp;$J$6),INDIRECT("'"&amp;$G$6&amp;"'!"&amp;"E65:E"&amp;$J$6),$B147,INDIRECT("'"&amp;$G$6&amp;"'!"&amp;"D65:D"&amp;$J$6),$C147),_xlfn.MINIFS(INDIRECT("'"&amp;$G$6&amp;"'!"&amp;G$15&amp;"65:"&amp;G$15&amp;$J$6),INDIRECT("'"&amp;$G$6&amp;"'!"&amp;"E65:E"&amp;$J$6),$B147,INDIRECT("'"&amp;$G$6&amp;"'!"&amp;"D65:D"&amp;$J$6),$C147)),INDEX(INDIRECT("'"&amp;$G$6&amp;"'!"&amp;G$15&amp;"65:"&amp;G$15&amp;$J$6),$D147))</f>
        <v>0</v>
      </c>
      <c r="H147" s="75" t="e">
        <f t="shared" ca="1" si="57"/>
        <v>#N/A</v>
      </c>
      <c r="I147" s="75" t="e">
        <f t="shared" ca="1" si="57"/>
        <v>#N/A</v>
      </c>
      <c r="J147" s="75" t="e">
        <f t="shared" ca="1" si="57"/>
        <v>#N/A</v>
      </c>
      <c r="K147" s="75" t="e">
        <f t="shared" ca="1" si="57"/>
        <v>#N/A</v>
      </c>
      <c r="L147" s="75" t="e">
        <f t="shared" ca="1" si="57"/>
        <v>#N/A</v>
      </c>
      <c r="M147" s="69"/>
      <c r="N147" s="69"/>
      <c r="O147" s="69"/>
      <c r="P147" s="69"/>
      <c r="Q147" s="69"/>
      <c r="R147" s="69"/>
    </row>
    <row r="148" spans="1:18" x14ac:dyDescent="0.25">
      <c r="A148" s="91" t="str">
        <f t="shared" si="53"/>
        <v>P02L</v>
      </c>
      <c r="B148" s="99">
        <f>9</f>
        <v>9</v>
      </c>
      <c r="C148" s="99">
        <f ca="1">INDEX(INDIRECT("MemberID!G6:G"&amp;MemberID!$C$1),MATCH(Interface!A148,INDIRECT("MemberID!C6:C"&amp;MemberID!$C$1),0))</f>
        <v>0</v>
      </c>
      <c r="D148" s="99" t="e">
        <f t="shared" ca="1" si="54"/>
        <v>#N/A</v>
      </c>
      <c r="E148" s="100" t="str">
        <f t="shared" si="55"/>
        <v>-</v>
      </c>
      <c r="F148" s="87" t="e">
        <f t="shared" ca="1" si="56"/>
        <v>#N/A</v>
      </c>
      <c r="G148" s="75">
        <f t="array" aca="1" ref="G148" ca="1">IF($G$7=G$14,IF($G$8="Max",_xlfn.MAXIFS(INDIRECT("'"&amp;$G$6&amp;"'!"&amp;G$15&amp;"65:"&amp;G$15&amp;$J$6),INDIRECT("'"&amp;$G$6&amp;"'!"&amp;"E65:E"&amp;$J$6),$B148,INDIRECT("'"&amp;$G$6&amp;"'!"&amp;"D65:D"&amp;$J$6),$C148),_xlfn.MINIFS(INDIRECT("'"&amp;$G$6&amp;"'!"&amp;G$15&amp;"65:"&amp;G$15&amp;$J$6),INDIRECT("'"&amp;$G$6&amp;"'!"&amp;"E65:E"&amp;$J$6),$B148,INDIRECT("'"&amp;$G$6&amp;"'!"&amp;"D65:D"&amp;$J$6),$C148)),INDEX(INDIRECT("'"&amp;$G$6&amp;"'!"&amp;G$15&amp;"65:"&amp;G$15&amp;$J$6),$D148))</f>
        <v>0</v>
      </c>
      <c r="H148" s="75" t="e">
        <f t="shared" ca="1" si="57"/>
        <v>#N/A</v>
      </c>
      <c r="I148" s="75" t="e">
        <f t="shared" ca="1" si="57"/>
        <v>#N/A</v>
      </c>
      <c r="J148" s="75" t="e">
        <f t="shared" ca="1" si="57"/>
        <v>#N/A</v>
      </c>
      <c r="K148" s="75" t="e">
        <f t="shared" ca="1" si="57"/>
        <v>#N/A</v>
      </c>
      <c r="L148" s="75" t="e">
        <f t="shared" ca="1" si="57"/>
        <v>#N/A</v>
      </c>
      <c r="M148" s="69"/>
      <c r="N148" s="69"/>
      <c r="O148" s="69"/>
      <c r="P148" s="69"/>
      <c r="Q148" s="69"/>
      <c r="R148" s="69"/>
    </row>
    <row r="149" spans="1:18" x14ac:dyDescent="0.25">
      <c r="A149" s="91" t="str">
        <f t="shared" si="53"/>
        <v>P03R</v>
      </c>
      <c r="B149" s="99">
        <f>9</f>
        <v>9</v>
      </c>
      <c r="C149" s="99">
        <f ca="1">INDEX(INDIRECT("MemberID!G6:G"&amp;MemberID!$C$1),MATCH(Interface!A149,INDIRECT("MemberID!C6:C"&amp;MemberID!$C$1),0))</f>
        <v>0</v>
      </c>
      <c r="D149" s="99" t="e">
        <f t="shared" ca="1" si="54"/>
        <v>#N/A</v>
      </c>
      <c r="E149" s="100" t="str">
        <f t="shared" si="55"/>
        <v>-</v>
      </c>
      <c r="F149" s="87" t="e">
        <f t="shared" ca="1" si="56"/>
        <v>#N/A</v>
      </c>
      <c r="G149" s="75">
        <f t="array" aca="1" ref="G149" ca="1">IF($G$7=G$14,IF($G$8="Max",_xlfn.MAXIFS(INDIRECT("'"&amp;$G$6&amp;"'!"&amp;G$15&amp;"65:"&amp;G$15&amp;$J$6),INDIRECT("'"&amp;$G$6&amp;"'!"&amp;"E65:E"&amp;$J$6),$B149,INDIRECT("'"&amp;$G$6&amp;"'!"&amp;"D65:D"&amp;$J$6),$C149),_xlfn.MINIFS(INDIRECT("'"&amp;$G$6&amp;"'!"&amp;G$15&amp;"65:"&amp;G$15&amp;$J$6),INDIRECT("'"&amp;$G$6&amp;"'!"&amp;"E65:E"&amp;$J$6),$B149,INDIRECT("'"&amp;$G$6&amp;"'!"&amp;"D65:D"&amp;$J$6),$C149)),INDEX(INDIRECT("'"&amp;$G$6&amp;"'!"&amp;G$15&amp;"65:"&amp;G$15&amp;$J$6),$D149))</f>
        <v>0</v>
      </c>
      <c r="H149" s="75" t="e">
        <f t="shared" ca="1" si="57"/>
        <v>#N/A</v>
      </c>
      <c r="I149" s="75" t="e">
        <f t="shared" ca="1" si="57"/>
        <v>#N/A</v>
      </c>
      <c r="J149" s="75" t="e">
        <f t="shared" ca="1" si="57"/>
        <v>#N/A</v>
      </c>
      <c r="K149" s="75" t="e">
        <f t="shared" ca="1" si="57"/>
        <v>#N/A</v>
      </c>
      <c r="L149" s="75" t="e">
        <f t="shared" ca="1" si="57"/>
        <v>#N/A</v>
      </c>
      <c r="M149" s="69"/>
      <c r="N149" s="69"/>
      <c r="O149" s="69"/>
      <c r="P149" s="69"/>
      <c r="Q149" s="69"/>
      <c r="R149" s="69"/>
    </row>
    <row r="150" spans="1:18" x14ac:dyDescent="0.25">
      <c r="A150" s="91" t="str">
        <f t="shared" si="53"/>
        <v>P03C</v>
      </c>
      <c r="B150" s="99">
        <f>9</f>
        <v>9</v>
      </c>
      <c r="C150" s="99">
        <f ca="1">INDEX(INDIRECT("MemberID!G6:G"&amp;MemberID!$C$1),MATCH(Interface!A150,INDIRECT("MemberID!C6:C"&amp;MemberID!$C$1),0))</f>
        <v>0</v>
      </c>
      <c r="D150" s="99" t="e">
        <f t="shared" ca="1" si="54"/>
        <v>#N/A</v>
      </c>
      <c r="E150" s="100" t="str">
        <f t="shared" si="55"/>
        <v>-</v>
      </c>
      <c r="F150" s="87" t="e">
        <f t="shared" ca="1" si="56"/>
        <v>#N/A</v>
      </c>
      <c r="G150" s="75">
        <f t="array" aca="1" ref="G150" ca="1">IF($G$7=G$14,IF($G$8="Max",_xlfn.MAXIFS(INDIRECT("'"&amp;$G$6&amp;"'!"&amp;G$15&amp;"65:"&amp;G$15&amp;$J$6),INDIRECT("'"&amp;$G$6&amp;"'!"&amp;"E65:E"&amp;$J$6),$B150,INDIRECT("'"&amp;$G$6&amp;"'!"&amp;"D65:D"&amp;$J$6),$C150),_xlfn.MINIFS(INDIRECT("'"&amp;$G$6&amp;"'!"&amp;G$15&amp;"65:"&amp;G$15&amp;$J$6),INDIRECT("'"&amp;$G$6&amp;"'!"&amp;"E65:E"&amp;$J$6),$B150,INDIRECT("'"&amp;$G$6&amp;"'!"&amp;"D65:D"&amp;$J$6),$C150)),INDEX(INDIRECT("'"&amp;$G$6&amp;"'!"&amp;G$15&amp;"65:"&amp;G$15&amp;$J$6),$D150))</f>
        <v>0</v>
      </c>
      <c r="H150" s="75" t="e">
        <f t="shared" ca="1" si="57"/>
        <v>#N/A</v>
      </c>
      <c r="I150" s="75" t="e">
        <f t="shared" ca="1" si="57"/>
        <v>#N/A</v>
      </c>
      <c r="J150" s="75" t="e">
        <f t="shared" ca="1" si="57"/>
        <v>#N/A</v>
      </c>
      <c r="K150" s="75" t="e">
        <f t="shared" ca="1" si="57"/>
        <v>#N/A</v>
      </c>
      <c r="L150" s="75" t="e">
        <f t="shared" ca="1" si="57"/>
        <v>#N/A</v>
      </c>
      <c r="M150" s="69"/>
      <c r="N150" s="69"/>
      <c r="O150" s="69"/>
      <c r="P150" s="69"/>
      <c r="Q150" s="69"/>
      <c r="R150" s="69"/>
    </row>
    <row r="151" spans="1:18" x14ac:dyDescent="0.25">
      <c r="A151" s="91" t="str">
        <f t="shared" si="53"/>
        <v>P03L</v>
      </c>
      <c r="B151" s="99">
        <f>9</f>
        <v>9</v>
      </c>
      <c r="C151" s="99">
        <f ca="1">INDEX(INDIRECT("MemberID!G6:G"&amp;MemberID!$C$1),MATCH(Interface!A151,INDIRECT("MemberID!C6:C"&amp;MemberID!$C$1),0))</f>
        <v>0</v>
      </c>
      <c r="D151" s="99" t="e">
        <f t="shared" ca="1" si="54"/>
        <v>#N/A</v>
      </c>
      <c r="E151" s="100" t="str">
        <f t="shared" si="55"/>
        <v>-</v>
      </c>
      <c r="F151" s="87" t="e">
        <f t="shared" ca="1" si="56"/>
        <v>#N/A</v>
      </c>
      <c r="G151" s="75">
        <f t="array" aca="1" ref="G151" ca="1">IF($G$7=G$14,IF($G$8="Max",_xlfn.MAXIFS(INDIRECT("'"&amp;$G$6&amp;"'!"&amp;G$15&amp;"65:"&amp;G$15&amp;$J$6),INDIRECT("'"&amp;$G$6&amp;"'!"&amp;"E65:E"&amp;$J$6),$B151,INDIRECT("'"&amp;$G$6&amp;"'!"&amp;"D65:D"&amp;$J$6),$C151),_xlfn.MINIFS(INDIRECT("'"&amp;$G$6&amp;"'!"&amp;G$15&amp;"65:"&amp;G$15&amp;$J$6),INDIRECT("'"&amp;$G$6&amp;"'!"&amp;"E65:E"&amp;$J$6),$B151,INDIRECT("'"&amp;$G$6&amp;"'!"&amp;"D65:D"&amp;$J$6),$C151)),INDEX(INDIRECT("'"&amp;$G$6&amp;"'!"&amp;G$15&amp;"65:"&amp;G$15&amp;$J$6),$D151))</f>
        <v>0</v>
      </c>
      <c r="H151" s="75" t="e">
        <f t="shared" ca="1" si="57"/>
        <v>#N/A</v>
      </c>
      <c r="I151" s="75" t="e">
        <f t="shared" ca="1" si="57"/>
        <v>#N/A</v>
      </c>
      <c r="J151" s="75" t="e">
        <f t="shared" ca="1" si="57"/>
        <v>#N/A</v>
      </c>
      <c r="K151" s="75" t="e">
        <f t="shared" ca="1" si="57"/>
        <v>#N/A</v>
      </c>
      <c r="L151" s="75" t="e">
        <f t="shared" ca="1" si="57"/>
        <v>#N/A</v>
      </c>
      <c r="M151" s="69"/>
      <c r="N151" s="69"/>
      <c r="O151" s="69"/>
      <c r="P151" s="69"/>
      <c r="Q151" s="69"/>
      <c r="R151" s="69"/>
    </row>
    <row r="153" spans="1:18" x14ac:dyDescent="0.25">
      <c r="A153" s="108" t="s">
        <v>279</v>
      </c>
      <c r="B153" s="108"/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</row>
    <row r="154" spans="1:18" x14ac:dyDescent="0.25">
      <c r="A154" s="91" t="s">
        <v>13</v>
      </c>
      <c r="B154" s="99" t="s">
        <v>191</v>
      </c>
      <c r="C154" s="99" t="s">
        <v>219</v>
      </c>
      <c r="D154" s="99" t="s">
        <v>226</v>
      </c>
      <c r="E154" s="111" t="s">
        <v>258</v>
      </c>
      <c r="F154" s="91" t="s">
        <v>261</v>
      </c>
      <c r="G154" s="91" t="s">
        <v>123</v>
      </c>
      <c r="H154" s="91" t="s">
        <v>124</v>
      </c>
      <c r="I154" s="91" t="s">
        <v>125</v>
      </c>
      <c r="J154" s="91" t="s">
        <v>126</v>
      </c>
      <c r="K154" s="91" t="s">
        <v>127</v>
      </c>
      <c r="L154" s="91" t="s">
        <v>128</v>
      </c>
      <c r="M154" s="99" t="s">
        <v>220</v>
      </c>
      <c r="N154" s="99" t="s">
        <v>221</v>
      </c>
      <c r="O154" s="99" t="s">
        <v>222</v>
      </c>
      <c r="P154" s="99" t="s">
        <v>223</v>
      </c>
      <c r="Q154" s="99" t="s">
        <v>224</v>
      </c>
      <c r="R154" s="99" t="s">
        <v>225</v>
      </c>
    </row>
    <row r="155" spans="1:18" x14ac:dyDescent="0.25">
      <c r="A155" s="91"/>
      <c r="B155" s="99" t="str">
        <f>SUBSTITUTE(ADDRESS(1,COLUMN('STR1 Forces'!E203),4),"1","")</f>
        <v>E</v>
      </c>
      <c r="C155" s="99" t="str">
        <f>SUBSTITUTE(ADDRESS(1,COLUMN('STR1 Forces'!D203),4),"1","")</f>
        <v>D</v>
      </c>
      <c r="D155" s="99"/>
      <c r="E155" s="91"/>
      <c r="F155" s="99" t="str">
        <f>SUBSTITUTE(ADDRESS(1,COLUMN('STR1 Forces'!I203),4),"1","")</f>
        <v>I</v>
      </c>
      <c r="G155" s="99" t="str">
        <f>SUBSTITUTE(ADDRESS(1,COLUMN('STR1 Forces'!J203),4),"1","")</f>
        <v>J</v>
      </c>
      <c r="H155" s="99" t="str">
        <f>SUBSTITUTE(ADDRESS(1,COLUMN('STR1 Forces'!K203),4),"1","")</f>
        <v>K</v>
      </c>
      <c r="I155" s="99" t="str">
        <f>SUBSTITUTE(ADDRESS(1,COLUMN('STR1 Forces'!L203),4),"1","")</f>
        <v>L</v>
      </c>
      <c r="J155" s="99" t="str">
        <f>SUBSTITUTE(ADDRESS(1,COLUMN('STR1 Forces'!M203),4),"1","")</f>
        <v>M</v>
      </c>
      <c r="K155" s="99" t="str">
        <f>SUBSTITUTE(ADDRESS(1,COLUMN('STR1 Forces'!N203),4),"1","")</f>
        <v>N</v>
      </c>
      <c r="L155" s="99" t="str">
        <f>SUBSTITUTE(ADDRESS(1,COLUMN('STR1 Forces'!O203),4),"1","")</f>
        <v>O</v>
      </c>
      <c r="M155" s="69"/>
      <c r="N155" s="69"/>
      <c r="O155" s="69"/>
      <c r="P155" s="69"/>
      <c r="Q155" s="69"/>
      <c r="R155" s="69"/>
    </row>
    <row r="156" spans="1:18" x14ac:dyDescent="0.25">
      <c r="A156" s="91" t="str">
        <f>$G$8</f>
        <v>Max</v>
      </c>
      <c r="B156" s="75"/>
      <c r="C156" s="75"/>
      <c r="D156" s="75"/>
      <c r="E156" s="75"/>
      <c r="F156" s="75"/>
      <c r="G156" s="75">
        <f ca="1">IF($G$8="Max",MAX(G157:G165),MIN(G157:G165))</f>
        <v>0</v>
      </c>
      <c r="H156" s="75" t="e">
        <f t="shared" ref="H156:L156" ca="1" si="58">MAX(H157)</f>
        <v>#N/A</v>
      </c>
      <c r="I156" s="75" t="e">
        <f t="shared" ca="1" si="58"/>
        <v>#N/A</v>
      </c>
      <c r="J156" s="75" t="e">
        <f t="shared" ca="1" si="58"/>
        <v>#N/A</v>
      </c>
      <c r="K156" s="75" t="e">
        <f t="shared" ca="1" si="58"/>
        <v>#N/A</v>
      </c>
      <c r="L156" s="75" t="e">
        <f t="shared" ca="1" si="58"/>
        <v>#N/A</v>
      </c>
      <c r="M156" s="69"/>
      <c r="N156" s="69"/>
      <c r="O156" s="69"/>
      <c r="P156" s="69"/>
      <c r="Q156" s="69"/>
      <c r="R156" s="69"/>
    </row>
    <row r="157" spans="1:18" x14ac:dyDescent="0.25">
      <c r="A157" s="91" t="str">
        <f>A17</f>
        <v>P01R</v>
      </c>
      <c r="B157" s="99">
        <f>10</f>
        <v>10</v>
      </c>
      <c r="C157" s="99">
        <f ca="1">INDEX(INDIRECT("MemberID!G6:G"&amp;MemberID!$C$1),MATCH(Interface!A157,INDIRECT("MemberID!C6:C"&amp;MemberID!$C$1),0))</f>
        <v>0</v>
      </c>
      <c r="D157" s="99" t="e">
        <f ca="1">MATCH(INDIRECT($J$7&amp;ROW()),INDIRECT("'"&amp;$G$6&amp;"'!"&amp;$L$7&amp;"65:"&amp;$L$7&amp;$J$6),0)</f>
        <v>#N/A</v>
      </c>
      <c r="E157" s="100" t="str">
        <f>E17</f>
        <v>-</v>
      </c>
      <c r="F157" s="87" t="e">
        <f ca="1">INDEX(INDIRECT("'"&amp;$G$6&amp;"'!"&amp;F$15&amp;"65:"&amp;F$15&amp;$J$6),$D157)</f>
        <v>#N/A</v>
      </c>
      <c r="G157" s="75">
        <f t="array" aca="1" ref="G157" ca="1">IF($G$7=G$14,IF($G$8="Max",_xlfn.MAXIFS(INDIRECT("'"&amp;$G$6&amp;"'!"&amp;G$15&amp;"65:"&amp;G$15&amp;$J$6),INDIRECT("'"&amp;$G$6&amp;"'!"&amp;"E65:E"&amp;$J$6),$B157,INDIRECT("'"&amp;$G$6&amp;"'!"&amp;"D65:D"&amp;$J$6),$C157),_xlfn.MINIFS(INDIRECT("'"&amp;$G$6&amp;"'!"&amp;G$15&amp;"65:"&amp;G$15&amp;$J$6),INDIRECT("'"&amp;$G$6&amp;"'!"&amp;"E65:E"&amp;$J$6),$B157,INDIRECT("'"&amp;$G$6&amp;"'!"&amp;"D65:D"&amp;$J$6),$C157)),INDEX(INDIRECT("'"&amp;$G$6&amp;"'!"&amp;G$15&amp;"65:"&amp;G$15&amp;$J$6),$D157))</f>
        <v>0</v>
      </c>
      <c r="H157" s="75" t="e">
        <f ca="1">IF($G$7=H$14,IF($G$8="Max",_xlfn.MAXIFS(INDIRECT("'"&amp;$G$6&amp;"'!"&amp;H$15&amp;"65:"&amp;H$15&amp;$J$6),INDIRECT("'"&amp;$G$6&amp;"'!"&amp;"E65:E"&amp;$J$6),$B157,INDIRECT("'"&amp;$G$6&amp;"'!"&amp;"D65:D"&amp;$J$6),$C157),_xlfn.MINIFS(INDIRECT("'"&amp;$G$6&amp;"'!"&amp;H$15&amp;"65:"&amp;H$15&amp;$J$6),INDIRECT("'"&amp;$G$6&amp;"'!"&amp;"E65:E"&amp;$J$6),$B157,INDIRECT("'"&amp;$G$6&amp;"'!"&amp;"D65:D"&amp;$J$6),$C157)),INDEX(INDIRECT("'"&amp;$G$6&amp;"'!"&amp;H$15&amp;"65:"&amp;H$15&amp;$J$6),$D157))</f>
        <v>#N/A</v>
      </c>
      <c r="I157" s="75" t="e">
        <f ca="1">IF($G$7=I$14,IF($G$8="Max",_xlfn.MAXIFS(INDIRECT("'"&amp;$G$6&amp;"'!"&amp;I$15&amp;"65:"&amp;I$15&amp;$J$6),INDIRECT("'"&amp;$G$6&amp;"'!"&amp;"E65:E"&amp;$J$6),$B157,INDIRECT("'"&amp;$G$6&amp;"'!"&amp;"D65:D"&amp;$J$6),$C157),_xlfn.MINIFS(INDIRECT("'"&amp;$G$6&amp;"'!"&amp;I$15&amp;"65:"&amp;I$15&amp;$J$6),INDIRECT("'"&amp;$G$6&amp;"'!"&amp;"E65:E"&amp;$J$6),$B157,INDIRECT("'"&amp;$G$6&amp;"'!"&amp;"D65:D"&amp;$J$6),$C157)),INDEX(INDIRECT("'"&amp;$G$6&amp;"'!"&amp;I$15&amp;"65:"&amp;I$15&amp;$J$6),$D157))</f>
        <v>#N/A</v>
      </c>
      <c r="J157" s="75" t="e">
        <f ca="1">IF($G$7=J$14,IF($G$8="Max",_xlfn.MAXIFS(INDIRECT("'"&amp;$G$6&amp;"'!"&amp;J$15&amp;"65:"&amp;J$15&amp;$J$6),INDIRECT("'"&amp;$G$6&amp;"'!"&amp;"E65:E"&amp;$J$6),$B157,INDIRECT("'"&amp;$G$6&amp;"'!"&amp;"D65:D"&amp;$J$6),$C157),_xlfn.MINIFS(INDIRECT("'"&amp;$G$6&amp;"'!"&amp;J$15&amp;"65:"&amp;J$15&amp;$J$6),INDIRECT("'"&amp;$G$6&amp;"'!"&amp;"E65:E"&amp;$J$6),$B157,INDIRECT("'"&amp;$G$6&amp;"'!"&amp;"D65:D"&amp;$J$6),$C157)),INDEX(INDIRECT("'"&amp;$G$6&amp;"'!"&amp;J$15&amp;"65:"&amp;J$15&amp;$J$6),$D157))</f>
        <v>#N/A</v>
      </c>
      <c r="K157" s="75" t="e">
        <f ca="1">IF($G$7=K$14,IF($G$8="Max",_xlfn.MAXIFS(INDIRECT("'"&amp;$G$6&amp;"'!"&amp;K$15&amp;"65:"&amp;K$15&amp;$J$6),INDIRECT("'"&amp;$G$6&amp;"'!"&amp;"E65:E"&amp;$J$6),$B157,INDIRECT("'"&amp;$G$6&amp;"'!"&amp;"D65:D"&amp;$J$6),$C157),_xlfn.MINIFS(INDIRECT("'"&amp;$G$6&amp;"'!"&amp;K$15&amp;"65:"&amp;K$15&amp;$J$6),INDIRECT("'"&amp;$G$6&amp;"'!"&amp;"E65:E"&amp;$J$6),$B157,INDIRECT("'"&amp;$G$6&amp;"'!"&amp;"D65:D"&amp;$J$6),$C157)),INDEX(INDIRECT("'"&amp;$G$6&amp;"'!"&amp;K$15&amp;"65:"&amp;K$15&amp;$J$6),$D157))</f>
        <v>#N/A</v>
      </c>
      <c r="L157" s="75" t="e">
        <f ca="1">IF($G$7=L$14,IF($G$8="Max",_xlfn.MAXIFS(INDIRECT("'"&amp;$G$6&amp;"'!"&amp;L$15&amp;"65:"&amp;L$15&amp;$J$6),INDIRECT("'"&amp;$G$6&amp;"'!"&amp;"E65:E"&amp;$J$6),$B157,INDIRECT("'"&amp;$G$6&amp;"'!"&amp;"D65:D"&amp;$J$6),$C157),_xlfn.MINIFS(INDIRECT("'"&amp;$G$6&amp;"'!"&amp;L$15&amp;"65:"&amp;L$15&amp;$J$6),INDIRECT("'"&amp;$G$6&amp;"'!"&amp;"E65:E"&amp;$J$6),$B157,INDIRECT("'"&amp;$G$6&amp;"'!"&amp;"D65:D"&amp;$J$6),$C157)),INDEX(INDIRECT("'"&amp;$G$6&amp;"'!"&amp;L$15&amp;"65:"&amp;L$15&amp;$J$6),$D157))</f>
        <v>#N/A</v>
      </c>
      <c r="M157" s="69"/>
      <c r="N157" s="69"/>
      <c r="O157" s="69"/>
      <c r="P157" s="69"/>
      <c r="Q157" s="69"/>
      <c r="R157" s="69"/>
    </row>
    <row r="158" spans="1:18" x14ac:dyDescent="0.25">
      <c r="A158" s="91" t="str">
        <f t="shared" ref="A158:A165" si="59">A18</f>
        <v>P01C</v>
      </c>
      <c r="B158" s="99">
        <f>10</f>
        <v>10</v>
      </c>
      <c r="C158" s="99">
        <f ca="1">INDEX(INDIRECT("MemberID!G6:G"&amp;MemberID!$C$1),MATCH(Interface!A158,INDIRECT("MemberID!C6:C"&amp;MemberID!$C$1),0))</f>
        <v>0</v>
      </c>
      <c r="D158" s="99" t="e">
        <f t="shared" ref="D158:D165" ca="1" si="60">MATCH(INDIRECT($J$7&amp;ROW()),INDIRECT("'"&amp;$G$6&amp;"'!"&amp;$L$7&amp;"65:"&amp;$L$7&amp;$J$6),0)</f>
        <v>#N/A</v>
      </c>
      <c r="E158" s="100" t="str">
        <f t="shared" ref="E158:E165" si="61">E18</f>
        <v>-</v>
      </c>
      <c r="F158" s="87" t="e">
        <f t="shared" ref="F158:F165" ca="1" si="62">INDEX(INDIRECT("'"&amp;$G$6&amp;"'!"&amp;F$15&amp;"65:"&amp;F$15&amp;$J$6),$D158)</f>
        <v>#N/A</v>
      </c>
      <c r="G158" s="75">
        <f t="array" aca="1" ref="G158" ca="1">IF($G$7=G$14,IF($G$8="Max",_xlfn.MAXIFS(INDIRECT("'"&amp;$G$6&amp;"'!"&amp;G$15&amp;"65:"&amp;G$15&amp;$J$6),INDIRECT("'"&amp;$G$6&amp;"'!"&amp;"E65:E"&amp;$J$6),$B158,INDIRECT("'"&amp;$G$6&amp;"'!"&amp;"D65:D"&amp;$J$6),$C158),_xlfn.MINIFS(INDIRECT("'"&amp;$G$6&amp;"'!"&amp;G$15&amp;"65:"&amp;G$15&amp;$J$6),INDIRECT("'"&amp;$G$6&amp;"'!"&amp;"E65:E"&amp;$J$6),$B158,INDIRECT("'"&amp;$G$6&amp;"'!"&amp;"D65:D"&amp;$J$6),$C158)),INDEX(INDIRECT("'"&amp;$G$6&amp;"'!"&amp;G$15&amp;"65:"&amp;G$15&amp;$J$6),$D158))</f>
        <v>0</v>
      </c>
      <c r="H158" s="75" t="e">
        <f t="shared" ref="H158:L165" ca="1" si="63">IF($G$7=H$14,IF($G$8="Max",_xlfn.MAXIFS(INDIRECT("'"&amp;$G$6&amp;"'!"&amp;H$15&amp;"65:"&amp;H$15&amp;$J$6),INDIRECT("'"&amp;$G$6&amp;"'!"&amp;"E65:E"&amp;$J$6),$B158,INDIRECT("'"&amp;$G$6&amp;"'!"&amp;"D65:D"&amp;$J$6),$C158),_xlfn.MINIFS(INDIRECT("'"&amp;$G$6&amp;"'!"&amp;H$15&amp;"65:"&amp;H$15&amp;$J$6),INDIRECT("'"&amp;$G$6&amp;"'!"&amp;"E65:E"&amp;$J$6),$B158,INDIRECT("'"&amp;$G$6&amp;"'!"&amp;"D65:D"&amp;$J$6),$C158)),INDEX(INDIRECT("'"&amp;$G$6&amp;"'!"&amp;H$15&amp;"65:"&amp;H$15&amp;$J$6),$D158))</f>
        <v>#N/A</v>
      </c>
      <c r="I158" s="75" t="e">
        <f t="shared" ca="1" si="63"/>
        <v>#N/A</v>
      </c>
      <c r="J158" s="75" t="e">
        <f t="shared" ca="1" si="63"/>
        <v>#N/A</v>
      </c>
      <c r="K158" s="75" t="e">
        <f t="shared" ca="1" si="63"/>
        <v>#N/A</v>
      </c>
      <c r="L158" s="75" t="e">
        <f t="shared" ca="1" si="63"/>
        <v>#N/A</v>
      </c>
      <c r="M158" s="69"/>
      <c r="N158" s="69"/>
      <c r="O158" s="69"/>
      <c r="P158" s="69"/>
      <c r="Q158" s="69"/>
      <c r="R158" s="69"/>
    </row>
    <row r="159" spans="1:18" x14ac:dyDescent="0.25">
      <c r="A159" s="91" t="str">
        <f t="shared" si="59"/>
        <v>P01L</v>
      </c>
      <c r="B159" s="99">
        <f>10</f>
        <v>10</v>
      </c>
      <c r="C159" s="99">
        <f ca="1">INDEX(INDIRECT("MemberID!G6:G"&amp;MemberID!$C$1),MATCH(Interface!A159,INDIRECT("MemberID!C6:C"&amp;MemberID!$C$1),0))</f>
        <v>0</v>
      </c>
      <c r="D159" s="99" t="e">
        <f t="shared" ca="1" si="60"/>
        <v>#N/A</v>
      </c>
      <c r="E159" s="100" t="str">
        <f t="shared" si="61"/>
        <v>-</v>
      </c>
      <c r="F159" s="87" t="e">
        <f t="shared" ca="1" si="62"/>
        <v>#N/A</v>
      </c>
      <c r="G159" s="75">
        <f t="array" aca="1" ref="G159" ca="1">IF($G$7=G$14,IF($G$8="Max",_xlfn.MAXIFS(INDIRECT("'"&amp;$G$6&amp;"'!"&amp;G$15&amp;"65:"&amp;G$15&amp;$J$6),INDIRECT("'"&amp;$G$6&amp;"'!"&amp;"E65:E"&amp;$J$6),$B159,INDIRECT("'"&amp;$G$6&amp;"'!"&amp;"D65:D"&amp;$J$6),$C159),_xlfn.MINIFS(INDIRECT("'"&amp;$G$6&amp;"'!"&amp;G$15&amp;"65:"&amp;G$15&amp;$J$6),INDIRECT("'"&amp;$G$6&amp;"'!"&amp;"E65:E"&amp;$J$6),$B159,INDIRECT("'"&amp;$G$6&amp;"'!"&amp;"D65:D"&amp;$J$6),$C159)),INDEX(INDIRECT("'"&amp;$G$6&amp;"'!"&amp;G$15&amp;"65:"&amp;G$15&amp;$J$6),$D159))</f>
        <v>0</v>
      </c>
      <c r="H159" s="75" t="e">
        <f t="shared" ca="1" si="63"/>
        <v>#N/A</v>
      </c>
      <c r="I159" s="75" t="e">
        <f t="shared" ca="1" si="63"/>
        <v>#N/A</v>
      </c>
      <c r="J159" s="75" t="e">
        <f t="shared" ca="1" si="63"/>
        <v>#N/A</v>
      </c>
      <c r="K159" s="75" t="e">
        <f t="shared" ca="1" si="63"/>
        <v>#N/A</v>
      </c>
      <c r="L159" s="75" t="e">
        <f t="shared" ca="1" si="63"/>
        <v>#N/A</v>
      </c>
      <c r="M159" s="69"/>
      <c r="N159" s="69"/>
      <c r="O159" s="69"/>
      <c r="P159" s="69"/>
      <c r="Q159" s="69"/>
      <c r="R159" s="69"/>
    </row>
    <row r="160" spans="1:18" x14ac:dyDescent="0.25">
      <c r="A160" s="91" t="str">
        <f t="shared" si="59"/>
        <v>P02R</v>
      </c>
      <c r="B160" s="99">
        <f>10</f>
        <v>10</v>
      </c>
      <c r="C160" s="99">
        <f ca="1">INDEX(INDIRECT("MemberID!G6:G"&amp;MemberID!$C$1),MATCH(Interface!A160,INDIRECT("MemberID!C6:C"&amp;MemberID!$C$1),0))</f>
        <v>0</v>
      </c>
      <c r="D160" s="99" t="e">
        <f t="shared" ca="1" si="60"/>
        <v>#N/A</v>
      </c>
      <c r="E160" s="100" t="str">
        <f t="shared" si="61"/>
        <v>-</v>
      </c>
      <c r="F160" s="87" t="e">
        <f t="shared" ca="1" si="62"/>
        <v>#N/A</v>
      </c>
      <c r="G160" s="75">
        <f t="array" aca="1" ref="G160" ca="1">IF($G$7=G$14,IF($G$8="Max",_xlfn.MAXIFS(INDIRECT("'"&amp;$G$6&amp;"'!"&amp;G$15&amp;"65:"&amp;G$15&amp;$J$6),INDIRECT("'"&amp;$G$6&amp;"'!"&amp;"E65:E"&amp;$J$6),$B160,INDIRECT("'"&amp;$G$6&amp;"'!"&amp;"D65:D"&amp;$J$6),$C160),_xlfn.MINIFS(INDIRECT("'"&amp;$G$6&amp;"'!"&amp;G$15&amp;"65:"&amp;G$15&amp;$J$6),INDIRECT("'"&amp;$G$6&amp;"'!"&amp;"E65:E"&amp;$J$6),$B160,INDIRECT("'"&amp;$G$6&amp;"'!"&amp;"D65:D"&amp;$J$6),$C160)),INDEX(INDIRECT("'"&amp;$G$6&amp;"'!"&amp;G$15&amp;"65:"&amp;G$15&amp;$J$6),$D160))</f>
        <v>0</v>
      </c>
      <c r="H160" s="75" t="e">
        <f t="shared" ca="1" si="63"/>
        <v>#N/A</v>
      </c>
      <c r="I160" s="75" t="e">
        <f t="shared" ca="1" si="63"/>
        <v>#N/A</v>
      </c>
      <c r="J160" s="75" t="e">
        <f t="shared" ca="1" si="63"/>
        <v>#N/A</v>
      </c>
      <c r="K160" s="75" t="e">
        <f t="shared" ca="1" si="63"/>
        <v>#N/A</v>
      </c>
      <c r="L160" s="75" t="e">
        <f t="shared" ca="1" si="63"/>
        <v>#N/A</v>
      </c>
      <c r="M160" s="69"/>
      <c r="N160" s="69"/>
      <c r="O160" s="69"/>
      <c r="P160" s="69"/>
      <c r="Q160" s="69"/>
      <c r="R160" s="69"/>
    </row>
    <row r="161" spans="1:18" x14ac:dyDescent="0.25">
      <c r="A161" s="91" t="str">
        <f t="shared" si="59"/>
        <v>P02C</v>
      </c>
      <c r="B161" s="99">
        <f>10</f>
        <v>10</v>
      </c>
      <c r="C161" s="99">
        <f ca="1">INDEX(INDIRECT("MemberID!G6:G"&amp;MemberID!$C$1),MATCH(Interface!A161,INDIRECT("MemberID!C6:C"&amp;MemberID!$C$1),0))</f>
        <v>0</v>
      </c>
      <c r="D161" s="99" t="e">
        <f t="shared" ca="1" si="60"/>
        <v>#N/A</v>
      </c>
      <c r="E161" s="100" t="str">
        <f t="shared" si="61"/>
        <v>-</v>
      </c>
      <c r="F161" s="87" t="e">
        <f t="shared" ca="1" si="62"/>
        <v>#N/A</v>
      </c>
      <c r="G161" s="75">
        <f t="array" aca="1" ref="G161" ca="1">IF($G$7=G$14,IF($G$8="Max",_xlfn.MAXIFS(INDIRECT("'"&amp;$G$6&amp;"'!"&amp;G$15&amp;"65:"&amp;G$15&amp;$J$6),INDIRECT("'"&amp;$G$6&amp;"'!"&amp;"E65:E"&amp;$J$6),$B161,INDIRECT("'"&amp;$G$6&amp;"'!"&amp;"D65:D"&amp;$J$6),$C161),_xlfn.MINIFS(INDIRECT("'"&amp;$G$6&amp;"'!"&amp;G$15&amp;"65:"&amp;G$15&amp;$J$6),INDIRECT("'"&amp;$G$6&amp;"'!"&amp;"E65:E"&amp;$J$6),$B161,INDIRECT("'"&amp;$G$6&amp;"'!"&amp;"D65:D"&amp;$J$6),$C161)),INDEX(INDIRECT("'"&amp;$G$6&amp;"'!"&amp;G$15&amp;"65:"&amp;G$15&amp;$J$6),$D161))</f>
        <v>0</v>
      </c>
      <c r="H161" s="75" t="e">
        <f t="shared" ca="1" si="63"/>
        <v>#N/A</v>
      </c>
      <c r="I161" s="75" t="e">
        <f t="shared" ca="1" si="63"/>
        <v>#N/A</v>
      </c>
      <c r="J161" s="75" t="e">
        <f t="shared" ca="1" si="63"/>
        <v>#N/A</v>
      </c>
      <c r="K161" s="75" t="e">
        <f t="shared" ca="1" si="63"/>
        <v>#N/A</v>
      </c>
      <c r="L161" s="75" t="e">
        <f t="shared" ca="1" si="63"/>
        <v>#N/A</v>
      </c>
      <c r="M161" s="69"/>
      <c r="N161" s="69"/>
      <c r="O161" s="69"/>
      <c r="P161" s="69"/>
      <c r="Q161" s="69"/>
      <c r="R161" s="69"/>
    </row>
    <row r="162" spans="1:18" x14ac:dyDescent="0.25">
      <c r="A162" s="91" t="str">
        <f t="shared" si="59"/>
        <v>P02L</v>
      </c>
      <c r="B162" s="99">
        <f>10</f>
        <v>10</v>
      </c>
      <c r="C162" s="99">
        <f ca="1">INDEX(INDIRECT("MemberID!G6:G"&amp;MemberID!$C$1),MATCH(Interface!A162,INDIRECT("MemberID!C6:C"&amp;MemberID!$C$1),0))</f>
        <v>0</v>
      </c>
      <c r="D162" s="99" t="e">
        <f t="shared" ca="1" si="60"/>
        <v>#N/A</v>
      </c>
      <c r="E162" s="100" t="str">
        <f t="shared" si="61"/>
        <v>-</v>
      </c>
      <c r="F162" s="87" t="e">
        <f t="shared" ca="1" si="62"/>
        <v>#N/A</v>
      </c>
      <c r="G162" s="75">
        <f t="array" aca="1" ref="G162" ca="1">IF($G$7=G$14,IF($G$8="Max",_xlfn.MAXIFS(INDIRECT("'"&amp;$G$6&amp;"'!"&amp;G$15&amp;"65:"&amp;G$15&amp;$J$6),INDIRECT("'"&amp;$G$6&amp;"'!"&amp;"E65:E"&amp;$J$6),$B162,INDIRECT("'"&amp;$G$6&amp;"'!"&amp;"D65:D"&amp;$J$6),$C162),_xlfn.MINIFS(INDIRECT("'"&amp;$G$6&amp;"'!"&amp;G$15&amp;"65:"&amp;G$15&amp;$J$6),INDIRECT("'"&amp;$G$6&amp;"'!"&amp;"E65:E"&amp;$J$6),$B162,INDIRECT("'"&amp;$G$6&amp;"'!"&amp;"D65:D"&amp;$J$6),$C162)),INDEX(INDIRECT("'"&amp;$G$6&amp;"'!"&amp;G$15&amp;"65:"&amp;G$15&amp;$J$6),$D162))</f>
        <v>0</v>
      </c>
      <c r="H162" s="75" t="e">
        <f t="shared" ca="1" si="63"/>
        <v>#N/A</v>
      </c>
      <c r="I162" s="75" t="e">
        <f t="shared" ca="1" si="63"/>
        <v>#N/A</v>
      </c>
      <c r="J162" s="75" t="e">
        <f t="shared" ca="1" si="63"/>
        <v>#N/A</v>
      </c>
      <c r="K162" s="75" t="e">
        <f t="shared" ca="1" si="63"/>
        <v>#N/A</v>
      </c>
      <c r="L162" s="75" t="e">
        <f t="shared" ca="1" si="63"/>
        <v>#N/A</v>
      </c>
      <c r="M162" s="69"/>
      <c r="N162" s="69"/>
      <c r="O162" s="69"/>
      <c r="P162" s="69"/>
      <c r="Q162" s="69"/>
      <c r="R162" s="69"/>
    </row>
    <row r="163" spans="1:18" x14ac:dyDescent="0.25">
      <c r="A163" s="91" t="str">
        <f t="shared" si="59"/>
        <v>P03R</v>
      </c>
      <c r="B163" s="99">
        <f>10</f>
        <v>10</v>
      </c>
      <c r="C163" s="99">
        <f ca="1">INDEX(INDIRECT("MemberID!G6:G"&amp;MemberID!$C$1),MATCH(Interface!A163,INDIRECT("MemberID!C6:C"&amp;MemberID!$C$1),0))</f>
        <v>0</v>
      </c>
      <c r="D163" s="99" t="e">
        <f t="shared" ca="1" si="60"/>
        <v>#N/A</v>
      </c>
      <c r="E163" s="100" t="str">
        <f t="shared" si="61"/>
        <v>-</v>
      </c>
      <c r="F163" s="87" t="e">
        <f t="shared" ca="1" si="62"/>
        <v>#N/A</v>
      </c>
      <c r="G163" s="75">
        <f t="array" aca="1" ref="G163" ca="1">IF($G$7=G$14,IF($G$8="Max",_xlfn.MAXIFS(INDIRECT("'"&amp;$G$6&amp;"'!"&amp;G$15&amp;"65:"&amp;G$15&amp;$J$6),INDIRECT("'"&amp;$G$6&amp;"'!"&amp;"E65:E"&amp;$J$6),$B163,INDIRECT("'"&amp;$G$6&amp;"'!"&amp;"D65:D"&amp;$J$6),$C163),_xlfn.MINIFS(INDIRECT("'"&amp;$G$6&amp;"'!"&amp;G$15&amp;"65:"&amp;G$15&amp;$J$6),INDIRECT("'"&amp;$G$6&amp;"'!"&amp;"E65:E"&amp;$J$6),$B163,INDIRECT("'"&amp;$G$6&amp;"'!"&amp;"D65:D"&amp;$J$6),$C163)),INDEX(INDIRECT("'"&amp;$G$6&amp;"'!"&amp;G$15&amp;"65:"&amp;G$15&amp;$J$6),$D163))</f>
        <v>0</v>
      </c>
      <c r="H163" s="75" t="e">
        <f t="shared" ca="1" si="63"/>
        <v>#N/A</v>
      </c>
      <c r="I163" s="75" t="e">
        <f t="shared" ca="1" si="63"/>
        <v>#N/A</v>
      </c>
      <c r="J163" s="75" t="e">
        <f t="shared" ca="1" si="63"/>
        <v>#N/A</v>
      </c>
      <c r="K163" s="75" t="e">
        <f t="shared" ca="1" si="63"/>
        <v>#N/A</v>
      </c>
      <c r="L163" s="75" t="e">
        <f t="shared" ca="1" si="63"/>
        <v>#N/A</v>
      </c>
      <c r="M163" s="69"/>
      <c r="N163" s="69"/>
      <c r="O163" s="69"/>
      <c r="P163" s="69"/>
      <c r="Q163" s="69"/>
      <c r="R163" s="69"/>
    </row>
    <row r="164" spans="1:18" x14ac:dyDescent="0.25">
      <c r="A164" s="91" t="str">
        <f t="shared" si="59"/>
        <v>P03C</v>
      </c>
      <c r="B164" s="99">
        <f>10</f>
        <v>10</v>
      </c>
      <c r="C164" s="99">
        <f ca="1">INDEX(INDIRECT("MemberID!G6:G"&amp;MemberID!$C$1),MATCH(Interface!A164,INDIRECT("MemberID!C6:C"&amp;MemberID!$C$1),0))</f>
        <v>0</v>
      </c>
      <c r="D164" s="99" t="e">
        <f t="shared" ca="1" si="60"/>
        <v>#N/A</v>
      </c>
      <c r="E164" s="100" t="str">
        <f t="shared" si="61"/>
        <v>-</v>
      </c>
      <c r="F164" s="87" t="e">
        <f t="shared" ca="1" si="62"/>
        <v>#N/A</v>
      </c>
      <c r="G164" s="75">
        <f t="array" aca="1" ref="G164" ca="1">IF($G$7=G$14,IF($G$8="Max",_xlfn.MAXIFS(INDIRECT("'"&amp;$G$6&amp;"'!"&amp;G$15&amp;"65:"&amp;G$15&amp;$J$6),INDIRECT("'"&amp;$G$6&amp;"'!"&amp;"E65:E"&amp;$J$6),$B164,INDIRECT("'"&amp;$G$6&amp;"'!"&amp;"D65:D"&amp;$J$6),$C164),_xlfn.MINIFS(INDIRECT("'"&amp;$G$6&amp;"'!"&amp;G$15&amp;"65:"&amp;G$15&amp;$J$6),INDIRECT("'"&amp;$G$6&amp;"'!"&amp;"E65:E"&amp;$J$6),$B164,INDIRECT("'"&amp;$G$6&amp;"'!"&amp;"D65:D"&amp;$J$6),$C164)),INDEX(INDIRECT("'"&amp;$G$6&amp;"'!"&amp;G$15&amp;"65:"&amp;G$15&amp;$J$6),$D164))</f>
        <v>0</v>
      </c>
      <c r="H164" s="75" t="e">
        <f t="shared" ca="1" si="63"/>
        <v>#N/A</v>
      </c>
      <c r="I164" s="75" t="e">
        <f t="shared" ca="1" si="63"/>
        <v>#N/A</v>
      </c>
      <c r="J164" s="75" t="e">
        <f t="shared" ca="1" si="63"/>
        <v>#N/A</v>
      </c>
      <c r="K164" s="75" t="e">
        <f t="shared" ca="1" si="63"/>
        <v>#N/A</v>
      </c>
      <c r="L164" s="75" t="e">
        <f t="shared" ca="1" si="63"/>
        <v>#N/A</v>
      </c>
      <c r="M164" s="69"/>
      <c r="N164" s="69"/>
      <c r="O164" s="69"/>
      <c r="P164" s="69"/>
      <c r="Q164" s="69"/>
      <c r="R164" s="69"/>
    </row>
    <row r="165" spans="1:18" x14ac:dyDescent="0.25">
      <c r="A165" s="91" t="str">
        <f t="shared" si="59"/>
        <v>P03L</v>
      </c>
      <c r="B165" s="99">
        <f>10</f>
        <v>10</v>
      </c>
      <c r="C165" s="99">
        <f ca="1">INDEX(INDIRECT("MemberID!G6:G"&amp;MemberID!$C$1),MATCH(Interface!A165,INDIRECT("MemberID!C6:C"&amp;MemberID!$C$1),0))</f>
        <v>0</v>
      </c>
      <c r="D165" s="99" t="e">
        <f t="shared" ca="1" si="60"/>
        <v>#N/A</v>
      </c>
      <c r="E165" s="100" t="str">
        <f t="shared" si="61"/>
        <v>-</v>
      </c>
      <c r="F165" s="87" t="e">
        <f t="shared" ca="1" si="62"/>
        <v>#N/A</v>
      </c>
      <c r="G165" s="75">
        <f t="array" aca="1" ref="G165" ca="1">IF($G$7=G$14,IF($G$8="Max",_xlfn.MAXIFS(INDIRECT("'"&amp;$G$6&amp;"'!"&amp;G$15&amp;"65:"&amp;G$15&amp;$J$6),INDIRECT("'"&amp;$G$6&amp;"'!"&amp;"E65:E"&amp;$J$6),$B165,INDIRECT("'"&amp;$G$6&amp;"'!"&amp;"D65:D"&amp;$J$6),$C165),_xlfn.MINIFS(INDIRECT("'"&amp;$G$6&amp;"'!"&amp;G$15&amp;"65:"&amp;G$15&amp;$J$6),INDIRECT("'"&amp;$G$6&amp;"'!"&amp;"E65:E"&amp;$J$6),$B165,INDIRECT("'"&amp;$G$6&amp;"'!"&amp;"D65:D"&amp;$J$6),$C165)),INDEX(INDIRECT("'"&amp;$G$6&amp;"'!"&amp;G$15&amp;"65:"&amp;G$15&amp;$J$6),$D165))</f>
        <v>0</v>
      </c>
      <c r="H165" s="75" t="e">
        <f t="shared" ca="1" si="63"/>
        <v>#N/A</v>
      </c>
      <c r="I165" s="75" t="e">
        <f t="shared" ca="1" si="63"/>
        <v>#N/A</v>
      </c>
      <c r="J165" s="75" t="e">
        <f t="shared" ca="1" si="63"/>
        <v>#N/A</v>
      </c>
      <c r="K165" s="75" t="e">
        <f t="shared" ca="1" si="63"/>
        <v>#N/A</v>
      </c>
      <c r="L165" s="75" t="e">
        <f t="shared" ca="1" si="63"/>
        <v>#N/A</v>
      </c>
      <c r="M165" s="69"/>
      <c r="N165" s="69"/>
      <c r="O165" s="69"/>
      <c r="P165" s="69"/>
      <c r="Q165" s="69"/>
      <c r="R165" s="69"/>
    </row>
  </sheetData>
  <phoneticPr fontId="7" type="noConversion"/>
  <conditionalFormatting sqref="G17:L25">
    <cfRule type="expression" dxfId="32" priority="343">
      <formula>AND($G$7=G$14,NOT(ISBLANK(G17)))</formula>
    </cfRule>
  </conditionalFormatting>
  <conditionalFormatting sqref="G16">
    <cfRule type="expression" dxfId="31" priority="182">
      <formula>AND($G$7=G$14,NOT(ISBLANK(G16)))</formula>
    </cfRule>
  </conditionalFormatting>
  <conditionalFormatting sqref="H16:L16">
    <cfRule type="expression" dxfId="30" priority="181">
      <formula>AND($G$7=H$14,NOT(ISBLANK(H16)))</formula>
    </cfRule>
  </conditionalFormatting>
  <conditionalFormatting sqref="G30">
    <cfRule type="expression" dxfId="29" priority="30">
      <formula>AND($G$7=G$14,NOT(ISBLANK(G30)))</formula>
    </cfRule>
  </conditionalFormatting>
  <conditionalFormatting sqref="H30:L30">
    <cfRule type="expression" dxfId="28" priority="29">
      <formula>AND($G$7=H$14,NOT(ISBLANK(H30)))</formula>
    </cfRule>
  </conditionalFormatting>
  <conditionalFormatting sqref="G31:L39">
    <cfRule type="expression" dxfId="27" priority="28">
      <formula>AND($G$7=G$14,NOT(ISBLANK(G31)))</formula>
    </cfRule>
  </conditionalFormatting>
  <conditionalFormatting sqref="G44">
    <cfRule type="expression" dxfId="26" priority="27">
      <formula>AND($G$7=G$14,NOT(ISBLANK(G44)))</formula>
    </cfRule>
  </conditionalFormatting>
  <conditionalFormatting sqref="H44:L44">
    <cfRule type="expression" dxfId="25" priority="26">
      <formula>AND($G$7=H$14,NOT(ISBLANK(H44)))</formula>
    </cfRule>
  </conditionalFormatting>
  <conditionalFormatting sqref="G45:L53">
    <cfRule type="expression" dxfId="24" priority="25">
      <formula>AND($G$7=G$14,NOT(ISBLANK(G45)))</formula>
    </cfRule>
  </conditionalFormatting>
  <conditionalFormatting sqref="G58">
    <cfRule type="expression" dxfId="23" priority="24">
      <formula>AND($G$7=G$14,NOT(ISBLANK(G58)))</formula>
    </cfRule>
  </conditionalFormatting>
  <conditionalFormatting sqref="H58:L58">
    <cfRule type="expression" dxfId="22" priority="23">
      <formula>AND($G$7=H$14,NOT(ISBLANK(H58)))</formula>
    </cfRule>
  </conditionalFormatting>
  <conditionalFormatting sqref="G59:L67">
    <cfRule type="expression" dxfId="21" priority="22">
      <formula>AND($G$7=G$14,NOT(ISBLANK(G59)))</formula>
    </cfRule>
  </conditionalFormatting>
  <conditionalFormatting sqref="G72">
    <cfRule type="expression" dxfId="20" priority="21">
      <formula>AND($G$7=G$14,NOT(ISBLANK(G72)))</formula>
    </cfRule>
  </conditionalFormatting>
  <conditionalFormatting sqref="H72:L72">
    <cfRule type="expression" dxfId="19" priority="20">
      <formula>AND($G$7=H$14,NOT(ISBLANK(H72)))</formula>
    </cfRule>
  </conditionalFormatting>
  <conditionalFormatting sqref="G73:L81">
    <cfRule type="expression" dxfId="18" priority="19">
      <formula>AND($G$7=G$14,NOT(ISBLANK(G73)))</formula>
    </cfRule>
  </conditionalFormatting>
  <conditionalFormatting sqref="G86">
    <cfRule type="expression" dxfId="17" priority="18">
      <formula>AND($G$7=G$14,NOT(ISBLANK(G86)))</formula>
    </cfRule>
  </conditionalFormatting>
  <conditionalFormatting sqref="H86:L86">
    <cfRule type="expression" dxfId="16" priority="17">
      <formula>AND($G$7=H$14,NOT(ISBLANK(H86)))</formula>
    </cfRule>
  </conditionalFormatting>
  <conditionalFormatting sqref="G87:L95">
    <cfRule type="expression" dxfId="15" priority="16">
      <formula>AND($G$7=G$14,NOT(ISBLANK(G87)))</formula>
    </cfRule>
  </conditionalFormatting>
  <conditionalFormatting sqref="G100">
    <cfRule type="expression" dxfId="14" priority="15">
      <formula>AND($G$7=G$14,NOT(ISBLANK(G100)))</formula>
    </cfRule>
  </conditionalFormatting>
  <conditionalFormatting sqref="H100:L100">
    <cfRule type="expression" dxfId="13" priority="14">
      <formula>AND($G$7=H$14,NOT(ISBLANK(H100)))</formula>
    </cfRule>
  </conditionalFormatting>
  <conditionalFormatting sqref="G101:L109">
    <cfRule type="expression" dxfId="12" priority="13">
      <formula>AND($G$7=G$14,NOT(ISBLANK(G101)))</formula>
    </cfRule>
  </conditionalFormatting>
  <conditionalFormatting sqref="G114">
    <cfRule type="expression" dxfId="11" priority="12">
      <formula>AND($G$7=G$14,NOT(ISBLANK(G114)))</formula>
    </cfRule>
  </conditionalFormatting>
  <conditionalFormatting sqref="H114:L114">
    <cfRule type="expression" dxfId="10" priority="11">
      <formula>AND($G$7=H$14,NOT(ISBLANK(H114)))</formula>
    </cfRule>
  </conditionalFormatting>
  <conditionalFormatting sqref="G115:L123">
    <cfRule type="expression" dxfId="9" priority="10">
      <formula>AND($G$7=G$14,NOT(ISBLANK(G115)))</formula>
    </cfRule>
  </conditionalFormatting>
  <conditionalFormatting sqref="G128">
    <cfRule type="expression" dxfId="8" priority="9">
      <formula>AND($G$7=G$14,NOT(ISBLANK(G128)))</formula>
    </cfRule>
  </conditionalFormatting>
  <conditionalFormatting sqref="H128:L128">
    <cfRule type="expression" dxfId="7" priority="8">
      <formula>AND($G$7=H$14,NOT(ISBLANK(H128)))</formula>
    </cfRule>
  </conditionalFormatting>
  <conditionalFormatting sqref="G129:L137">
    <cfRule type="expression" dxfId="6" priority="7">
      <formula>AND($G$7=G$14,NOT(ISBLANK(G129)))</formula>
    </cfRule>
  </conditionalFormatting>
  <conditionalFormatting sqref="G142">
    <cfRule type="expression" dxfId="5" priority="6">
      <formula>AND($G$7=G$14,NOT(ISBLANK(G142)))</formula>
    </cfRule>
  </conditionalFormatting>
  <conditionalFormatting sqref="H142:L142">
    <cfRule type="expression" dxfId="4" priority="5">
      <formula>AND($G$7=H$14,NOT(ISBLANK(H142)))</formula>
    </cfRule>
  </conditionalFormatting>
  <conditionalFormatting sqref="G143:L151">
    <cfRule type="expression" dxfId="3" priority="4">
      <formula>AND($G$7=G$14,NOT(ISBLANK(G143)))</formula>
    </cfRule>
  </conditionalFormatting>
  <conditionalFormatting sqref="G156">
    <cfRule type="expression" dxfId="2" priority="3">
      <formula>AND($G$7=G$14,NOT(ISBLANK(G156)))</formula>
    </cfRule>
  </conditionalFormatting>
  <conditionalFormatting sqref="H156:L156">
    <cfRule type="expression" dxfId="1" priority="2">
      <formula>AND($G$7=H$14,NOT(ISBLANK(H156)))</formula>
    </cfRule>
  </conditionalFormatting>
  <conditionalFormatting sqref="G157:L165">
    <cfRule type="expression" dxfId="0" priority="1">
      <formula>AND($G$7=G$14,NOT(ISBLANK(G157)))</formula>
    </cfRule>
  </conditionalFormatting>
  <dataValidations count="4">
    <dataValidation type="list" allowBlank="1" showInputMessage="1" showErrorMessage="1" sqref="G6" xr:uid="{A0718D12-FD16-446D-B8BC-DFAF3AEF14C7}">
      <formula1>LC_Forces</formula1>
    </dataValidation>
    <dataValidation type="list" allowBlank="1" showInputMessage="1" showErrorMessage="1" sqref="G7" xr:uid="{D030C0CC-904C-4FD6-ABB7-70AF90F8E09D}">
      <formula1>"Fx, Fy, Fz, Mx, My, Mz"</formula1>
    </dataValidation>
    <dataValidation showInputMessage="1" showErrorMessage="1" sqref="G5" xr:uid="{ACB1111B-A287-425C-9B74-7322300611B9}"/>
    <dataValidation type="list" allowBlank="1" showInputMessage="1" showErrorMessage="1" sqref="G8" xr:uid="{E115342A-DCD2-453E-9D0F-A9448A8F4E25}">
      <formula1>"Max,Min"</formula1>
    </dataValidation>
  </dataValidations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autoFill="0" autoPict="0" macro="[0]!InterfaceButton">
                <anchor moveWithCells="1" sizeWithCells="1">
                  <from>
                    <xdr:col>10</xdr:col>
                    <xdr:colOff>85725</xdr:colOff>
                    <xdr:row>0</xdr:row>
                    <xdr:rowOff>57150</xdr:rowOff>
                  </from>
                  <to>
                    <xdr:col>14</xdr:col>
                    <xdr:colOff>104775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319E7-873A-4E56-9FE2-565C0D3B556D}">
  <sheetPr codeName="Sheet53"/>
  <dimension ref="A1:AI86"/>
  <sheetViews>
    <sheetView workbookViewId="0"/>
  </sheetViews>
  <sheetFormatPr defaultRowHeight="15" x14ac:dyDescent="0.25"/>
  <cols>
    <col min="3" max="3" width="9.7109375" bestFit="1" customWidth="1"/>
    <col min="7" max="7" width="13.85546875" bestFit="1" customWidth="1"/>
  </cols>
  <sheetData>
    <row r="1" spans="1:35" x14ac:dyDescent="0.25">
      <c r="B1" s="109" t="s">
        <v>214</v>
      </c>
      <c r="C1" s="110">
        <f>LOOKUP(2,1/(NOT(ISBLANK(C:C))),ROW(C:C))</f>
        <v>14</v>
      </c>
      <c r="E1">
        <v>1</v>
      </c>
      <c r="F1" t="s">
        <v>227</v>
      </c>
      <c r="Q1">
        <v>5</v>
      </c>
      <c r="R1" t="s">
        <v>228</v>
      </c>
    </row>
    <row r="2" spans="1:35" x14ac:dyDescent="0.25">
      <c r="E2">
        <v>2</v>
      </c>
      <c r="F2" t="s">
        <v>229</v>
      </c>
      <c r="Q2">
        <v>6</v>
      </c>
      <c r="R2" t="s">
        <v>230</v>
      </c>
    </row>
    <row r="3" spans="1:35" x14ac:dyDescent="0.25">
      <c r="E3">
        <v>3</v>
      </c>
      <c r="F3" t="s">
        <v>231</v>
      </c>
    </row>
    <row r="4" spans="1:35" x14ac:dyDescent="0.25">
      <c r="E4">
        <v>4</v>
      </c>
      <c r="F4" t="s">
        <v>232</v>
      </c>
    </row>
    <row r="5" spans="1:35" x14ac:dyDescent="0.25">
      <c r="A5" s="69" t="s">
        <v>233</v>
      </c>
      <c r="B5" s="69" t="s">
        <v>269</v>
      </c>
      <c r="C5" s="69" t="s">
        <v>13</v>
      </c>
      <c r="D5" s="69" t="s">
        <v>262</v>
      </c>
      <c r="E5" s="104" t="s">
        <v>234</v>
      </c>
      <c r="F5" s="104" t="s">
        <v>235</v>
      </c>
      <c r="G5" s="23" t="s">
        <v>283</v>
      </c>
      <c r="H5" s="23" t="s">
        <v>237</v>
      </c>
      <c r="I5" s="23" t="s">
        <v>238</v>
      </c>
      <c r="J5" s="23" t="s">
        <v>239</v>
      </c>
      <c r="K5" s="23" t="s">
        <v>240</v>
      </c>
      <c r="L5" s="23" t="s">
        <v>241</v>
      </c>
      <c r="M5" s="23" t="s">
        <v>242</v>
      </c>
      <c r="N5" s="23" t="s">
        <v>243</v>
      </c>
      <c r="O5" s="23" t="s">
        <v>244</v>
      </c>
      <c r="P5" s="23" t="s">
        <v>245</v>
      </c>
      <c r="Q5" s="23" t="s">
        <v>246</v>
      </c>
      <c r="R5" s="23" t="s">
        <v>247</v>
      </c>
      <c r="S5" s="23" t="s">
        <v>248</v>
      </c>
      <c r="T5" s="23" t="s">
        <v>249</v>
      </c>
      <c r="U5" s="23" t="s">
        <v>250</v>
      </c>
      <c r="AB5" s="23" t="s">
        <v>236</v>
      </c>
      <c r="AC5" s="23" t="s">
        <v>39</v>
      </c>
      <c r="AD5" s="23" t="s">
        <v>251</v>
      </c>
      <c r="AE5" s="23" t="s">
        <v>252</v>
      </c>
      <c r="AF5" s="23" t="s">
        <v>253</v>
      </c>
      <c r="AG5" s="23" t="s">
        <v>254</v>
      </c>
      <c r="AH5" s="23" t="s">
        <v>255</v>
      </c>
      <c r="AI5" s="23" t="s">
        <v>256</v>
      </c>
    </row>
    <row r="6" spans="1:35" x14ac:dyDescent="0.25">
      <c r="A6" s="69" t="s">
        <v>199</v>
      </c>
      <c r="B6" s="69" t="s">
        <v>157</v>
      </c>
      <c r="C6" s="69" t="str">
        <f>_xlfn.CONCAT(A6:B6)</f>
        <v>P01R</v>
      </c>
      <c r="D6" s="100" t="s">
        <v>258</v>
      </c>
      <c r="E6" s="104"/>
      <c r="F6" s="104"/>
      <c r="G6" s="7"/>
      <c r="H6" s="7"/>
      <c r="I6" s="94"/>
      <c r="J6" s="7"/>
      <c r="K6" s="7"/>
    </row>
    <row r="7" spans="1:35" x14ac:dyDescent="0.25">
      <c r="A7" s="69" t="s">
        <v>199</v>
      </c>
      <c r="B7" s="69" t="s">
        <v>257</v>
      </c>
      <c r="C7" s="69" t="str">
        <f t="shared" ref="C7:C14" si="0">_xlfn.CONCAT(A7:B7)</f>
        <v>P01C</v>
      </c>
      <c r="D7" s="100" t="s">
        <v>258</v>
      </c>
      <c r="E7" s="104"/>
      <c r="F7" s="104"/>
      <c r="G7" s="7"/>
      <c r="H7" s="7"/>
      <c r="I7" s="94"/>
      <c r="J7" s="7"/>
      <c r="K7" s="7"/>
    </row>
    <row r="8" spans="1:35" x14ac:dyDescent="0.25">
      <c r="A8" s="69" t="s">
        <v>199</v>
      </c>
      <c r="B8" s="69" t="s">
        <v>152</v>
      </c>
      <c r="C8" s="69" t="str">
        <f t="shared" si="0"/>
        <v>P01L</v>
      </c>
      <c r="D8" s="100" t="s">
        <v>258</v>
      </c>
      <c r="E8" s="104"/>
      <c r="F8" s="104"/>
      <c r="G8" s="7"/>
      <c r="H8" s="7"/>
      <c r="I8" s="94"/>
      <c r="J8" s="7"/>
      <c r="K8" s="7"/>
    </row>
    <row r="9" spans="1:35" x14ac:dyDescent="0.25">
      <c r="A9" s="69" t="s">
        <v>200</v>
      </c>
      <c r="B9" s="69" t="s">
        <v>157</v>
      </c>
      <c r="C9" s="69" t="str">
        <f t="shared" si="0"/>
        <v>P02R</v>
      </c>
      <c r="D9" s="100" t="s">
        <v>258</v>
      </c>
      <c r="E9" s="104"/>
      <c r="F9" s="104"/>
      <c r="G9" s="7"/>
      <c r="H9" s="7"/>
    </row>
    <row r="10" spans="1:35" x14ac:dyDescent="0.25">
      <c r="A10" s="69" t="s">
        <v>200</v>
      </c>
      <c r="B10" s="69" t="s">
        <v>257</v>
      </c>
      <c r="C10" s="69" t="str">
        <f t="shared" si="0"/>
        <v>P02C</v>
      </c>
      <c r="D10" s="100" t="s">
        <v>258</v>
      </c>
      <c r="E10" s="104"/>
      <c r="F10" s="104"/>
      <c r="G10" s="7"/>
      <c r="H10" s="7"/>
    </row>
    <row r="11" spans="1:35" x14ac:dyDescent="0.25">
      <c r="A11" s="69" t="s">
        <v>200</v>
      </c>
      <c r="B11" s="69" t="s">
        <v>152</v>
      </c>
      <c r="C11" s="69" t="str">
        <f t="shared" si="0"/>
        <v>P02L</v>
      </c>
      <c r="D11" s="100" t="s">
        <v>258</v>
      </c>
      <c r="E11" s="104"/>
      <c r="F11" s="104"/>
      <c r="G11" s="7"/>
      <c r="H11" s="7"/>
    </row>
    <row r="12" spans="1:35" x14ac:dyDescent="0.25">
      <c r="A12" s="69" t="s">
        <v>201</v>
      </c>
      <c r="B12" s="69" t="s">
        <v>157</v>
      </c>
      <c r="C12" s="69" t="str">
        <f t="shared" si="0"/>
        <v>P03R</v>
      </c>
      <c r="D12" s="100" t="s">
        <v>258</v>
      </c>
      <c r="E12" s="104"/>
      <c r="F12" s="104"/>
      <c r="G12" s="7"/>
      <c r="H12" s="7"/>
      <c r="I12" s="24"/>
    </row>
    <row r="13" spans="1:35" x14ac:dyDescent="0.25">
      <c r="A13" s="69" t="s">
        <v>201</v>
      </c>
      <c r="B13" s="69" t="s">
        <v>257</v>
      </c>
      <c r="C13" s="69" t="str">
        <f t="shared" si="0"/>
        <v>P03C</v>
      </c>
      <c r="D13" s="100" t="s">
        <v>258</v>
      </c>
      <c r="E13" s="104"/>
      <c r="F13" s="104"/>
      <c r="G13" s="7"/>
      <c r="H13" s="7"/>
      <c r="I13" s="24"/>
    </row>
    <row r="14" spans="1:35" x14ac:dyDescent="0.25">
      <c r="A14" s="69" t="s">
        <v>201</v>
      </c>
      <c r="B14" s="69" t="s">
        <v>152</v>
      </c>
      <c r="C14" s="69" t="str">
        <f t="shared" si="0"/>
        <v>P03L</v>
      </c>
      <c r="D14" s="100" t="s">
        <v>258</v>
      </c>
      <c r="E14" s="104"/>
      <c r="F14" s="104"/>
      <c r="G14" s="7"/>
      <c r="H14" s="7"/>
      <c r="I14" s="24"/>
    </row>
    <row r="19" spans="1:26" x14ac:dyDescent="0.25">
      <c r="A19" s="69"/>
      <c r="B19" s="69"/>
    </row>
    <row r="20" spans="1:26" x14ac:dyDescent="0.25">
      <c r="A20" s="69"/>
      <c r="B20" s="69"/>
      <c r="C20" s="69"/>
      <c r="D20" s="75"/>
      <c r="E20" s="7"/>
      <c r="F20" s="7"/>
    </row>
    <row r="21" spans="1:26" x14ac:dyDescent="0.25">
      <c r="A21" s="69"/>
      <c r="B21" s="69"/>
      <c r="C21" s="69"/>
      <c r="D21" s="75"/>
      <c r="E21" s="7"/>
      <c r="F21" s="7"/>
      <c r="G21" s="7"/>
      <c r="H21" s="7"/>
      <c r="I21" s="7"/>
    </row>
    <row r="22" spans="1:26" x14ac:dyDescent="0.25">
      <c r="A22" s="69"/>
      <c r="B22" s="69"/>
      <c r="C22" s="69"/>
      <c r="D22" s="75"/>
      <c r="E22" s="7"/>
      <c r="F22" s="7"/>
      <c r="G22" s="7"/>
      <c r="H22" s="7"/>
      <c r="I22" s="7"/>
    </row>
    <row r="23" spans="1:26" x14ac:dyDescent="0.25">
      <c r="A23" s="69"/>
      <c r="B23" s="69"/>
      <c r="C23" s="69"/>
      <c r="D23" s="75"/>
      <c r="E23" s="7"/>
      <c r="F23" s="7"/>
      <c r="G23" s="7"/>
      <c r="H23" s="7"/>
      <c r="I23" s="7"/>
    </row>
    <row r="24" spans="1:26" x14ac:dyDescent="0.25">
      <c r="A24" s="75"/>
      <c r="B24" s="75"/>
      <c r="C24" s="75"/>
      <c r="D24" s="75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75"/>
      <c r="B25" s="75"/>
      <c r="C25" s="75"/>
      <c r="D25" s="7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75"/>
      <c r="B26" s="75"/>
      <c r="C26" s="75"/>
      <c r="D26" s="75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75"/>
      <c r="B27" s="75"/>
      <c r="C27" s="75"/>
      <c r="D27" s="7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75"/>
      <c r="B28" s="75"/>
      <c r="C28" s="75"/>
      <c r="D28" s="7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5">
      <c r="A29" s="75"/>
      <c r="B29" s="75"/>
      <c r="C29" s="75"/>
      <c r="D29" s="7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5">
      <c r="A30" s="75"/>
      <c r="B30" s="75"/>
      <c r="C30" s="75"/>
      <c r="D30" s="7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5">
      <c r="A31" s="75"/>
      <c r="B31" s="75"/>
      <c r="C31" s="75"/>
      <c r="D31" s="7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75"/>
      <c r="B32" s="75"/>
      <c r="C32" s="75"/>
      <c r="D32" s="7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75"/>
      <c r="B33" s="75"/>
      <c r="C33" s="75"/>
      <c r="D33" s="7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75"/>
      <c r="B34" s="75"/>
      <c r="C34" s="75"/>
      <c r="D34" s="7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75"/>
      <c r="B35" s="75"/>
      <c r="C35" s="75"/>
      <c r="D35" s="7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5">
      <c r="A36" s="75"/>
      <c r="B36" s="75"/>
      <c r="C36" s="75"/>
      <c r="D36" s="7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75"/>
      <c r="B37" s="75"/>
      <c r="C37" s="75"/>
      <c r="D37" s="7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75"/>
      <c r="B38" s="75"/>
      <c r="C38" s="75"/>
      <c r="D38" s="75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75"/>
      <c r="B39" s="75"/>
      <c r="C39" s="75"/>
      <c r="D39" s="75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75"/>
      <c r="B40" s="75"/>
      <c r="C40" s="75"/>
      <c r="D40" s="75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5">
      <c r="A41" s="75"/>
      <c r="B41" s="75"/>
      <c r="C41" s="75"/>
      <c r="D41" s="75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75"/>
      <c r="B42" s="75"/>
      <c r="C42" s="75"/>
      <c r="D42" s="75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75"/>
      <c r="B43" s="75"/>
      <c r="C43" s="75"/>
      <c r="D43" s="75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5">
      <c r="A44" s="75"/>
      <c r="B44" s="75"/>
      <c r="C44" s="75"/>
      <c r="D44" s="75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5">
      <c r="A45" s="75"/>
      <c r="B45" s="75"/>
      <c r="C45" s="75"/>
      <c r="D45" s="75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5">
      <c r="A46" s="75"/>
      <c r="B46" s="75"/>
      <c r="C46" s="75"/>
      <c r="D46" s="75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5">
      <c r="A47" s="75"/>
      <c r="B47" s="75"/>
      <c r="C47" s="75"/>
      <c r="D47" s="75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5">
      <c r="A48" s="75"/>
      <c r="B48" s="75"/>
      <c r="C48" s="75"/>
      <c r="D48" s="75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5">
      <c r="A49" s="75"/>
      <c r="B49" s="75"/>
      <c r="C49" s="75"/>
      <c r="D49" s="75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5">
      <c r="A50" s="75"/>
      <c r="B50" s="75"/>
      <c r="C50" s="75"/>
      <c r="D50" s="75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5">
      <c r="A51" s="75"/>
      <c r="B51" s="75"/>
      <c r="C51" s="75"/>
      <c r="D51" s="75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5">
      <c r="A52" s="75"/>
      <c r="B52" s="75"/>
      <c r="C52" s="75"/>
      <c r="D52" s="75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5">
      <c r="A53" s="75"/>
      <c r="B53" s="75"/>
      <c r="C53" s="75"/>
      <c r="D53" s="75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5">
      <c r="A54" s="75"/>
      <c r="B54" s="75"/>
      <c r="C54" s="75"/>
      <c r="D54" s="75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5">
      <c r="A55" s="75"/>
      <c r="B55" s="75"/>
      <c r="C55" s="75"/>
      <c r="D55" s="75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5">
      <c r="A56" s="75"/>
      <c r="B56" s="75"/>
      <c r="C56" s="75"/>
      <c r="D56" s="75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5">
      <c r="A57" s="75"/>
      <c r="B57" s="75"/>
      <c r="C57" s="75"/>
      <c r="D57" s="75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5">
      <c r="A58" s="75"/>
      <c r="B58" s="75"/>
      <c r="C58" s="75"/>
      <c r="D58" s="75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5">
      <c r="A59" s="75"/>
      <c r="B59" s="75"/>
      <c r="C59" s="75"/>
      <c r="D59" s="75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5">
      <c r="A60" s="75"/>
      <c r="B60" s="75"/>
      <c r="C60" s="75"/>
      <c r="D60" s="75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5">
      <c r="A61" s="75"/>
      <c r="B61" s="75"/>
      <c r="C61" s="75"/>
      <c r="D61" s="75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5">
      <c r="A62" s="75"/>
      <c r="B62" s="75"/>
      <c r="C62" s="75"/>
      <c r="D62" s="75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5">
      <c r="A63" s="75"/>
      <c r="B63" s="75"/>
      <c r="C63" s="75"/>
      <c r="D63" s="75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5">
      <c r="A64" s="75"/>
      <c r="B64" s="75"/>
      <c r="C64" s="75"/>
      <c r="D64" s="75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5">
      <c r="A65" s="75"/>
      <c r="B65" s="75"/>
      <c r="C65" s="75"/>
      <c r="D65" s="75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5">
      <c r="A66" s="75"/>
      <c r="B66" s="75"/>
      <c r="C66" s="75"/>
      <c r="D66" s="75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5">
      <c r="A67" s="75"/>
      <c r="B67" s="75"/>
      <c r="C67" s="75"/>
      <c r="D67" s="75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5">
      <c r="A68" s="75"/>
      <c r="B68" s="75"/>
      <c r="C68" s="75"/>
      <c r="D68" s="75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5">
      <c r="A69" s="75"/>
      <c r="B69" s="75"/>
      <c r="C69" s="75"/>
      <c r="D69" s="75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5">
      <c r="A70" s="75"/>
      <c r="B70" s="75"/>
      <c r="C70" s="75"/>
      <c r="D70" s="75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5">
      <c r="A71" s="69"/>
      <c r="B71" s="69"/>
      <c r="C71" s="69"/>
      <c r="D71" s="69"/>
      <c r="F71" s="7"/>
    </row>
    <row r="72" spans="1:26" x14ac:dyDescent="0.25">
      <c r="A72" s="69"/>
      <c r="B72" s="69"/>
      <c r="C72" s="69"/>
      <c r="D72" s="69"/>
      <c r="F72" s="7"/>
    </row>
    <row r="73" spans="1:26" x14ac:dyDescent="0.25">
      <c r="A73" s="69"/>
      <c r="B73" s="69"/>
      <c r="C73" s="69"/>
      <c r="D73" s="69"/>
      <c r="F73" s="7"/>
    </row>
    <row r="74" spans="1:26" x14ac:dyDescent="0.25">
      <c r="A74" s="69"/>
      <c r="B74" s="69"/>
      <c r="C74" s="69"/>
      <c r="D74" s="69"/>
      <c r="F74" s="7"/>
    </row>
    <row r="75" spans="1:26" x14ac:dyDescent="0.25">
      <c r="A75" s="69"/>
      <c r="B75" s="69"/>
      <c r="C75" s="69"/>
      <c r="D75" s="69"/>
      <c r="F75" s="7"/>
    </row>
    <row r="76" spans="1:26" x14ac:dyDescent="0.25">
      <c r="A76" s="69"/>
      <c r="B76" s="69"/>
      <c r="C76" s="69"/>
      <c r="D76" s="69"/>
      <c r="F76" s="7"/>
    </row>
    <row r="77" spans="1:26" x14ac:dyDescent="0.25">
      <c r="A77" s="69"/>
      <c r="B77" s="69"/>
      <c r="C77" s="69"/>
      <c r="D77" s="69"/>
      <c r="F77" s="7"/>
    </row>
    <row r="78" spans="1:26" x14ac:dyDescent="0.25">
      <c r="A78" s="69"/>
      <c r="B78" s="69"/>
      <c r="C78" s="69"/>
      <c r="D78" s="69"/>
      <c r="F78" s="7"/>
    </row>
    <row r="79" spans="1:26" x14ac:dyDescent="0.25">
      <c r="A79" s="69"/>
      <c r="B79" s="69"/>
      <c r="C79" s="69"/>
      <c r="D79" s="69"/>
      <c r="F79" s="7"/>
    </row>
    <row r="80" spans="1:26" x14ac:dyDescent="0.25">
      <c r="A80" s="69"/>
      <c r="B80" s="69"/>
      <c r="C80" s="69"/>
      <c r="D80" s="69"/>
      <c r="F80" s="7"/>
    </row>
    <row r="81" spans="1:6" x14ac:dyDescent="0.25">
      <c r="A81" s="69"/>
      <c r="B81" s="69"/>
      <c r="C81" s="69"/>
      <c r="D81" s="69"/>
      <c r="F81" s="7"/>
    </row>
    <row r="82" spans="1:6" x14ac:dyDescent="0.25">
      <c r="A82" s="69"/>
      <c r="B82" s="69"/>
      <c r="C82" s="69"/>
      <c r="D82" s="69"/>
      <c r="F82" s="7"/>
    </row>
    <row r="83" spans="1:6" x14ac:dyDescent="0.25">
      <c r="A83" s="69"/>
      <c r="B83" s="69"/>
      <c r="C83" s="69"/>
      <c r="D83" s="69"/>
      <c r="F83" s="7"/>
    </row>
    <row r="84" spans="1:6" x14ac:dyDescent="0.25">
      <c r="A84" s="69"/>
      <c r="B84" s="69"/>
      <c r="C84" s="69"/>
      <c r="D84" s="69"/>
      <c r="F84" s="7"/>
    </row>
    <row r="85" spans="1:6" x14ac:dyDescent="0.25">
      <c r="A85" s="69"/>
      <c r="B85" s="69"/>
      <c r="C85" s="69"/>
      <c r="D85" s="69"/>
      <c r="F85" s="7"/>
    </row>
    <row r="86" spans="1:6" x14ac:dyDescent="0.25">
      <c r="A86" s="69"/>
      <c r="B86" s="69"/>
      <c r="C86" s="69"/>
      <c r="D86" s="69"/>
    </row>
  </sheetData>
  <sortState ref="E6:U14">
    <sortCondition ref="E6:E14"/>
    <sortCondition ref="F6:F14"/>
  </sortState>
  <phoneticPr fontId="7" type="noConversion"/>
  <dataValidations disablePrompts="1" count="1">
    <dataValidation type="custom" allowBlank="1" showInputMessage="1" showErrorMessage="1" sqref="M2" xr:uid="{885D16CD-5B08-49F7-A498-89888E0DF0F4}">
      <formula1>IF(A6:A86=Q4,E6:E86)</formula1>
    </dataValidation>
  </dataValidations>
  <pageMargins left="0.7" right="0.7" top="0.75" bottom="0.75" header="0.3" footer="0.3"/>
  <pageSetup orientation="portrait" horizontalDpi="30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56C1B81115DB40838B28D598DB90BA" ma:contentTypeVersion="12" ma:contentTypeDescription="Create a new document." ma:contentTypeScope="" ma:versionID="33d042471ce4441a5162db6834f670df">
  <xsd:schema xmlns:xsd="http://www.w3.org/2001/XMLSchema" xmlns:xs="http://www.w3.org/2001/XMLSchema" xmlns:p="http://schemas.microsoft.com/office/2006/metadata/properties" xmlns:ns3="7936013a-a324-48d4-85c8-34f0422b431e" xmlns:ns4="9ce4a1cd-ffe6-4aad-9ab0-41e6b7e6d888" targetNamespace="http://schemas.microsoft.com/office/2006/metadata/properties" ma:root="true" ma:fieldsID="90ff4160954e638dc9fd6a8f0300dc57" ns3:_="" ns4:_="">
    <xsd:import namespace="7936013a-a324-48d4-85c8-34f0422b431e"/>
    <xsd:import namespace="9ce4a1cd-ffe6-4aad-9ab0-41e6b7e6d88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6013a-a324-48d4-85c8-34f0422b4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e4a1cd-ffe6-4aad-9ab0-41e6b7e6d888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6055197-E123-47D4-8BEB-5339353AF1ED}">
  <ds:schemaRefs>
    <ds:schemaRef ds:uri="http://purl.org/dc/elements/1.1/"/>
    <ds:schemaRef ds:uri="http://schemas.microsoft.com/office/2006/metadata/properties"/>
    <ds:schemaRef ds:uri="7936013a-a324-48d4-85c8-34f0422b431e"/>
    <ds:schemaRef ds:uri="9ce4a1cd-ffe6-4aad-9ab0-41e6b7e6d888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095B8B3-33BF-40AF-A405-7547C4420A7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AAFE06-6CD2-475E-BDDD-82F8AA15EF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6013a-a324-48d4-85c8-34f0422b431e"/>
    <ds:schemaRef ds:uri="9ce4a1cd-ffe6-4aad-9ab0-41e6b7e6d8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50</vt:i4>
      </vt:variant>
    </vt:vector>
  </HeadingPairs>
  <TitlesOfParts>
    <vt:vector size="112" baseType="lpstr">
      <vt:lpstr>MODEL INTRO</vt:lpstr>
      <vt:lpstr>ShtNames</vt:lpstr>
      <vt:lpstr>DC1</vt:lpstr>
      <vt:lpstr>DC2</vt:lpstr>
      <vt:lpstr>DW</vt:lpstr>
      <vt:lpstr>TUmax</vt:lpstr>
      <vt:lpstr>TUmin</vt:lpstr>
      <vt:lpstr>LLmax</vt:lpstr>
      <vt:lpstr>LLmin</vt:lpstr>
      <vt:lpstr>PERMITmax</vt:lpstr>
      <vt:lpstr>STRIKERmax</vt:lpstr>
      <vt:lpstr>PERMITmin</vt:lpstr>
      <vt:lpstr>STRIKERmin</vt:lpstr>
      <vt:lpstr>FTGmax</vt:lpstr>
      <vt:lpstr>FTGmin</vt:lpstr>
      <vt:lpstr>STR3 WSmax</vt:lpstr>
      <vt:lpstr>STR3 WSmin</vt:lpstr>
      <vt:lpstr>STR5 WS+WLmax</vt:lpstr>
      <vt:lpstr>SERV1 WS+WLmin</vt:lpstr>
      <vt:lpstr>STR5 WS+WLmin</vt:lpstr>
      <vt:lpstr>SERV1 WS+WLmax</vt:lpstr>
      <vt:lpstr>STR1 DLmax LLmax</vt:lpstr>
      <vt:lpstr>STR1 DLmin LLmax</vt:lpstr>
      <vt:lpstr>STR1 DLmax LLmin</vt:lpstr>
      <vt:lpstr>STR1 DLmin LLmin</vt:lpstr>
      <vt:lpstr>STR2 DLmax PERMITmax</vt:lpstr>
      <vt:lpstr>STR2 DLmin PERMITmax</vt:lpstr>
      <vt:lpstr>STR2 DLmax PERMITmin</vt:lpstr>
      <vt:lpstr>STR2 DLmin PERMITmin</vt:lpstr>
      <vt:lpstr>STR2 DLmax STRIKERmax</vt:lpstr>
      <vt:lpstr>STR2 DLmin STRIKERmax</vt:lpstr>
      <vt:lpstr>STR2 DLmax STRIKERmin</vt:lpstr>
      <vt:lpstr>STR2 DLmin STRIKERmin</vt:lpstr>
      <vt:lpstr>STR3 DLmax LLmax</vt:lpstr>
      <vt:lpstr>STR3 DLmin LLmax</vt:lpstr>
      <vt:lpstr>STR3 DLmax LLmin</vt:lpstr>
      <vt:lpstr>STR3 DLmin LLmin</vt:lpstr>
      <vt:lpstr>STR5 DLmax LLmax</vt:lpstr>
      <vt:lpstr>STR5 DLmin LLmax</vt:lpstr>
      <vt:lpstr>STR5 DLmax LLmin</vt:lpstr>
      <vt:lpstr>STR5 DLmin LLmin</vt:lpstr>
      <vt:lpstr>SERV1 DLmax LLmax</vt:lpstr>
      <vt:lpstr>SERV1 DLmin LLmax</vt:lpstr>
      <vt:lpstr>SERV1 DLmax LLmin</vt:lpstr>
      <vt:lpstr>SERV1 DLmin LLmin</vt:lpstr>
      <vt:lpstr>SERV2 DLmax LLmax</vt:lpstr>
      <vt:lpstr>SERV2 DLmin LLmax</vt:lpstr>
      <vt:lpstr>SERV2 DLmax LLmin</vt:lpstr>
      <vt:lpstr>SERV2 DLmin LLmin</vt:lpstr>
      <vt:lpstr>FTG1 LLmax</vt:lpstr>
      <vt:lpstr>FTG1 LLmin</vt:lpstr>
      <vt:lpstr>STR1 Forces</vt:lpstr>
      <vt:lpstr>STR2 Forces</vt:lpstr>
      <vt:lpstr>STR3 Forces</vt:lpstr>
      <vt:lpstr>STR5 Forces</vt:lpstr>
      <vt:lpstr>SERV1 Forces</vt:lpstr>
      <vt:lpstr>SERV2 Forces</vt:lpstr>
      <vt:lpstr>FTG1 Forces</vt:lpstr>
      <vt:lpstr>STR(all)</vt:lpstr>
      <vt:lpstr>SERV(all)</vt:lpstr>
      <vt:lpstr>Interface</vt:lpstr>
      <vt:lpstr>MemberID</vt:lpstr>
      <vt:lpstr>γFtg1_LL_1.75</vt:lpstr>
      <vt:lpstr>γServ1_DC_1</vt:lpstr>
      <vt:lpstr>γServ1_DW_1</vt:lpstr>
      <vt:lpstr>γServ1_FR_1</vt:lpstr>
      <vt:lpstr>γServ1_LL_1</vt:lpstr>
      <vt:lpstr>γServ1_TU_1</vt:lpstr>
      <vt:lpstr>γServ1_TU_1.2</vt:lpstr>
      <vt:lpstr>γServ1_WL_1</vt:lpstr>
      <vt:lpstr>γServ1_WS_1</vt:lpstr>
      <vt:lpstr>γServ2_DC_1</vt:lpstr>
      <vt:lpstr>γServ2_DW_1</vt:lpstr>
      <vt:lpstr>γServ2_FR_1</vt:lpstr>
      <vt:lpstr>γServ2_LL_1.3</vt:lpstr>
      <vt:lpstr>γServ2_TU_1</vt:lpstr>
      <vt:lpstr>γServ2_TU_1.2</vt:lpstr>
      <vt:lpstr>γSTR1_DC_0.9</vt:lpstr>
      <vt:lpstr>γSTR1_DC_1.25</vt:lpstr>
      <vt:lpstr>γSTR1_DW_0.65</vt:lpstr>
      <vt:lpstr>γSTR1_DW_1.5</vt:lpstr>
      <vt:lpstr>γSTR1_FR_1</vt:lpstr>
      <vt:lpstr>γSTR1_LL_1.75</vt:lpstr>
      <vt:lpstr>γSTR1_TU_1</vt:lpstr>
      <vt:lpstr>γSTR1_TU_1.2</vt:lpstr>
      <vt:lpstr>γSTR2_DC_0.9</vt:lpstr>
      <vt:lpstr>γSTR2_DC_1.25</vt:lpstr>
      <vt:lpstr>γSTR2_DW_0.65</vt:lpstr>
      <vt:lpstr>γSTR2_DW_1.5</vt:lpstr>
      <vt:lpstr>γSTR2_FR_1</vt:lpstr>
      <vt:lpstr>γSTR2_LL_1.35</vt:lpstr>
      <vt:lpstr>γSTR2_TU_1</vt:lpstr>
      <vt:lpstr>γSTR2_TU_1.2</vt:lpstr>
      <vt:lpstr>γSTR3_DC_0.9</vt:lpstr>
      <vt:lpstr>γSTR3_DC_1.25</vt:lpstr>
      <vt:lpstr>γSTR3_DW_0.65</vt:lpstr>
      <vt:lpstr>γSTR3_DW_1.5</vt:lpstr>
      <vt:lpstr>γSTR3_FR_1</vt:lpstr>
      <vt:lpstr>γSTR3_TU_1</vt:lpstr>
      <vt:lpstr>γSTR3_TU_1.2</vt:lpstr>
      <vt:lpstr>γSTR3_WS_1</vt:lpstr>
      <vt:lpstr>γSTR5_DC_0.9</vt:lpstr>
      <vt:lpstr>γSTR5_DC_1.25</vt:lpstr>
      <vt:lpstr>γSTR5_DW_0.65</vt:lpstr>
      <vt:lpstr>γSTR5_DW_1.5</vt:lpstr>
      <vt:lpstr>γSTR5_FR_1</vt:lpstr>
      <vt:lpstr>γSTR5_LL_1.35</vt:lpstr>
      <vt:lpstr>γSTR5_TU_1</vt:lpstr>
      <vt:lpstr>γSTR5_TU_1.2</vt:lpstr>
      <vt:lpstr>γSTR5_WL_1</vt:lpstr>
      <vt:lpstr>γSTR5_WS_1</vt:lpstr>
      <vt:lpstr>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junma59</dc:creator>
  <cp:lastModifiedBy>Anderson, Ross J.</cp:lastModifiedBy>
  <cp:lastPrinted>2020-07-10T21:42:56Z</cp:lastPrinted>
  <dcterms:created xsi:type="dcterms:W3CDTF">2015-06-05T18:17:20Z</dcterms:created>
  <dcterms:modified xsi:type="dcterms:W3CDTF">2020-10-21T22:33:20Z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0x010100A556C1B81115DB40838B28D598DB90BA</vt:lpwstr>
  </property>
</Properties>
</file>